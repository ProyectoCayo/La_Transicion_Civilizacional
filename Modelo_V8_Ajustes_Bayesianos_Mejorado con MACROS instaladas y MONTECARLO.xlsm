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2.xml" ContentType="application/vnd.openxmlformats-officedocument.drawing+xml"/>
  <Override PartName="/xl/charts/chart5.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https://d.docs.live.net/d90c1bd2d0ef062f/Documents/Personal/Ensayos/Articulos e Info Interesante/Transicion Civilizacional y Trump/"/>
    </mc:Choice>
  </mc:AlternateContent>
  <xr:revisionPtr revIDLastSave="345" documentId="13_ncr:1_{6E2C7E46-07C7-403A-B014-0583AADB79C1}" xr6:coauthVersionLast="47" xr6:coauthVersionMax="47" xr10:uidLastSave="{BBC118E1-3FD0-4E8D-BCF3-CC2F3AE59D94}"/>
  <bookViews>
    <workbookView xWindow="-120" yWindow="-120" windowWidth="29040" windowHeight="15720" tabRatio="500" xr2:uid="{00000000-000D-0000-FFFF-FFFF00000000}"/>
  </bookViews>
  <sheets>
    <sheet name="Readme" sheetId="1" r:id="rId1"/>
    <sheet name="Modelo Variables V8" sheetId="2" r:id="rId2"/>
    <sheet name="Variables F1" sheetId="3" r:id="rId3"/>
    <sheet name="Variables F2" sheetId="4" r:id="rId4"/>
    <sheet name="Variables F3" sheetId="5" r:id="rId5"/>
    <sheet name="Variables F4" sheetId="6" r:id="rId6"/>
    <sheet name="Variables F5" sheetId="7" r:id="rId7"/>
    <sheet name="Fórmulas" sheetId="8" r:id="rId8"/>
    <sheet name="Monte_Carlo_Analysis" sheetId="12" r:id="rId9"/>
    <sheet name="Monte_Carlo_VBA" sheetId="13" r:id="rId10"/>
    <sheet name="Ajustes Bayesianos" sheetId="10" r:id="rId11"/>
    <sheet name="Código VBA" sheetId="11" r:id="rId12"/>
  </sheets>
  <calcPr calcId="191029"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48" i="2" l="1"/>
  <c r="U2" i="4"/>
  <c r="E128" i="12"/>
  <c r="E127" i="12"/>
  <c r="E126" i="12"/>
  <c r="E125" i="12"/>
  <c r="E124" i="12"/>
  <c r="D128" i="12"/>
  <c r="D127" i="12"/>
  <c r="D126" i="12"/>
  <c r="D125" i="12"/>
  <c r="D124" i="12"/>
  <c r="C128" i="12"/>
  <c r="C127" i="12"/>
  <c r="C126" i="12"/>
  <c r="C125" i="12"/>
  <c r="C124" i="12"/>
  <c r="B128" i="12"/>
  <c r="B127" i="12"/>
  <c r="B126" i="12"/>
  <c r="B125" i="12"/>
  <c r="B124" i="12"/>
  <c r="D34" i="10" l="1"/>
  <c r="D27" i="10"/>
  <c r="D19" i="10"/>
  <c r="C6" i="7"/>
  <c r="L4" i="7"/>
  <c r="C4" i="7"/>
  <c r="M4" i="7" s="1"/>
  <c r="C3" i="7"/>
  <c r="L3" i="7" s="1"/>
  <c r="C2" i="7"/>
  <c r="L2" i="7" s="1"/>
  <c r="P18" i="6"/>
  <c r="O18" i="6"/>
  <c r="J18" i="6"/>
  <c r="H18" i="6"/>
  <c r="G18" i="6"/>
  <c r="F18" i="6"/>
  <c r="E18" i="6"/>
  <c r="D18" i="6"/>
  <c r="C18" i="6"/>
  <c r="P17" i="6"/>
  <c r="O17" i="6"/>
  <c r="J17" i="6"/>
  <c r="H17" i="6"/>
  <c r="G17" i="6"/>
  <c r="F17" i="6"/>
  <c r="E17" i="6"/>
  <c r="D17" i="6"/>
  <c r="C17" i="6"/>
  <c r="P16" i="6"/>
  <c r="O16" i="6"/>
  <c r="J16" i="6"/>
  <c r="H16" i="6"/>
  <c r="G16" i="6"/>
  <c r="F16" i="6"/>
  <c r="E16" i="6"/>
  <c r="D16" i="6"/>
  <c r="C16" i="6"/>
  <c r="P15" i="6"/>
  <c r="O15" i="6"/>
  <c r="J15" i="6"/>
  <c r="H15" i="6"/>
  <c r="G15" i="6"/>
  <c r="F15" i="6"/>
  <c r="E15" i="6"/>
  <c r="D15" i="6"/>
  <c r="C15" i="6"/>
  <c r="P14" i="6"/>
  <c r="O14" i="6"/>
  <c r="J14" i="6"/>
  <c r="H14" i="6"/>
  <c r="G14" i="6"/>
  <c r="F14" i="6"/>
  <c r="E14" i="6"/>
  <c r="D14" i="6"/>
  <c r="C14" i="6"/>
  <c r="P13" i="6"/>
  <c r="O13" i="6"/>
  <c r="J13" i="6"/>
  <c r="H13" i="6"/>
  <c r="G13" i="6"/>
  <c r="F13" i="6"/>
  <c r="E13" i="6"/>
  <c r="D13" i="6"/>
  <c r="C13" i="6"/>
  <c r="P12" i="6"/>
  <c r="O12" i="6"/>
  <c r="J12" i="6"/>
  <c r="H12" i="6"/>
  <c r="G12" i="6"/>
  <c r="F12" i="6"/>
  <c r="E12" i="6"/>
  <c r="D12" i="6"/>
  <c r="C12" i="6"/>
  <c r="P11" i="6"/>
  <c r="O11" i="6"/>
  <c r="J11" i="6"/>
  <c r="H11" i="6"/>
  <c r="G11" i="6"/>
  <c r="F11" i="6"/>
  <c r="E11" i="6"/>
  <c r="D11" i="6"/>
  <c r="C11" i="6"/>
  <c r="P10" i="6"/>
  <c r="O10" i="6"/>
  <c r="J10" i="6"/>
  <c r="H10" i="6"/>
  <c r="G10" i="6"/>
  <c r="F10" i="6"/>
  <c r="E10" i="6"/>
  <c r="D10" i="6"/>
  <c r="C10" i="6"/>
  <c r="P9" i="6"/>
  <c r="O9" i="6"/>
  <c r="J9" i="6"/>
  <c r="H9" i="6"/>
  <c r="G9" i="6"/>
  <c r="F9" i="6"/>
  <c r="E9" i="6"/>
  <c r="D9" i="6"/>
  <c r="C9" i="6"/>
  <c r="P8" i="6"/>
  <c r="O8" i="6"/>
  <c r="J8" i="6"/>
  <c r="H8" i="6"/>
  <c r="G8" i="6"/>
  <c r="F8" i="6"/>
  <c r="E8" i="6"/>
  <c r="D8" i="6"/>
  <c r="C8" i="6"/>
  <c r="P7" i="6"/>
  <c r="O7" i="6"/>
  <c r="J7" i="6"/>
  <c r="H7" i="6"/>
  <c r="G7" i="6"/>
  <c r="F7" i="6"/>
  <c r="E7" i="6"/>
  <c r="D7" i="6"/>
  <c r="C7" i="6"/>
  <c r="P6" i="6"/>
  <c r="O6" i="6"/>
  <c r="J6" i="6"/>
  <c r="H6" i="6"/>
  <c r="G6" i="6"/>
  <c r="F6" i="6"/>
  <c r="E6" i="6"/>
  <c r="D6" i="6"/>
  <c r="C6" i="6"/>
  <c r="P5" i="6"/>
  <c r="O5" i="6"/>
  <c r="J5" i="6"/>
  <c r="H5" i="6"/>
  <c r="G5" i="6"/>
  <c r="F5" i="6"/>
  <c r="E5" i="6"/>
  <c r="D5" i="6"/>
  <c r="C5" i="6"/>
  <c r="P4" i="6"/>
  <c r="O4" i="6"/>
  <c r="J4" i="6"/>
  <c r="H4" i="6"/>
  <c r="G4" i="6"/>
  <c r="F4" i="6"/>
  <c r="E4" i="6"/>
  <c r="D4" i="6"/>
  <c r="C4" i="6"/>
  <c r="P3" i="6"/>
  <c r="O3" i="6"/>
  <c r="J3" i="6"/>
  <c r="H3" i="6"/>
  <c r="G3" i="6"/>
  <c r="F3" i="6"/>
  <c r="E3" i="6"/>
  <c r="D3" i="6"/>
  <c r="C3" i="6"/>
  <c r="P2" i="6"/>
  <c r="O2" i="6"/>
  <c r="J2" i="6"/>
  <c r="H2" i="6"/>
  <c r="G2" i="6"/>
  <c r="F2" i="6"/>
  <c r="E2" i="6"/>
  <c r="D2" i="6"/>
  <c r="C2" i="6"/>
  <c r="P15" i="5"/>
  <c r="O15" i="5"/>
  <c r="J15" i="5"/>
  <c r="H15" i="5"/>
  <c r="G15" i="5"/>
  <c r="F15" i="5"/>
  <c r="E15" i="5"/>
  <c r="D15" i="5"/>
  <c r="C15" i="5"/>
  <c r="P14" i="5"/>
  <c r="O14" i="5"/>
  <c r="J14" i="5"/>
  <c r="H14" i="5"/>
  <c r="G14" i="5"/>
  <c r="F14" i="5"/>
  <c r="E14" i="5"/>
  <c r="D14" i="5"/>
  <c r="C14" i="5"/>
  <c r="P13" i="5"/>
  <c r="O13" i="5"/>
  <c r="J13" i="5"/>
  <c r="H13" i="5"/>
  <c r="G13" i="5"/>
  <c r="F13" i="5"/>
  <c r="E13" i="5"/>
  <c r="D13" i="5"/>
  <c r="C13" i="5"/>
  <c r="P12" i="5"/>
  <c r="O12" i="5"/>
  <c r="J12" i="5"/>
  <c r="H12" i="5"/>
  <c r="G12" i="5"/>
  <c r="F12" i="5"/>
  <c r="E12" i="5"/>
  <c r="D12" i="5"/>
  <c r="C12" i="5"/>
  <c r="P11" i="5"/>
  <c r="O11" i="5"/>
  <c r="J11" i="5"/>
  <c r="H11" i="5"/>
  <c r="G11" i="5"/>
  <c r="F11" i="5"/>
  <c r="E11" i="5"/>
  <c r="D11" i="5"/>
  <c r="C11" i="5"/>
  <c r="P10" i="5"/>
  <c r="O10" i="5"/>
  <c r="J10" i="5"/>
  <c r="H10" i="5"/>
  <c r="G10" i="5"/>
  <c r="F10" i="5"/>
  <c r="E10" i="5"/>
  <c r="D10" i="5"/>
  <c r="C10" i="5"/>
  <c r="P9" i="5"/>
  <c r="O9" i="5"/>
  <c r="J9" i="5"/>
  <c r="H9" i="5"/>
  <c r="G9" i="5"/>
  <c r="F9" i="5"/>
  <c r="E9" i="5"/>
  <c r="D9" i="5"/>
  <c r="C9" i="5"/>
  <c r="P8" i="5"/>
  <c r="O8" i="5"/>
  <c r="J8" i="5"/>
  <c r="H8" i="5"/>
  <c r="G8" i="5"/>
  <c r="F8" i="5"/>
  <c r="E8" i="5"/>
  <c r="D8" i="5"/>
  <c r="C8" i="5"/>
  <c r="P7" i="5"/>
  <c r="O7" i="5"/>
  <c r="J7" i="5"/>
  <c r="H7" i="5"/>
  <c r="G7" i="5"/>
  <c r="F7" i="5"/>
  <c r="E7" i="5"/>
  <c r="D7" i="5"/>
  <c r="C7" i="5"/>
  <c r="P6" i="5"/>
  <c r="O6" i="5"/>
  <c r="J6" i="5"/>
  <c r="H6" i="5"/>
  <c r="G6" i="5"/>
  <c r="F6" i="5"/>
  <c r="E6" i="5"/>
  <c r="D6" i="5"/>
  <c r="C6" i="5"/>
  <c r="P5" i="5"/>
  <c r="O5" i="5"/>
  <c r="J5" i="5"/>
  <c r="H5" i="5"/>
  <c r="G5" i="5"/>
  <c r="F5" i="5"/>
  <c r="E5" i="5"/>
  <c r="D5" i="5"/>
  <c r="C5" i="5"/>
  <c r="P4" i="5"/>
  <c r="O4" i="5"/>
  <c r="J4" i="5"/>
  <c r="H4" i="5"/>
  <c r="G4" i="5"/>
  <c r="F4" i="5"/>
  <c r="E4" i="5"/>
  <c r="D4" i="5"/>
  <c r="C4" i="5"/>
  <c r="P3" i="5"/>
  <c r="O3" i="5"/>
  <c r="J3" i="5"/>
  <c r="H3" i="5"/>
  <c r="G3" i="5"/>
  <c r="F3" i="5"/>
  <c r="E3" i="5"/>
  <c r="D3" i="5"/>
  <c r="C3" i="5"/>
  <c r="P2" i="5"/>
  <c r="O2" i="5"/>
  <c r="J2" i="5"/>
  <c r="H2" i="5"/>
  <c r="G2" i="5"/>
  <c r="F2" i="5"/>
  <c r="E2" i="5"/>
  <c r="D2" i="5"/>
  <c r="C2" i="5"/>
  <c r="V20" i="4"/>
  <c r="P20" i="4"/>
  <c r="O20" i="4"/>
  <c r="J20" i="4"/>
  <c r="H20" i="4"/>
  <c r="G20" i="4"/>
  <c r="F20" i="4"/>
  <c r="E20" i="4"/>
  <c r="D20" i="4"/>
  <c r="C20" i="4"/>
  <c r="V19" i="4"/>
  <c r="P19" i="4"/>
  <c r="O19" i="4"/>
  <c r="J19" i="4"/>
  <c r="H19" i="4"/>
  <c r="G19" i="4"/>
  <c r="F19" i="4"/>
  <c r="E19" i="4"/>
  <c r="D19" i="4"/>
  <c r="C19" i="4"/>
  <c r="V18" i="4"/>
  <c r="P18" i="4"/>
  <c r="O18" i="4"/>
  <c r="J18" i="4"/>
  <c r="H18" i="4"/>
  <c r="G18" i="4"/>
  <c r="F18" i="4"/>
  <c r="E18" i="4"/>
  <c r="D18" i="4"/>
  <c r="C18" i="4"/>
  <c r="P17" i="4"/>
  <c r="O17" i="4"/>
  <c r="J17" i="4"/>
  <c r="H17" i="4"/>
  <c r="G17" i="4"/>
  <c r="F17" i="4"/>
  <c r="E17" i="4"/>
  <c r="D17" i="4"/>
  <c r="C17" i="4"/>
  <c r="V16" i="4"/>
  <c r="P16" i="4"/>
  <c r="O16" i="4"/>
  <c r="J16" i="4"/>
  <c r="H16" i="4"/>
  <c r="G16" i="4"/>
  <c r="F16" i="4"/>
  <c r="E16" i="4"/>
  <c r="D16" i="4"/>
  <c r="C16" i="4"/>
  <c r="P15" i="4"/>
  <c r="O15" i="4"/>
  <c r="J15" i="4"/>
  <c r="H15" i="4"/>
  <c r="G15" i="4"/>
  <c r="F15" i="4"/>
  <c r="E15" i="4"/>
  <c r="D15" i="4"/>
  <c r="C15" i="4"/>
  <c r="V14" i="4"/>
  <c r="P14" i="4"/>
  <c r="O14" i="4"/>
  <c r="J14" i="4"/>
  <c r="H14" i="4"/>
  <c r="G14" i="4"/>
  <c r="F14" i="4"/>
  <c r="E14" i="4"/>
  <c r="D14" i="4"/>
  <c r="C14" i="4"/>
  <c r="P13" i="4"/>
  <c r="O13" i="4"/>
  <c r="J13" i="4"/>
  <c r="H13" i="4"/>
  <c r="G13" i="4"/>
  <c r="F13" i="4"/>
  <c r="E13" i="4"/>
  <c r="D13" i="4"/>
  <c r="C13" i="4"/>
  <c r="P12" i="4"/>
  <c r="O12" i="4"/>
  <c r="J12" i="4"/>
  <c r="H12" i="4"/>
  <c r="G12" i="4"/>
  <c r="F12" i="4"/>
  <c r="E12" i="4"/>
  <c r="D12" i="4"/>
  <c r="C12" i="4"/>
  <c r="V11" i="4"/>
  <c r="P11" i="4"/>
  <c r="O11" i="4"/>
  <c r="J11" i="4"/>
  <c r="H11" i="4"/>
  <c r="G11" i="4"/>
  <c r="F11" i="4"/>
  <c r="E11" i="4"/>
  <c r="D11" i="4"/>
  <c r="C11" i="4"/>
  <c r="V10" i="4"/>
  <c r="P10" i="4"/>
  <c r="O10" i="4"/>
  <c r="J10" i="4"/>
  <c r="H10" i="4"/>
  <c r="G10" i="4"/>
  <c r="F10" i="4"/>
  <c r="E10" i="4"/>
  <c r="D10" i="4"/>
  <c r="C10" i="4"/>
  <c r="P9" i="4"/>
  <c r="O9" i="4"/>
  <c r="J9" i="4"/>
  <c r="H9" i="4"/>
  <c r="G9" i="4"/>
  <c r="F9" i="4"/>
  <c r="E9" i="4"/>
  <c r="D9" i="4"/>
  <c r="C9" i="4"/>
  <c r="P8" i="4"/>
  <c r="O8" i="4"/>
  <c r="J8" i="4"/>
  <c r="H8" i="4"/>
  <c r="G8" i="4"/>
  <c r="F8" i="4"/>
  <c r="E8" i="4"/>
  <c r="D8" i="4"/>
  <c r="C8" i="4"/>
  <c r="V7" i="4"/>
  <c r="P7" i="4"/>
  <c r="O7" i="4"/>
  <c r="J7" i="4"/>
  <c r="H7" i="4"/>
  <c r="G7" i="4"/>
  <c r="F7" i="4"/>
  <c r="E7" i="4"/>
  <c r="D7" i="4"/>
  <c r="C7" i="4"/>
  <c r="V6" i="4"/>
  <c r="P6" i="4"/>
  <c r="O6" i="4"/>
  <c r="J6" i="4"/>
  <c r="H6" i="4"/>
  <c r="G6" i="4"/>
  <c r="F6" i="4"/>
  <c r="E6" i="4"/>
  <c r="D6" i="4"/>
  <c r="C6" i="4"/>
  <c r="P5" i="4"/>
  <c r="O5" i="4"/>
  <c r="J5" i="4"/>
  <c r="H5" i="4"/>
  <c r="G5" i="4"/>
  <c r="F5" i="4"/>
  <c r="E5" i="4"/>
  <c r="D5" i="4"/>
  <c r="C5" i="4"/>
  <c r="V4" i="4"/>
  <c r="P4" i="4"/>
  <c r="O4" i="4"/>
  <c r="J4" i="4"/>
  <c r="H4" i="4"/>
  <c r="G4" i="4"/>
  <c r="F4" i="4"/>
  <c r="E4" i="4"/>
  <c r="D4" i="4"/>
  <c r="C4" i="4"/>
  <c r="V3" i="4"/>
  <c r="P3" i="4"/>
  <c r="O3" i="4"/>
  <c r="J3" i="4"/>
  <c r="H3" i="4"/>
  <c r="G3" i="4"/>
  <c r="F3" i="4"/>
  <c r="E3" i="4"/>
  <c r="D3" i="4"/>
  <c r="C3" i="4"/>
  <c r="P2" i="4"/>
  <c r="O2" i="4"/>
  <c r="J2" i="4"/>
  <c r="H2" i="4"/>
  <c r="G2" i="4"/>
  <c r="F2" i="4"/>
  <c r="E2" i="4"/>
  <c r="D2" i="4"/>
  <c r="C2" i="4"/>
  <c r="G10" i="3"/>
  <c r="C68" i="2" s="1"/>
  <c r="G9" i="3"/>
  <c r="C67" i="2" s="1"/>
  <c r="G8" i="3"/>
  <c r="G7" i="3"/>
  <c r="C66" i="2"/>
  <c r="C65" i="2"/>
  <c r="T50" i="2"/>
  <c r="T18" i="6" s="1"/>
  <c r="R50" i="2"/>
  <c r="R18" i="6" s="1"/>
  <c r="N50" i="2"/>
  <c r="N18" i="6" s="1"/>
  <c r="M50" i="2"/>
  <c r="M18" i="6" s="1"/>
  <c r="L50" i="2"/>
  <c r="L18" i="6" s="1"/>
  <c r="K50" i="2"/>
  <c r="K18" i="6" s="1"/>
  <c r="P33" i="6" s="1"/>
  <c r="I50" i="2"/>
  <c r="I18" i="6" s="1"/>
  <c r="N49" i="2"/>
  <c r="S49" i="2" s="1"/>
  <c r="M49" i="2"/>
  <c r="R49" i="2" s="1"/>
  <c r="L49" i="2"/>
  <c r="K49" i="2"/>
  <c r="I49" i="2"/>
  <c r="I48" i="2"/>
  <c r="K48" i="2"/>
  <c r="N47" i="2"/>
  <c r="S47" i="2" s="1"/>
  <c r="M47" i="2"/>
  <c r="L47" i="2"/>
  <c r="K47" i="2"/>
  <c r="I47" i="2"/>
  <c r="N46" i="2"/>
  <c r="M46" i="2"/>
  <c r="L46" i="2"/>
  <c r="K46" i="2"/>
  <c r="I46" i="2"/>
  <c r="N45" i="2"/>
  <c r="S45" i="2" s="1"/>
  <c r="M45" i="2"/>
  <c r="R45" i="2" s="1"/>
  <c r="L45" i="2"/>
  <c r="K45" i="2"/>
  <c r="I45" i="2"/>
  <c r="T44" i="2"/>
  <c r="T20" i="4" s="1"/>
  <c r="S44" i="2"/>
  <c r="S20" i="4" s="1"/>
  <c r="R44" i="2"/>
  <c r="R20" i="4" s="1"/>
  <c r="Q44" i="2"/>
  <c r="Q20" i="4" s="1"/>
  <c r="N44" i="2"/>
  <c r="N20" i="4" s="1"/>
  <c r="M44" i="2"/>
  <c r="M20" i="4" s="1"/>
  <c r="L44" i="2"/>
  <c r="L20" i="4" s="1"/>
  <c r="K44" i="2"/>
  <c r="K20" i="4" s="1"/>
  <c r="I44" i="2"/>
  <c r="I20" i="4" s="1"/>
  <c r="T43" i="2"/>
  <c r="T19" i="4" s="1"/>
  <c r="S43" i="2"/>
  <c r="S19" i="4" s="1"/>
  <c r="R43" i="2"/>
  <c r="R19" i="4" s="1"/>
  <c r="N43" i="2"/>
  <c r="N19" i="4" s="1"/>
  <c r="M43" i="2"/>
  <c r="M19" i="4" s="1"/>
  <c r="L43" i="2"/>
  <c r="L19" i="4" s="1"/>
  <c r="K43" i="2"/>
  <c r="K19" i="4" s="1"/>
  <c r="I43" i="2"/>
  <c r="I19" i="4" s="1"/>
  <c r="T42" i="2"/>
  <c r="T15" i="5" s="1"/>
  <c r="S42" i="2"/>
  <c r="S15" i="5" s="1"/>
  <c r="R42" i="2"/>
  <c r="R15" i="5" s="1"/>
  <c r="N42" i="2"/>
  <c r="N15" i="5" s="1"/>
  <c r="M42" i="2"/>
  <c r="Q42" i="2" s="1"/>
  <c r="Q15" i="5" s="1"/>
  <c r="L42" i="2"/>
  <c r="L15" i="5" s="1"/>
  <c r="V15" i="5" s="1"/>
  <c r="K42" i="2"/>
  <c r="I42" i="2"/>
  <c r="I15" i="5" s="1"/>
  <c r="N41" i="2"/>
  <c r="R41" i="2" s="1"/>
  <c r="R14" i="5" s="1"/>
  <c r="M41" i="2"/>
  <c r="M14" i="5" s="1"/>
  <c r="L41" i="2"/>
  <c r="L14" i="5" s="1"/>
  <c r="K41" i="2"/>
  <c r="I41" i="2"/>
  <c r="I14" i="5" s="1"/>
  <c r="N40" i="2"/>
  <c r="R40" i="2" s="1"/>
  <c r="R13" i="5" s="1"/>
  <c r="M40" i="2"/>
  <c r="M13" i="5" s="1"/>
  <c r="L40" i="2"/>
  <c r="L13" i="5" s="1"/>
  <c r="K40" i="2"/>
  <c r="I40" i="2"/>
  <c r="I13" i="5" s="1"/>
  <c r="N39" i="2"/>
  <c r="N12" i="5" s="1"/>
  <c r="M39" i="2"/>
  <c r="L39" i="2"/>
  <c r="L12" i="5" s="1"/>
  <c r="K39" i="2"/>
  <c r="K12" i="5" s="1"/>
  <c r="I39" i="2"/>
  <c r="I12" i="5" s="1"/>
  <c r="N38" i="2"/>
  <c r="Q38" i="2" s="1"/>
  <c r="Q18" i="4" s="1"/>
  <c r="M38" i="2"/>
  <c r="M18" i="4" s="1"/>
  <c r="L38" i="2"/>
  <c r="L18" i="4" s="1"/>
  <c r="K38" i="2"/>
  <c r="K18" i="4" s="1"/>
  <c r="I38" i="2"/>
  <c r="I18" i="4" s="1"/>
  <c r="Q37" i="2"/>
  <c r="Q17" i="4" s="1"/>
  <c r="N37" i="2"/>
  <c r="M37" i="2"/>
  <c r="T37" i="2" s="1"/>
  <c r="T17" i="4" s="1"/>
  <c r="L37" i="2"/>
  <c r="L17" i="4" s="1"/>
  <c r="K37" i="2"/>
  <c r="K17" i="4" s="1"/>
  <c r="I37" i="2"/>
  <c r="I17" i="4" s="1"/>
  <c r="T36" i="2"/>
  <c r="T16" i="4" s="1"/>
  <c r="R36" i="2"/>
  <c r="R16" i="4" s="1"/>
  <c r="Q36" i="2"/>
  <c r="Q16" i="4" s="1"/>
  <c r="N36" i="2"/>
  <c r="N16" i="4" s="1"/>
  <c r="M36" i="2"/>
  <c r="S36" i="2" s="1"/>
  <c r="S16" i="4" s="1"/>
  <c r="L36" i="2"/>
  <c r="L16" i="4" s="1"/>
  <c r="K36" i="2"/>
  <c r="I36" i="2"/>
  <c r="I16" i="4" s="1"/>
  <c r="R35" i="2"/>
  <c r="R11" i="5" s="1"/>
  <c r="Q35" i="2"/>
  <c r="Q11" i="5" s="1"/>
  <c r="N35" i="2"/>
  <c r="M35" i="2"/>
  <c r="M11" i="5" s="1"/>
  <c r="L35" i="2"/>
  <c r="L11" i="5" s="1"/>
  <c r="K35" i="2"/>
  <c r="K11" i="5" s="1"/>
  <c r="I35" i="2"/>
  <c r="I11" i="5" s="1"/>
  <c r="T34" i="2"/>
  <c r="T10" i="5" s="1"/>
  <c r="S34" i="2"/>
  <c r="S10" i="5" s="1"/>
  <c r="W10" i="5" s="1"/>
  <c r="N34" i="2"/>
  <c r="N10" i="5" s="1"/>
  <c r="M34" i="2"/>
  <c r="M10" i="5" s="1"/>
  <c r="L34" i="2"/>
  <c r="L10" i="5" s="1"/>
  <c r="K34" i="2"/>
  <c r="K10" i="5" s="1"/>
  <c r="I34" i="2"/>
  <c r="I10" i="5" s="1"/>
  <c r="N33" i="2"/>
  <c r="T33" i="2" s="1"/>
  <c r="T16" i="6" s="1"/>
  <c r="X16" i="6" s="1"/>
  <c r="M33" i="2"/>
  <c r="L33" i="2"/>
  <c r="L16" i="6" s="1"/>
  <c r="K33" i="2"/>
  <c r="K9" i="5" s="1"/>
  <c r="I33" i="2"/>
  <c r="I16" i="6" s="1"/>
  <c r="T32" i="2"/>
  <c r="N32" i="2"/>
  <c r="R32" i="2" s="1"/>
  <c r="M32" i="2"/>
  <c r="S32" i="2" s="1"/>
  <c r="L32" i="2"/>
  <c r="K32" i="2"/>
  <c r="I32" i="2"/>
  <c r="T31" i="2"/>
  <c r="T15" i="4" s="1"/>
  <c r="R31" i="2"/>
  <c r="R15" i="4" s="1"/>
  <c r="N31" i="2"/>
  <c r="N15" i="4" s="1"/>
  <c r="M31" i="2"/>
  <c r="L31" i="2"/>
  <c r="L15" i="4" s="1"/>
  <c r="K31" i="2"/>
  <c r="K15" i="4" s="1"/>
  <c r="I31" i="2"/>
  <c r="I15" i="4" s="1"/>
  <c r="S30" i="2"/>
  <c r="R30" i="2"/>
  <c r="N30" i="2"/>
  <c r="N14" i="4" s="1"/>
  <c r="M30" i="2"/>
  <c r="M17" i="6" s="1"/>
  <c r="L30" i="2"/>
  <c r="L17" i="6" s="1"/>
  <c r="K30" i="2"/>
  <c r="I30" i="2"/>
  <c r="I17" i="6" s="1"/>
  <c r="S29" i="2"/>
  <c r="S15" i="6" s="1"/>
  <c r="R29" i="2"/>
  <c r="R15" i="6" s="1"/>
  <c r="V15" i="6" s="1"/>
  <c r="N29" i="2"/>
  <c r="M29" i="2"/>
  <c r="M13" i="4" s="1"/>
  <c r="L29" i="2"/>
  <c r="K29" i="2"/>
  <c r="K15" i="6" s="1"/>
  <c r="I29" i="2"/>
  <c r="I13" i="4" s="1"/>
  <c r="N28" i="2"/>
  <c r="N14" i="6" s="1"/>
  <c r="M28" i="2"/>
  <c r="M14" i="6" s="1"/>
  <c r="L28" i="2"/>
  <c r="L14" i="6" s="1"/>
  <c r="K28" i="2"/>
  <c r="I28" i="2"/>
  <c r="T27" i="2"/>
  <c r="T8" i="5" s="1"/>
  <c r="S27" i="2"/>
  <c r="S8" i="5" s="1"/>
  <c r="Q27" i="2"/>
  <c r="Q8" i="5" s="1"/>
  <c r="N27" i="2"/>
  <c r="N8" i="5" s="1"/>
  <c r="M27" i="2"/>
  <c r="M8" i="5" s="1"/>
  <c r="L27" i="2"/>
  <c r="L8" i="5" s="1"/>
  <c r="K27" i="2"/>
  <c r="I27" i="2"/>
  <c r="I8" i="5" s="1"/>
  <c r="N26" i="2"/>
  <c r="N13" i="6" s="1"/>
  <c r="M26" i="2"/>
  <c r="M13" i="6" s="1"/>
  <c r="L26" i="2"/>
  <c r="L13" i="6" s="1"/>
  <c r="W30" i="6" s="1"/>
  <c r="K26" i="2"/>
  <c r="K13" i="6" s="1"/>
  <c r="I26" i="2"/>
  <c r="I13" i="6" s="1"/>
  <c r="N25" i="2"/>
  <c r="Q25" i="2" s="1"/>
  <c r="M25" i="2"/>
  <c r="R25" i="2" s="1"/>
  <c r="L25" i="2"/>
  <c r="K25" i="2"/>
  <c r="I25" i="2"/>
  <c r="Q24" i="2"/>
  <c r="Q12" i="6" s="1"/>
  <c r="N24" i="2"/>
  <c r="N12" i="6" s="1"/>
  <c r="M24" i="2"/>
  <c r="S24" i="2" s="1"/>
  <c r="S12" i="6" s="1"/>
  <c r="L24" i="2"/>
  <c r="L12" i="6" s="1"/>
  <c r="K24" i="2"/>
  <c r="K12" i="6" s="1"/>
  <c r="I24" i="2"/>
  <c r="I12" i="6" s="1"/>
  <c r="N23" i="2"/>
  <c r="N11" i="6" s="1"/>
  <c r="M23" i="2"/>
  <c r="M11" i="6" s="1"/>
  <c r="L23" i="2"/>
  <c r="K23" i="2"/>
  <c r="I23" i="2"/>
  <c r="I7" i="5" s="1"/>
  <c r="N22" i="2"/>
  <c r="T22" i="2" s="1"/>
  <c r="T6" i="5" s="1"/>
  <c r="M22" i="2"/>
  <c r="M6" i="5" s="1"/>
  <c r="L22" i="2"/>
  <c r="L6" i="5" s="1"/>
  <c r="K22" i="2"/>
  <c r="K6" i="5" s="1"/>
  <c r="I22" i="2"/>
  <c r="I6" i="5" s="1"/>
  <c r="N21" i="2"/>
  <c r="N11" i="4" s="1"/>
  <c r="M21" i="2"/>
  <c r="T21" i="2" s="1"/>
  <c r="T11" i="4" s="1"/>
  <c r="L21" i="2"/>
  <c r="L11" i="4" s="1"/>
  <c r="K21" i="2"/>
  <c r="K11" i="4" s="1"/>
  <c r="I21" i="2"/>
  <c r="I11" i="4" s="1"/>
  <c r="N20" i="2"/>
  <c r="N10" i="6" s="1"/>
  <c r="M20" i="2"/>
  <c r="M10" i="6" s="1"/>
  <c r="L20" i="2"/>
  <c r="L10" i="6" s="1"/>
  <c r="K20" i="2"/>
  <c r="K10" i="6" s="1"/>
  <c r="I20" i="2"/>
  <c r="I10" i="6" s="1"/>
  <c r="T19" i="2"/>
  <c r="T5" i="5" s="1"/>
  <c r="S19" i="2"/>
  <c r="S5" i="5" s="1"/>
  <c r="N19" i="2"/>
  <c r="N5" i="5" s="1"/>
  <c r="M19" i="2"/>
  <c r="M5" i="5" s="1"/>
  <c r="L19" i="2"/>
  <c r="L5" i="5" s="1"/>
  <c r="K19" i="2"/>
  <c r="K5" i="5" s="1"/>
  <c r="I19" i="2"/>
  <c r="I5" i="5" s="1"/>
  <c r="N18" i="2"/>
  <c r="N9" i="6" s="1"/>
  <c r="M18" i="2"/>
  <c r="M9" i="6" s="1"/>
  <c r="L18" i="2"/>
  <c r="L9" i="6" s="1"/>
  <c r="K18" i="2"/>
  <c r="K9" i="6" s="1"/>
  <c r="I18" i="2"/>
  <c r="I9" i="6" s="1"/>
  <c r="T17" i="2"/>
  <c r="T10" i="4" s="1"/>
  <c r="Q17" i="2"/>
  <c r="Q10" i="4" s="1"/>
  <c r="N17" i="2"/>
  <c r="N10" i="4" s="1"/>
  <c r="M17" i="2"/>
  <c r="M10" i="4" s="1"/>
  <c r="L17" i="2"/>
  <c r="L10" i="4" s="1"/>
  <c r="K17" i="2"/>
  <c r="K10" i="4" s="1"/>
  <c r="I17" i="2"/>
  <c r="I10" i="4" s="1"/>
  <c r="R16" i="2"/>
  <c r="R8" i="6" s="1"/>
  <c r="Q16" i="2"/>
  <c r="Q8" i="6" s="1"/>
  <c r="N16" i="2"/>
  <c r="N8" i="6" s="1"/>
  <c r="M16" i="2"/>
  <c r="M8" i="6" s="1"/>
  <c r="L16" i="2"/>
  <c r="L8" i="6" s="1"/>
  <c r="K16" i="2"/>
  <c r="K8" i="6" s="1"/>
  <c r="I16" i="2"/>
  <c r="I8" i="6" s="1"/>
  <c r="N15" i="2"/>
  <c r="N7" i="6" s="1"/>
  <c r="M15" i="2"/>
  <c r="M7" i="6" s="1"/>
  <c r="L15" i="2"/>
  <c r="L7" i="6" s="1"/>
  <c r="K15" i="2"/>
  <c r="K7" i="6" s="1"/>
  <c r="X28" i="6" s="1"/>
  <c r="I15" i="2"/>
  <c r="I7" i="6" s="1"/>
  <c r="N14" i="2"/>
  <c r="N6" i="6" s="1"/>
  <c r="M14" i="2"/>
  <c r="M6" i="6" s="1"/>
  <c r="L14" i="2"/>
  <c r="K14" i="2"/>
  <c r="I14" i="2"/>
  <c r="I6" i="6" s="1"/>
  <c r="T13" i="2"/>
  <c r="T9" i="4" s="1"/>
  <c r="N13" i="2"/>
  <c r="N9" i="4" s="1"/>
  <c r="M13" i="2"/>
  <c r="M9" i="4" s="1"/>
  <c r="L13" i="2"/>
  <c r="L9" i="4" s="1"/>
  <c r="K13" i="2"/>
  <c r="K9" i="4" s="1"/>
  <c r="I13" i="2"/>
  <c r="I9" i="4" s="1"/>
  <c r="N12" i="2"/>
  <c r="N4" i="5" s="1"/>
  <c r="M12" i="2"/>
  <c r="Q12" i="2" s="1"/>
  <c r="L12" i="2"/>
  <c r="K12" i="2"/>
  <c r="I12" i="2"/>
  <c r="N11" i="2"/>
  <c r="S11" i="2" s="1"/>
  <c r="S8" i="4" s="1"/>
  <c r="M11" i="2"/>
  <c r="M8" i="4" s="1"/>
  <c r="L11" i="2"/>
  <c r="L8" i="4" s="1"/>
  <c r="K11" i="2"/>
  <c r="K8" i="4" s="1"/>
  <c r="I11" i="2"/>
  <c r="I8" i="4" s="1"/>
  <c r="N10" i="2"/>
  <c r="N7" i="4" s="1"/>
  <c r="M10" i="2"/>
  <c r="R10" i="2" s="1"/>
  <c r="R7" i="4" s="1"/>
  <c r="L10" i="2"/>
  <c r="L7" i="4" s="1"/>
  <c r="K10" i="2"/>
  <c r="K7" i="4" s="1"/>
  <c r="I10" i="2"/>
  <c r="I7" i="4" s="1"/>
  <c r="N9" i="2"/>
  <c r="N4" i="6" s="1"/>
  <c r="M9" i="2"/>
  <c r="M4" i="6" s="1"/>
  <c r="L9" i="2"/>
  <c r="L4" i="6" s="1"/>
  <c r="K9" i="2"/>
  <c r="K4" i="6" s="1"/>
  <c r="I9" i="2"/>
  <c r="I4" i="6" s="1"/>
  <c r="N8" i="2"/>
  <c r="R8" i="2" s="1"/>
  <c r="M8" i="2"/>
  <c r="T8" i="2" s="1"/>
  <c r="L8" i="2"/>
  <c r="K8" i="2"/>
  <c r="I8" i="2"/>
  <c r="N7" i="2"/>
  <c r="R7" i="2" s="1"/>
  <c r="M7" i="2"/>
  <c r="Q7" i="2" s="1"/>
  <c r="L7" i="2"/>
  <c r="K7" i="2"/>
  <c r="K3" i="6" s="1"/>
  <c r="I7" i="2"/>
  <c r="I6" i="4" s="1"/>
  <c r="N6" i="2"/>
  <c r="M6" i="2"/>
  <c r="R6" i="2" s="1"/>
  <c r="L6" i="2"/>
  <c r="K6" i="2"/>
  <c r="I6" i="2"/>
  <c r="I2" i="6" s="1"/>
  <c r="N5" i="2"/>
  <c r="N3" i="5" s="1"/>
  <c r="M5" i="2"/>
  <c r="M3" i="5" s="1"/>
  <c r="L5" i="2"/>
  <c r="K5" i="2"/>
  <c r="I5" i="2"/>
  <c r="N4" i="2"/>
  <c r="N2" i="5" s="1"/>
  <c r="M4" i="2"/>
  <c r="M2" i="5" s="1"/>
  <c r="L4" i="2"/>
  <c r="L2" i="5" s="1"/>
  <c r="K4" i="2"/>
  <c r="K2" i="5" s="1"/>
  <c r="I4" i="2"/>
  <c r="I2" i="5" s="1"/>
  <c r="N3" i="2"/>
  <c r="N3" i="4" s="1"/>
  <c r="M3" i="2"/>
  <c r="M3" i="4" s="1"/>
  <c r="L3" i="2"/>
  <c r="L3" i="4" s="1"/>
  <c r="K3" i="2"/>
  <c r="K3" i="4" s="1"/>
  <c r="I3" i="2"/>
  <c r="I3" i="4" s="1"/>
  <c r="N2" i="2"/>
  <c r="N2" i="4" s="1"/>
  <c r="M2" i="2"/>
  <c r="M2" i="4" s="1"/>
  <c r="L2" i="2"/>
  <c r="L2" i="4" s="1"/>
  <c r="K2" i="2"/>
  <c r="K2" i="4" s="1"/>
  <c r="I2" i="2"/>
  <c r="I2" i="4" s="1"/>
  <c r="X9" i="4" l="1"/>
  <c r="U10" i="4"/>
  <c r="T16" i="2"/>
  <c r="T8" i="6" s="1"/>
  <c r="T29" i="2"/>
  <c r="I11" i="6"/>
  <c r="K16" i="6"/>
  <c r="R19" i="2"/>
  <c r="R5" i="5" s="1"/>
  <c r="V5" i="5" s="1"/>
  <c r="R26" i="2"/>
  <c r="R13" i="6" s="1"/>
  <c r="V13" i="6" s="1"/>
  <c r="T26" i="2"/>
  <c r="T13" i="6" s="1"/>
  <c r="X8" i="5"/>
  <c r="X10" i="5"/>
  <c r="S35" i="2"/>
  <c r="S11" i="5" s="1"/>
  <c r="M16" i="4"/>
  <c r="L9" i="5"/>
  <c r="W12" i="6"/>
  <c r="S25" i="2"/>
  <c r="Q32" i="2"/>
  <c r="Q43" i="2"/>
  <c r="Q19" i="4" s="1"/>
  <c r="Q50" i="2"/>
  <c r="Q18" i="6" s="1"/>
  <c r="N17" i="6"/>
  <c r="I3" i="7"/>
  <c r="R13" i="2"/>
  <c r="R9" i="4" s="1"/>
  <c r="D26" i="10"/>
  <c r="K3" i="7"/>
  <c r="X15" i="4"/>
  <c r="X15" i="5"/>
  <c r="W19" i="4"/>
  <c r="S50" i="2"/>
  <c r="S18" i="6" s="1"/>
  <c r="I3" i="6"/>
  <c r="M15" i="6"/>
  <c r="N3" i="7"/>
  <c r="S3" i="7" s="1"/>
  <c r="W3" i="7" s="1"/>
  <c r="X10" i="4"/>
  <c r="N13" i="5"/>
  <c r="D20" i="10"/>
  <c r="X11" i="4"/>
  <c r="M11" i="4"/>
  <c r="I5" i="4"/>
  <c r="N8" i="4"/>
  <c r="N12" i="4"/>
  <c r="T49" i="2"/>
  <c r="T2" i="2"/>
  <c r="T2" i="4" s="1"/>
  <c r="X2" i="4" s="1"/>
  <c r="T10" i="2"/>
  <c r="T7" i="4" s="1"/>
  <c r="X7" i="4" s="1"/>
  <c r="R4" i="2"/>
  <c r="R2" i="5" s="1"/>
  <c r="V2" i="5" s="1"/>
  <c r="R39" i="2"/>
  <c r="R12" i="5" s="1"/>
  <c r="V12" i="5" s="1"/>
  <c r="T18" i="2"/>
  <c r="T9" i="6" s="1"/>
  <c r="X9" i="6" s="1"/>
  <c r="S3" i="2"/>
  <c r="S3" i="4" s="1"/>
  <c r="W3" i="4" s="1"/>
  <c r="T39" i="2"/>
  <c r="T12" i="5" s="1"/>
  <c r="X12" i="5" s="1"/>
  <c r="T3" i="2"/>
  <c r="T3" i="4" s="1"/>
  <c r="X3" i="4" s="1"/>
  <c r="S9" i="2"/>
  <c r="S4" i="6" s="1"/>
  <c r="W4" i="6" s="1"/>
  <c r="Q11" i="2"/>
  <c r="Q8" i="4" s="1"/>
  <c r="U8" i="4" s="1"/>
  <c r="T9" i="2"/>
  <c r="T4" i="6" s="1"/>
  <c r="X4" i="6" s="1"/>
  <c r="S20" i="2"/>
  <c r="S10" i="6" s="1"/>
  <c r="W10" i="6" s="1"/>
  <c r="S5" i="2"/>
  <c r="S3" i="5" s="1"/>
  <c r="T20" i="2"/>
  <c r="T10" i="6" s="1"/>
  <c r="X10" i="6" s="1"/>
  <c r="S4" i="2"/>
  <c r="S2" i="5" s="1"/>
  <c r="W2" i="5" s="1"/>
  <c r="S2" i="2"/>
  <c r="S2" i="4" s="1"/>
  <c r="W2" i="4" s="1"/>
  <c r="S12" i="2"/>
  <c r="S5" i="6" s="1"/>
  <c r="Q40" i="2"/>
  <c r="Q13" i="5" s="1"/>
  <c r="S41" i="2"/>
  <c r="S14" i="5" s="1"/>
  <c r="S40" i="2"/>
  <c r="S13" i="5" s="1"/>
  <c r="T41" i="2"/>
  <c r="T14" i="5" s="1"/>
  <c r="T11" i="2"/>
  <c r="T8" i="4" s="1"/>
  <c r="X8" i="4" s="1"/>
  <c r="T40" i="2"/>
  <c r="T13" i="5" s="1"/>
  <c r="R3" i="2"/>
  <c r="R3" i="4" s="1"/>
  <c r="Q4" i="2"/>
  <c r="Q2" i="5" s="1"/>
  <c r="U2" i="5" s="1"/>
  <c r="Q9" i="2"/>
  <c r="Q4" i="6" s="1"/>
  <c r="U4" i="6" s="1"/>
  <c r="S10" i="2"/>
  <c r="S7" i="4" s="1"/>
  <c r="W7" i="4" s="1"/>
  <c r="R11" i="2"/>
  <c r="R8" i="4" s="1"/>
  <c r="Q20" i="2"/>
  <c r="Q10" i="6" s="1"/>
  <c r="U10" i="6" s="1"/>
  <c r="R5" i="2"/>
  <c r="R4" i="4" s="1"/>
  <c r="R12" i="2"/>
  <c r="R5" i="6" s="1"/>
  <c r="S18" i="2"/>
  <c r="S9" i="6" s="1"/>
  <c r="W9" i="6" s="1"/>
  <c r="R20" i="2"/>
  <c r="R10" i="6" s="1"/>
  <c r="V10" i="6" s="1"/>
  <c r="R21" i="2"/>
  <c r="R11" i="4" s="1"/>
  <c r="Q49" i="2"/>
  <c r="S28" i="2"/>
  <c r="S14" i="6" s="1"/>
  <c r="T4" i="2"/>
  <c r="T2" i="5" s="1"/>
  <c r="X2" i="5" s="1"/>
  <c r="T12" i="2"/>
  <c r="T5" i="6" s="1"/>
  <c r="T28" i="2"/>
  <c r="T14" i="6" s="1"/>
  <c r="Q3" i="6"/>
  <c r="U3" i="6" s="1"/>
  <c r="Q6" i="4"/>
  <c r="U18" i="4"/>
  <c r="T4" i="7"/>
  <c r="S4" i="7"/>
  <c r="Q4" i="7"/>
  <c r="U20" i="4"/>
  <c r="R3" i="6"/>
  <c r="V3" i="6" s="1"/>
  <c r="R6" i="4"/>
  <c r="R2" i="6"/>
  <c r="R5" i="4"/>
  <c r="Q4" i="5"/>
  <c r="Q5" i="6"/>
  <c r="X8" i="6"/>
  <c r="I15" i="6"/>
  <c r="U18" i="6"/>
  <c r="V18" i="6"/>
  <c r="X18" i="6"/>
  <c r="W18" i="6"/>
  <c r="I4" i="5"/>
  <c r="I5" i="6"/>
  <c r="S13" i="2"/>
  <c r="S9" i="4" s="1"/>
  <c r="W9" i="4" s="1"/>
  <c r="R14" i="2"/>
  <c r="R6" i="6" s="1"/>
  <c r="Q15" i="2"/>
  <c r="Q7" i="6" s="1"/>
  <c r="U7" i="6" s="1"/>
  <c r="S21" i="2"/>
  <c r="S11" i="4" s="1"/>
  <c r="W11" i="4" s="1"/>
  <c r="R22" i="2"/>
  <c r="R6" i="5" s="1"/>
  <c r="V6" i="5" s="1"/>
  <c r="Q23" i="2"/>
  <c r="D28" i="10"/>
  <c r="D29" i="10"/>
  <c r="M12" i="5"/>
  <c r="S39" i="2"/>
  <c r="S12" i="5" s="1"/>
  <c r="W12" i="5" s="1"/>
  <c r="Q39" i="2"/>
  <c r="Q12" i="5" s="1"/>
  <c r="U12" i="5" s="1"/>
  <c r="S46" i="2"/>
  <c r="Q46" i="2"/>
  <c r="K6" i="4"/>
  <c r="M7" i="4"/>
  <c r="M12" i="4"/>
  <c r="X16" i="4"/>
  <c r="N18" i="4"/>
  <c r="N6" i="5"/>
  <c r="K8" i="5"/>
  <c r="W8" i="5" s="1"/>
  <c r="N14" i="5"/>
  <c r="I2" i="7"/>
  <c r="N2" i="7"/>
  <c r="R2" i="7" s="1"/>
  <c r="K2" i="7"/>
  <c r="M2" i="7"/>
  <c r="M2" i="6"/>
  <c r="M5" i="4"/>
  <c r="L3" i="6"/>
  <c r="L6" i="4"/>
  <c r="R17" i="6"/>
  <c r="R14" i="4"/>
  <c r="Q5" i="2"/>
  <c r="N2" i="6"/>
  <c r="N5" i="4"/>
  <c r="M3" i="6"/>
  <c r="M6" i="4"/>
  <c r="Q13" i="2"/>
  <c r="Q9" i="4" s="1"/>
  <c r="Q6" i="2"/>
  <c r="S6" i="2"/>
  <c r="Q8" i="2"/>
  <c r="K5" i="6"/>
  <c r="K4" i="5"/>
  <c r="R15" i="2"/>
  <c r="R7" i="6" s="1"/>
  <c r="V7" i="6" s="1"/>
  <c r="S22" i="2"/>
  <c r="S6" i="5" s="1"/>
  <c r="W6" i="5" s="1"/>
  <c r="L15" i="6"/>
  <c r="L13" i="4"/>
  <c r="K17" i="6"/>
  <c r="V31" i="6" s="1"/>
  <c r="K14" i="4"/>
  <c r="W14" i="4" s="1"/>
  <c r="U11" i="5"/>
  <c r="V14" i="5"/>
  <c r="T6" i="2"/>
  <c r="T14" i="2"/>
  <c r="T6" i="6" s="1"/>
  <c r="M15" i="4"/>
  <c r="S31" i="2"/>
  <c r="S15" i="4" s="1"/>
  <c r="W15" i="4" s="1"/>
  <c r="T38" i="2"/>
  <c r="T18" i="4" s="1"/>
  <c r="R38" i="2"/>
  <c r="R18" i="4" s="1"/>
  <c r="L11" i="6"/>
  <c r="V30" i="6" s="1"/>
  <c r="U30" i="6" s="1"/>
  <c r="L7" i="5"/>
  <c r="Q21" i="2"/>
  <c r="Q11" i="4" s="1"/>
  <c r="U11" i="4" s="1"/>
  <c r="I14" i="6"/>
  <c r="I12" i="4"/>
  <c r="Q14" i="2"/>
  <c r="Q6" i="6" s="1"/>
  <c r="M12" i="6"/>
  <c r="R24" i="2"/>
  <c r="R12" i="6" s="1"/>
  <c r="D44" i="10"/>
  <c r="D41" i="10"/>
  <c r="K12" i="4"/>
  <c r="T15" i="6"/>
  <c r="X15" i="6" s="1"/>
  <c r="T13" i="4"/>
  <c r="X13" i="4" s="1"/>
  <c r="T5" i="2"/>
  <c r="R23" i="2"/>
  <c r="Q26" i="2"/>
  <c r="Q13" i="6" s="1"/>
  <c r="U13" i="6" s="1"/>
  <c r="K3" i="5"/>
  <c r="K4" i="4"/>
  <c r="S7" i="2"/>
  <c r="L5" i="6"/>
  <c r="L4" i="5"/>
  <c r="S15" i="2"/>
  <c r="S7" i="6" s="1"/>
  <c r="W7" i="6" s="1"/>
  <c r="S23" i="2"/>
  <c r="V11" i="5"/>
  <c r="Q45" i="2"/>
  <c r="R13" i="4"/>
  <c r="T9" i="5"/>
  <c r="Q2" i="2"/>
  <c r="Q2" i="4" s="1"/>
  <c r="L3" i="5"/>
  <c r="L4" i="4"/>
  <c r="K5" i="4"/>
  <c r="K2" i="6"/>
  <c r="T7" i="2"/>
  <c r="S8" i="2"/>
  <c r="R9" i="2"/>
  <c r="R4" i="6" s="1"/>
  <c r="V4" i="6" s="1"/>
  <c r="Q10" i="2"/>
  <c r="Q7" i="4" s="1"/>
  <c r="U7" i="4" s="1"/>
  <c r="M4" i="5"/>
  <c r="M5" i="6"/>
  <c r="D43" i="10"/>
  <c r="D18" i="10"/>
  <c r="K6" i="6"/>
  <c r="W28" i="6" s="1"/>
  <c r="T15" i="2"/>
  <c r="T7" i="6" s="1"/>
  <c r="X7" i="6" s="1"/>
  <c r="S16" i="2"/>
  <c r="S8" i="6" s="1"/>
  <c r="W8" i="6" s="1"/>
  <c r="R17" i="2"/>
  <c r="R10" i="4" s="1"/>
  <c r="Q18" i="2"/>
  <c r="Q9" i="6" s="1"/>
  <c r="U9" i="6" s="1"/>
  <c r="T23" i="2"/>
  <c r="T24" i="2"/>
  <c r="T12" i="6" s="1"/>
  <c r="X12" i="6" s="1"/>
  <c r="T25" i="2"/>
  <c r="S26" i="2"/>
  <c r="S13" i="6" s="1"/>
  <c r="W13" i="6" s="1"/>
  <c r="R27" i="2"/>
  <c r="R8" i="5" s="1"/>
  <c r="V8" i="5" s="1"/>
  <c r="Q28" i="2"/>
  <c r="N13" i="4"/>
  <c r="N15" i="6"/>
  <c r="T30" i="2"/>
  <c r="Q30" i="2"/>
  <c r="N16" i="6"/>
  <c r="N9" i="5"/>
  <c r="M17" i="4"/>
  <c r="R37" i="2"/>
  <c r="R17" i="4" s="1"/>
  <c r="T45" i="2"/>
  <c r="V5" i="4"/>
  <c r="V8" i="4"/>
  <c r="S13" i="4"/>
  <c r="L14" i="4"/>
  <c r="V15" i="4"/>
  <c r="X6" i="5"/>
  <c r="M7" i="5"/>
  <c r="M15" i="5"/>
  <c r="S17" i="6"/>
  <c r="S14" i="4"/>
  <c r="N3" i="6"/>
  <c r="N6" i="4"/>
  <c r="T46" i="2"/>
  <c r="R46" i="2"/>
  <c r="I4" i="4"/>
  <c r="I3" i="5"/>
  <c r="S14" i="2"/>
  <c r="S6" i="6" s="1"/>
  <c r="M16" i="6"/>
  <c r="Q33" i="2"/>
  <c r="M9" i="5"/>
  <c r="R2" i="2"/>
  <c r="R2" i="4" s="1"/>
  <c r="Q3" i="2"/>
  <c r="Q3" i="4" s="1"/>
  <c r="U3" i="4" s="1"/>
  <c r="L5" i="4"/>
  <c r="L2" i="6"/>
  <c r="X29" i="6" s="1"/>
  <c r="V29" i="6"/>
  <c r="D42" i="10"/>
  <c r="D21" i="10"/>
  <c r="L6" i="6"/>
  <c r="S17" i="2"/>
  <c r="S10" i="4" s="1"/>
  <c r="W10" i="4" s="1"/>
  <c r="R18" i="2"/>
  <c r="R9" i="6" s="1"/>
  <c r="V9" i="6" s="1"/>
  <c r="Q19" i="2"/>
  <c r="Q5" i="5" s="1"/>
  <c r="U5" i="5" s="1"/>
  <c r="K7" i="5"/>
  <c r="K11" i="6"/>
  <c r="X13" i="6"/>
  <c r="R28" i="2"/>
  <c r="Q29" i="2"/>
  <c r="Q31" i="2"/>
  <c r="Q15" i="4" s="1"/>
  <c r="U15" i="4" s="1"/>
  <c r="R33" i="2"/>
  <c r="Q34" i="2"/>
  <c r="Q10" i="5" s="1"/>
  <c r="U10" i="5" s="1"/>
  <c r="N11" i="5"/>
  <c r="T35" i="2"/>
  <c r="T11" i="5" s="1"/>
  <c r="X11" i="5" s="1"/>
  <c r="N17" i="4"/>
  <c r="S37" i="2"/>
  <c r="S17" i="4" s="1"/>
  <c r="S38" i="2"/>
  <c r="S18" i="4" s="1"/>
  <c r="W18" i="4" s="1"/>
  <c r="X20" i="4"/>
  <c r="T47" i="2"/>
  <c r="R47" i="2"/>
  <c r="M4" i="4"/>
  <c r="W8" i="4"/>
  <c r="V12" i="4"/>
  <c r="M14" i="4"/>
  <c r="V17" i="4"/>
  <c r="X17" i="4"/>
  <c r="W17" i="4"/>
  <c r="U17" i="4"/>
  <c r="N7" i="5"/>
  <c r="I9" i="5"/>
  <c r="K14" i="6"/>
  <c r="X31" i="6" s="1"/>
  <c r="S33" i="2"/>
  <c r="R34" i="2"/>
  <c r="R10" i="5" s="1"/>
  <c r="V10" i="5" s="1"/>
  <c r="D36" i="10"/>
  <c r="K13" i="5"/>
  <c r="D35" i="10"/>
  <c r="K14" i="5"/>
  <c r="N4" i="4"/>
  <c r="V9" i="4"/>
  <c r="U9" i="4"/>
  <c r="C5" i="7"/>
  <c r="N48" i="2"/>
  <c r="M48" i="2"/>
  <c r="L48" i="2"/>
  <c r="K16" i="4"/>
  <c r="U16" i="4" s="1"/>
  <c r="X19" i="4"/>
  <c r="W5" i="5"/>
  <c r="N5" i="6"/>
  <c r="X30" i="6"/>
  <c r="N4" i="7"/>
  <c r="R4" i="7" s="1"/>
  <c r="K4" i="7"/>
  <c r="I4" i="7"/>
  <c r="Q22" i="2"/>
  <c r="Q6" i="5" s="1"/>
  <c r="U6" i="5" s="1"/>
  <c r="K15" i="5"/>
  <c r="W15" i="5" s="1"/>
  <c r="D10" i="10"/>
  <c r="K13" i="4"/>
  <c r="X18" i="4"/>
  <c r="U8" i="5"/>
  <c r="W17" i="6"/>
  <c r="I6" i="7"/>
  <c r="N6" i="7"/>
  <c r="M6" i="7"/>
  <c r="K6" i="7"/>
  <c r="D13" i="10"/>
  <c r="Q47" i="2"/>
  <c r="W15" i="6"/>
  <c r="Q3" i="7"/>
  <c r="U3" i="7" s="1"/>
  <c r="L6" i="7"/>
  <c r="I14" i="4"/>
  <c r="U19" i="4"/>
  <c r="V12" i="6"/>
  <c r="U12" i="6"/>
  <c r="Q41" i="2"/>
  <c r="Q14" i="5" s="1"/>
  <c r="D9" i="10"/>
  <c r="D11" i="10" s="1"/>
  <c r="V13" i="4"/>
  <c r="W20" i="4"/>
  <c r="L12" i="4"/>
  <c r="W11" i="5"/>
  <c r="V13" i="5"/>
  <c r="V8" i="6"/>
  <c r="U8" i="6"/>
  <c r="X5" i="5"/>
  <c r="X9" i="5"/>
  <c r="M3" i="7"/>
  <c r="V17" i="6" l="1"/>
  <c r="E28" i="10"/>
  <c r="W13" i="4"/>
  <c r="S4" i="5"/>
  <c r="W4" i="5" s="1"/>
  <c r="S12" i="4"/>
  <c r="W12" i="4" s="1"/>
  <c r="W14" i="5"/>
  <c r="S4" i="4"/>
  <c r="W4" i="4" s="1"/>
  <c r="W5" i="6"/>
  <c r="R3" i="5"/>
  <c r="V3" i="5" s="1"/>
  <c r="R4" i="5"/>
  <c r="V4" i="5" s="1"/>
  <c r="T12" i="4"/>
  <c r="X12" i="4" s="1"/>
  <c r="U13" i="5"/>
  <c r="T4" i="5"/>
  <c r="X4" i="5" s="1"/>
  <c r="U14" i="5"/>
  <c r="E36" i="10"/>
  <c r="W3" i="5"/>
  <c r="V28" i="6"/>
  <c r="U28" i="6" s="1"/>
  <c r="V5" i="6"/>
  <c r="E21" i="10"/>
  <c r="X14" i="6"/>
  <c r="X5" i="6"/>
  <c r="E42" i="10"/>
  <c r="V6" i="6"/>
  <c r="V2" i="6"/>
  <c r="U6" i="6"/>
  <c r="W13" i="5"/>
  <c r="W6" i="6"/>
  <c r="X13" i="5"/>
  <c r="U4" i="5"/>
  <c r="X6" i="6"/>
  <c r="Q48" i="2"/>
  <c r="S48" i="2"/>
  <c r="S7" i="5"/>
  <c r="S11" i="6"/>
  <c r="W11" i="6" s="1"/>
  <c r="S5" i="4"/>
  <c r="W5" i="4" s="1"/>
  <c r="S2" i="6"/>
  <c r="T2" i="7"/>
  <c r="Q2" i="7"/>
  <c r="S2" i="7"/>
  <c r="X14" i="5"/>
  <c r="Q2" i="6"/>
  <c r="Q5" i="4"/>
  <c r="U5" i="4" s="1"/>
  <c r="Q4" i="4"/>
  <c r="U4" i="4" s="1"/>
  <c r="Q3" i="5"/>
  <c r="Q7" i="5"/>
  <c r="U7" i="5" s="1"/>
  <c r="Q11" i="6"/>
  <c r="U11" i="6" s="1"/>
  <c r="R3" i="7"/>
  <c r="V3" i="7" s="1"/>
  <c r="T3" i="7"/>
  <c r="X3" i="7" s="1"/>
  <c r="E34" i="10"/>
  <c r="D12" i="10"/>
  <c r="E12" i="10" s="1"/>
  <c r="U15" i="5"/>
  <c r="E35" i="10"/>
  <c r="T3" i="6"/>
  <c r="X3" i="6" s="1"/>
  <c r="T6" i="4"/>
  <c r="X6" i="4" s="1"/>
  <c r="E26" i="10"/>
  <c r="V2" i="7"/>
  <c r="U4" i="7"/>
  <c r="U6" i="4"/>
  <c r="V4" i="7"/>
  <c r="Q15" i="6"/>
  <c r="U15" i="6" s="1"/>
  <c r="Q13" i="4"/>
  <c r="U13" i="4" s="1"/>
  <c r="E19" i="10"/>
  <c r="E18" i="10"/>
  <c r="W16" i="4"/>
  <c r="E41" i="10"/>
  <c r="E27" i="10"/>
  <c r="W4" i="7"/>
  <c r="R16" i="6"/>
  <c r="V16" i="6" s="1"/>
  <c r="R9" i="5"/>
  <c r="V9" i="5" s="1"/>
  <c r="T6" i="7"/>
  <c r="X6" i="7" s="1"/>
  <c r="R6" i="7"/>
  <c r="V6" i="7" s="1"/>
  <c r="R14" i="6"/>
  <c r="V14" i="6" s="1"/>
  <c r="R12" i="4"/>
  <c r="R21" i="4" s="1"/>
  <c r="Q16" i="6"/>
  <c r="U16" i="6" s="1"/>
  <c r="Q9" i="5"/>
  <c r="U9" i="5" s="1"/>
  <c r="Q17" i="6"/>
  <c r="U17" i="6" s="1"/>
  <c r="Q14" i="4"/>
  <c r="U14" i="4" s="1"/>
  <c r="E43" i="10"/>
  <c r="S3" i="6"/>
  <c r="W3" i="6" s="1"/>
  <c r="S6" i="4"/>
  <c r="W6" i="4" s="1"/>
  <c r="E44" i="10"/>
  <c r="X4" i="7"/>
  <c r="M5" i="7"/>
  <c r="L5" i="7"/>
  <c r="K5" i="7"/>
  <c r="N5" i="7"/>
  <c r="I5" i="7"/>
  <c r="S6" i="7"/>
  <c r="W6" i="7" s="1"/>
  <c r="Q6" i="7"/>
  <c r="U6" i="7" s="1"/>
  <c r="T11" i="6"/>
  <c r="X11" i="6" s="1"/>
  <c r="T7" i="5"/>
  <c r="X7" i="5" s="1"/>
  <c r="V2" i="4"/>
  <c r="S9" i="5"/>
  <c r="W9" i="5" s="1"/>
  <c r="S16" i="6"/>
  <c r="W16" i="6" s="1"/>
  <c r="U29" i="6"/>
  <c r="E20" i="10"/>
  <c r="R7" i="5"/>
  <c r="R11" i="6"/>
  <c r="V11" i="6" s="1"/>
  <c r="W14" i="6"/>
  <c r="Q14" i="6"/>
  <c r="U14" i="6" s="1"/>
  <c r="Q12" i="4"/>
  <c r="U12" i="4" s="1"/>
  <c r="T5" i="4"/>
  <c r="X5" i="4" s="1"/>
  <c r="T2" i="6"/>
  <c r="T17" i="6"/>
  <c r="X17" i="6" s="1"/>
  <c r="T14" i="4"/>
  <c r="X14" i="4" s="1"/>
  <c r="R48" i="2"/>
  <c r="T48" i="2"/>
  <c r="T3" i="5"/>
  <c r="T4" i="4"/>
  <c r="U31" i="6"/>
  <c r="E29" i="10"/>
  <c r="U5" i="6"/>
  <c r="R16" i="5" l="1"/>
  <c r="E10" i="10"/>
  <c r="V21" i="6"/>
  <c r="S32" i="6"/>
  <c r="S34" i="6" s="1"/>
  <c r="F67" i="2" s="1"/>
  <c r="T32" i="6"/>
  <c r="T34" i="6" s="1"/>
  <c r="F68" i="2" s="1"/>
  <c r="W23" i="4"/>
  <c r="V23" i="4"/>
  <c r="V25" i="4" s="1"/>
  <c r="D66" i="2" s="1"/>
  <c r="U23" i="4"/>
  <c r="E9" i="10"/>
  <c r="E13" i="10"/>
  <c r="R5" i="7"/>
  <c r="V5" i="7" s="1"/>
  <c r="V8" i="7" s="1"/>
  <c r="T5" i="7"/>
  <c r="X5" i="7" s="1"/>
  <c r="X3" i="5"/>
  <c r="X18" i="5" s="1"/>
  <c r="T16" i="5"/>
  <c r="W2" i="7"/>
  <c r="S21" i="4"/>
  <c r="U3" i="5"/>
  <c r="U18" i="5" s="1"/>
  <c r="Q16" i="5"/>
  <c r="U2" i="7"/>
  <c r="Q32" i="6"/>
  <c r="Q34" i="6" s="1"/>
  <c r="F65" i="2" s="1"/>
  <c r="T21" i="4"/>
  <c r="X4" i="4"/>
  <c r="X23" i="4" s="1"/>
  <c r="Q21" i="4"/>
  <c r="R19" i="6"/>
  <c r="X2" i="7"/>
  <c r="R32" i="6"/>
  <c r="R34" i="6" s="1"/>
  <c r="F66" i="2" s="1"/>
  <c r="W7" i="5"/>
  <c r="W18" i="5" s="1"/>
  <c r="S16" i="5"/>
  <c r="S5" i="7"/>
  <c r="W5" i="7" s="1"/>
  <c r="Q5" i="7"/>
  <c r="U5" i="7" s="1"/>
  <c r="S19" i="6"/>
  <c r="W2" i="6"/>
  <c r="W21" i="6" s="1"/>
  <c r="Q19" i="6"/>
  <c r="U2" i="6"/>
  <c r="U21" i="6" s="1"/>
  <c r="T19" i="6"/>
  <c r="X2" i="6"/>
  <c r="X21" i="6" s="1"/>
  <c r="V7" i="5"/>
  <c r="V18" i="5" s="1"/>
  <c r="E11" i="10"/>
  <c r="X23" i="6" l="1"/>
  <c r="V20" i="5"/>
  <c r="V22" i="5" s="1"/>
  <c r="E66" i="2" s="1"/>
  <c r="V23" i="6"/>
  <c r="W23" i="6"/>
  <c r="X20" i="5"/>
  <c r="X22" i="5" s="1"/>
  <c r="E68" i="2" s="1"/>
  <c r="U23" i="6"/>
  <c r="X25" i="4"/>
  <c r="D68" i="2" s="1"/>
  <c r="U25" i="4"/>
  <c r="D65" i="2" s="1"/>
  <c r="Q7" i="7"/>
  <c r="U8" i="7"/>
  <c r="W25" i="4"/>
  <c r="D67" i="2" s="1"/>
  <c r="T7" i="7"/>
  <c r="W20" i="5"/>
  <c r="W22" i="5" s="1"/>
  <c r="E67" i="2" s="1"/>
  <c r="S7" i="7"/>
  <c r="X8" i="7"/>
  <c r="U20" i="5"/>
  <c r="U22" i="5" s="1"/>
  <c r="E65" i="2" s="1"/>
  <c r="R7" i="7"/>
  <c r="V10" i="7" s="1"/>
  <c r="G66" i="2" s="1"/>
  <c r="W8" i="7"/>
  <c r="H66" i="2" l="1" a="1"/>
  <c r="H66" i="2" s="1"/>
  <c r="J66" i="2" s="1"/>
  <c r="U10" i="7"/>
  <c r="G65" i="2" s="1"/>
  <c r="H65" i="2" s="1" a="1"/>
  <c r="H65" i="2" s="1"/>
  <c r="J65" i="2" s="1"/>
  <c r="H68" i="2" a="1"/>
  <c r="H68" i="2" s="1"/>
  <c r="J68" i="2" s="1"/>
  <c r="X10" i="7"/>
  <c r="H67" i="2" a="1"/>
  <c r="H67" i="2" s="1"/>
  <c r="J67" i="2" s="1"/>
  <c r="W10" i="7"/>
  <c r="K67" i="2" l="1"/>
  <c r="C86" i="10" s="1"/>
  <c r="F86" i="10" s="1"/>
  <c r="K68" i="2"/>
  <c r="C87" i="10" s="1"/>
  <c r="F87" i="10" s="1"/>
  <c r="K65" i="2"/>
  <c r="C84" i="10" s="1"/>
  <c r="F84" i="10" s="1"/>
  <c r="K66" i="2"/>
  <c r="C85" i="10" s="1"/>
  <c r="F85" i="10" s="1"/>
  <c r="E85" i="10" l="1"/>
  <c r="E86" i="10"/>
  <c r="E87" i="10"/>
  <c r="E84" i="10"/>
</calcChain>
</file>

<file path=xl/sharedStrings.xml><?xml version="1.0" encoding="utf-8"?>
<sst xmlns="http://schemas.openxmlformats.org/spreadsheetml/2006/main" count="2203" uniqueCount="1287">
  <si>
    <t>FÓRMULAS ACTUALIZADAS</t>
  </si>
  <si>
    <t>Factor 2: Momentum Actual</t>
  </si>
  <si>
    <t>Variable_norm_i = {</t>
  </si>
  <si>
    <t xml:space="preserve">  Si Dir_ij &gt; 0: (Valor - Min)/(Max - Min)</t>
  </si>
  <si>
    <t xml:space="preserve">  Si Dir_ij &lt; 0: 1 - (Valor - Min)/(Max - Min)</t>
  </si>
  <si>
    <t>}</t>
  </si>
  <si>
    <t>Intensidad_ij = {</t>
  </si>
  <si>
    <t xml:space="preserve">  Si Dir_ij &gt; 0 y Valor &gt; Umbral: 0.5 + 0.5×(Valor-Umbral)/(Max-Umbral)</t>
  </si>
  <si>
    <t xml:space="preserve">  Si Dir_ij &gt; 0 y Valor &lt; Umbral: 0.5×(Valor-Min)/(Umbral-Min)</t>
  </si>
  <si>
    <t xml:space="preserve">  Si Dir_ij &lt; 0 y Valor &lt; Umbral: 0.5 + 0.5×(Umbral-Valor)/(Umbral-Min)</t>
  </si>
  <si>
    <t xml:space="preserve">  Si Dir_ij &lt; 0 y Valor &gt; Umbral: 0.5×(Max-Valor)/(Max-Umbral)</t>
  </si>
  <si>
    <t>Peso_ij = Criticidad_i × Intensidad_ij × |Direccionalidad_ij|</t>
  </si>
  <si>
    <t>F2_j = Σ(Variable_norm_i × Peso_ij) / Σ(Peso_ij)</t>
  </si>
  <si>
    <t>Ejemplo Cálculo F2_Declive: PMI China: Valor=50.4, Umbral=50, Max=60, Min=40</t>
  </si>
  <si>
    <t>Dir = +0.7 (positivo, valores altos favorecen Declive)</t>
  </si>
  <si>
    <t>Variable_norm = (50.4-40)/(60-40) = 0.52</t>
  </si>
  <si>
    <t>Intensidad = 0.5 + 0.5×(50.4-50)/(60-50) = 0.52</t>
  </si>
  <si>
    <t>Peso = 1.5 × 0.52 × 0.7 = 0.546</t>
  </si>
  <si>
    <t>Contribución = 0.52 × 0.546 = 0.284</t>
  </si>
  <si>
    <t>Factor 3: Restricciones</t>
  </si>
  <si>
    <t>Restricción_norm_i = (Valor - Min)/(Max - Min)</t>
  </si>
  <si>
    <t>F3_j = 1 - Σ(Restricción_norm_i × Peso_ij) / Σ(Peso_ij)</t>
  </si>
  <si>
    <t>Factor 4: Agencia</t>
  </si>
  <si>
    <t>USA:</t>
  </si>
  <si>
    <t xml:space="preserve">  Recursos = (GDP_growth×1.5 + (1-Debt/150)×2.0 + Productivity×1.0)/4.5</t>
  </si>
  <si>
    <t xml:space="preserve">  Organización = ((Congress_approval/100)×2.0 + (1-Polarization)×2.0)/4.0</t>
  </si>
  <si>
    <t xml:space="preserve">  Voluntad = (Presidential_approval/100×1.0 + Military_spending/5×1.0)/2.0</t>
  </si>
  <si>
    <t xml:space="preserve">  </t>
  </si>
  <si>
    <t>China:</t>
  </si>
  <si>
    <t xml:space="preserve">  Recursos = (GDP_growth/10×1.5 + (1-Debt/350)×2.0 + Manufacturing×1.0)/4.5</t>
  </si>
  <si>
    <t xml:space="preserve">  Organización = 0.85 (sistema centralizado)</t>
  </si>
  <si>
    <t xml:space="preserve">  Voluntad = (1-Youth_unemployment/30)×2.0/2.0</t>
  </si>
  <si>
    <t>F4_actor = (Recursos × Organización × Voluntad)^(1/3)</t>
  </si>
  <si>
    <t>Relevancia_actor:</t>
  </si>
  <si>
    <t>Declive   0.25   0.45    0.20    0.10</t>
  </si>
  <si>
    <t>Renovación 0.45   0.15    0.30    0.10</t>
  </si>
  <si>
    <t>Fragment  0.35   0.25    0.30    0.10</t>
  </si>
  <si>
    <t>Singular  0.40   0.30    0.20    0.10</t>
  </si>
  <si>
    <t>F4_j = Σ(F4_actor × Relevancia_actor_j)</t>
  </si>
  <si>
    <t>Factor 5: Tecnología</t>
  </si>
  <si>
    <t>F5_j = Σ(Tech_norm_i × Peso_ij × Disrupción_i) / Σ(Peso_ij)</t>
  </si>
  <si>
    <t>Disrupción: AGI=2.0, AI_inv=1.5, Patents=1.0, Semiconductor=0.8</t>
  </si>
  <si>
    <t>AJUSTE POR INTERACCIÓN (AI)</t>
  </si>
  <si>
    <t>AI justificación:</t>
  </si>
  <si>
    <t>- Declive = 1.00: Proceso natural, no requiere coordinación especial</t>
  </si>
  <si>
    <t>- Renovación = 0.90: Requiere coordinación USA-EU compleja (-10%)</t>
  </si>
  <si>
    <t>- Fragmentación = 1.10: Retroalimentaciones negativas amplifican (+10%)</t>
  </si>
  <si>
    <t>- Singularidad = 0.95: Requiere convergencias tecnológicas (-5%)</t>
  </si>
  <si>
    <t>EJEMPLO RESULTADOS CON NUEVA METODOLOGÍA</t>
  </si>
  <si>
    <t>Escenario</t>
  </si>
  <si>
    <t>F1</t>
  </si>
  <si>
    <t>F2</t>
  </si>
  <si>
    <t>F3</t>
  </si>
  <si>
    <t>F4</t>
  </si>
  <si>
    <t>F5</t>
  </si>
  <si>
    <t>Score_base</t>
  </si>
  <si>
    <t>AI</t>
  </si>
  <si>
    <t>Score_final</t>
  </si>
  <si>
    <t>Probabilidad</t>
  </si>
  <si>
    <t>Declive</t>
  </si>
  <si>
    <t>Renovación</t>
  </si>
  <si>
    <t>Fragmentación</t>
  </si>
  <si>
    <t>Singularidad</t>
  </si>
  <si>
    <t>ANÁLISIS DE SENSIBILIDAD</t>
  </si>
  <si>
    <t>Variando criticidades ±20%:</t>
  </si>
  <si>
    <t>Orden se mantiene: Declive ≈ Fragmentación &gt; Singularidad ≈ Renovación</t>
  </si>
  <si>
    <t>Máxima variación: ±2.3% en cualquier escenario</t>
  </si>
  <si>
    <t>Modelo robusto</t>
  </si>
  <si>
    <t>Región</t>
  </si>
  <si>
    <t>Variable</t>
  </si>
  <si>
    <t>Valor</t>
  </si>
  <si>
    <t>Unidad</t>
  </si>
  <si>
    <t>Min</t>
  </si>
  <si>
    <t>Max</t>
  </si>
  <si>
    <t>Umbral</t>
  </si>
  <si>
    <t>Signo</t>
  </si>
  <si>
    <t>Proximidad %</t>
  </si>
  <si>
    <t>Criticidad</t>
  </si>
  <si>
    <t xml:space="preserve">Norm + </t>
  </si>
  <si>
    <t>Norm -</t>
  </si>
  <si>
    <t>Intensidad +</t>
  </si>
  <si>
    <t>Intensidad -</t>
  </si>
  <si>
    <t>Dir [D,R,F,S]</t>
  </si>
  <si>
    <t>Factor</t>
  </si>
  <si>
    <t>Peso D</t>
  </si>
  <si>
    <t>Peso R</t>
  </si>
  <si>
    <t>Peso F</t>
  </si>
  <si>
    <t>Peso S</t>
  </si>
  <si>
    <t>Fuente</t>
  </si>
  <si>
    <t>Link</t>
  </si>
  <si>
    <t>Justificación</t>
  </si>
  <si>
    <t>Propuesta Dir (D, R, F, S)</t>
  </si>
  <si>
    <t>China</t>
  </si>
  <si>
    <t>PMI_compuesto</t>
  </si>
  <si>
    <t>índice (nivel)</t>
  </si>
  <si>
    <t>↑</t>
  </si>
  <si>
    <t>[0.7, -0.5, +0.3, 0.0]</t>
  </si>
  <si>
    <t>NBS/Caixin</t>
  </si>
  <si>
    <t>https://www.stats.gov.cn/english/PressRelease/202509/t20250903_1960997.html</t>
  </si>
  <si>
    <t>Expansión mínima, cerca estancamiento</t>
  </si>
  <si>
    <t>China fuerte (&gt;50) favorece Declive occidental</t>
  </si>
  <si>
    <t>Crecimiento_PIB</t>
  </si>
  <si>
    <t>%</t>
  </si>
  <si>
    <t>[+0.6, -0.7, +0.2, +0.1]</t>
  </si>
  <si>
    <t>NBS China</t>
  </si>
  <si>
    <t>https://www.stats.gov.cn/english/PressRelease/202507/t20250715_1960408.html</t>
  </si>
  <si>
    <t>Bajo meta gobierno 5%</t>
  </si>
  <si>
    <t>China creciendo rápido favorece su hegemonía</t>
  </si>
  <si>
    <t>Ratio_deuda_total</t>
  </si>
  <si>
    <t>↓</t>
  </si>
  <si>
    <t>[-0.4, +0.3, +0.7, -0.1]</t>
  </si>
  <si>
    <t>BIS</t>
  </si>
  <si>
    <t>https://www.imf.org/external/datamapper/GDD/2024%20Global%20Debt%20Monitor.pdf</t>
  </si>
  <si>
    <t>Cerca umbral crisis sistémica</t>
  </si>
  <si>
    <t>Deuda alta China es problema para todos, especialmente fragmentación</t>
  </si>
  <si>
    <t>Crecimiento_población</t>
  </si>
  <si>
    <t>[-0.5, +0.6, +0.3, -0.1]</t>
  </si>
  <si>
    <t>F2,F3</t>
  </si>
  <si>
    <t>https://www.stats.gov.cn/english/PressRelease/202502/t20250228_1958822.html</t>
  </si>
  <si>
    <t>Declive poblacional acelerado</t>
  </si>
  <si>
    <t>Declive demográfico China favorece Renovación occidental</t>
  </si>
  <si>
    <t>Desempleo_juvenil</t>
  </si>
  <si>
    <t>[-0.3, +0.6, +0.8, -0.1]</t>
  </si>
  <si>
    <t>F2,F4</t>
  </si>
  <si>
    <t>https://www.reuters.com/markets/asia/china-youth-jobless-rate-rises-178-july-2025-08-19/</t>
  </si>
  <si>
    <t>Por debajo umbral protestas pero alto</t>
  </si>
  <si>
    <t>Desempleo alto China debilita su posición</t>
  </si>
  <si>
    <t>Manufacturing_share</t>
  </si>
  <si>
    <t>nivel</t>
  </si>
  <si>
    <t>[+0.6, -0.4, +0.1, +0.2]</t>
  </si>
  <si>
    <t>https://data.worldbank.org/indicator/NV.IND.MANF.ZS?locations=CN</t>
  </si>
  <si>
    <t>Mantiene ventaja manufacturera</t>
  </si>
  <si>
    <t>Manufactura alta China mantiene su poder</t>
  </si>
  <si>
    <t>Tech_patent_applications</t>
  </si>
  <si>
    <t>Unidades</t>
  </si>
  <si>
    <t>[+0.5, -0.4, +0.1, +0.4]</t>
  </si>
  <si>
    <t>WIPO</t>
  </si>
  <si>
    <t>https://www.wipo.int/web-publications/world-intellectual-property-indicators-2024-highlights/en/patents-highlights.html</t>
  </si>
  <si>
    <t>Liderazgo tech consolidado</t>
  </si>
  <si>
    <t>Liderazgo tech China favorece Declive occidental</t>
  </si>
  <si>
    <t>Military_spending_growth</t>
  </si>
  <si>
    <t>[+0.4, -0.3, +0.6, 0.0]</t>
  </si>
  <si>
    <t>SIPRI</t>
  </si>
  <si>
    <t>https://www.sipri.org/sites/default/files/2025-04/2504_fs_milex_2024.pdf</t>
  </si>
  <si>
    <t>Crecimiento moderado-alto</t>
  </si>
  <si>
    <t>Militarización China amenaza orden occidental</t>
  </si>
  <si>
    <t>USA</t>
  </si>
  <si>
    <t>[-0.6, +0.7, -0.3, +0.1]</t>
  </si>
  <si>
    <t>ISM</t>
  </si>
  <si>
    <t>https://www.pmi.spglobal.com/Public/Release/PressReleases</t>
  </si>
  <si>
    <t>Expansión moderada</t>
  </si>
  <si>
    <t>USA fuerte (&gt;50) dificulta Declive, favorece Renovación</t>
  </si>
  <si>
    <t>[-0.5, +0.6, -0.2, +0.1]</t>
  </si>
  <si>
    <t>BEA</t>
  </si>
  <si>
    <t>https://fred.stlouisfed.org/series/A191RO1Q156NBEA</t>
  </si>
  <si>
    <t>Crecimiento sólido</t>
  </si>
  <si>
    <t>USA creciendo favorece Renovación</t>
  </si>
  <si>
    <t>Debt_to_GDP</t>
  </si>
  <si>
    <t>[+0.6, -0.7, +0.5, -0.1]</t>
  </si>
  <si>
    <t>F3,F4</t>
  </si>
  <si>
    <t>Treasury</t>
  </si>
  <si>
    <t>https://fred.stlouisfed.org/series/GFDEGDQ188S</t>
  </si>
  <si>
    <t>Sobre umbral crítico</t>
  </si>
  <si>
    <t>Deuda alta USA restringe su capacidad</t>
  </si>
  <si>
    <t>Crecimiento_productividad</t>
  </si>
  <si>
    <t>[-0.4, +0.5, -0.3, +0.2]</t>
  </si>
  <si>
    <t>BLS</t>
  </si>
  <si>
    <t>https://www.bls.gov/news.release/pdf/prod2.pdf</t>
  </si>
  <si>
    <t>Bajo promedio histórico</t>
  </si>
  <si>
    <t>Productividad alta USA favorece Renovación</t>
  </si>
  <si>
    <t>Congressional_Approval</t>
  </si>
  <si>
    <t>[-0.4, +0.7, -0.9, +0.1]</t>
  </si>
  <si>
    <t>Gallup</t>
  </si>
  <si>
    <t>https://ballotpedia.org/Ballotpedia%27s_Polling_Index%3A_Congressional_approval_rating</t>
  </si>
  <si>
    <t>Sobre umbral disfunción</t>
  </si>
  <si>
    <t>Aprobación alta permite acción, favorece Renovación</t>
  </si>
  <si>
    <t>Presidential_Approval</t>
  </si>
  <si>
    <t>[-0.3, +0.4, -0.5, 0.0]</t>
  </si>
  <si>
    <t>https://news.gallup.com/poll/694370/trump-ratings-mood-stay-tepid-august.aspx</t>
  </si>
  <si>
    <t>Bajo umbral reelección</t>
  </si>
  <si>
    <t>Aprobación alta da capacidad liderazgo</t>
  </si>
  <si>
    <t>Military_Spending_%GDP</t>
  </si>
  <si>
    <t>[-0.2, -0.3, +0.4, -0.1]</t>
  </si>
  <si>
    <t>https://data.worldbank.org/indicator/MS.MIL.XPND.GD.ZS?locations=US</t>
  </si>
  <si>
    <t>Cerca nivel post-Guerra Fría</t>
  </si>
  <si>
    <t>Gasto excesivo debilita economía USA</t>
  </si>
  <si>
    <t>Trade_balance_%GDP</t>
  </si>
  <si>
    <t>[+0.5, -0.4, +0.2, -0.1]</t>
  </si>
  <si>
    <t>https://data.worldbank.org/indicator/NE.RSB.GNFS.ZS</t>
  </si>
  <si>
    <t>Déficit estructural persistente</t>
  </si>
  <si>
    <t>Déficit alto erosiona posición USA</t>
  </si>
  <si>
    <t>Polarization_Index</t>
  </si>
  <si>
    <t>índice (-4..4)</t>
  </si>
  <si>
    <t>[+0.4, -0.6, +0.8, -0.1]</t>
  </si>
  <si>
    <t>V-Dem via Our World in Data (v2cacamps)</t>
  </si>
  <si>
    <t>https://archive.ourworldindata.org/20250717-100343/grapher/political-polarization-score.html?tab=line&amp;country=~USA&amp;mapSelect=~USA</t>
  </si>
  <si>
    <t>Polarización extrema histórica</t>
  </si>
  <si>
    <t>Polarización alta paraliza USA</t>
  </si>
  <si>
    <t>Income_inequality_Gini</t>
  </si>
  <si>
    <t>[+0.3, -0.3, +0.6, 0.0]</t>
  </si>
  <si>
    <t>Census</t>
  </si>
  <si>
    <t>https://fred.stlouisfed.org/series/SIPOVGINIUSA</t>
  </si>
  <si>
    <t>Cerca umbral social crítico</t>
  </si>
  <si>
    <t>Desigualdad genera inestabilidad</t>
  </si>
  <si>
    <t>[-0.2, -0.3, +0.5, -0.1]</t>
  </si>
  <si>
    <t>https://www.reuters.com/business/aerospace-defense/world-military-spending-hits-27-trillion-record-2024-surge-2025-04-27/</t>
  </si>
  <si>
    <t>Crecimiento moderado</t>
  </si>
  <si>
    <t>Escalada militar genera tensiones</t>
  </si>
  <si>
    <t>Europa</t>
  </si>
  <si>
    <t>Crecimiento_PIB_EU</t>
  </si>
  <si>
    <t>[-0.5, +0.6, -0.3, +0.1]</t>
  </si>
  <si>
    <t>Eurostat</t>
  </si>
  <si>
    <t>https://ec.europa.eu/eurostat/web/products-euro-indicators/w/2-05092025-ap</t>
  </si>
  <si>
    <t>Crecimiento anémico</t>
  </si>
  <si>
    <t>Europa fuerte apoya Renovación occidental</t>
  </si>
  <si>
    <t>Debt_to_GDP_agregado</t>
  </si>
  <si>
    <t>[+0.4, -0.5, +0.4, -0.1]</t>
  </si>
  <si>
    <t>ECB</t>
  </si>
  <si>
    <t>https://ec.europa.eu/eurostat/web/products-euro-indicators/w/2-21072025-ap</t>
  </si>
  <si>
    <t>Bajo umbral Maastricht ampliado</t>
  </si>
  <si>
    <t>Deuda alta Europa limita capacidad</t>
  </si>
  <si>
    <t>Banking_stress_index</t>
  </si>
  <si>
    <t>índice (0–1)</t>
  </si>
  <si>
    <t>[+0.2, -0.3, +0.5, -0.1]</t>
  </si>
  <si>
    <t>ECB CISS</t>
  </si>
  <si>
    <t>https://data.ecb.europa.eu/data/datasets/CISS</t>
  </si>
  <si>
    <t>Sistema bancario estable</t>
  </si>
  <si>
    <t>Stress bancario debilita Europa</t>
  </si>
  <si>
    <t>Defense_spending_growth</t>
  </si>
  <si>
    <t>[-0.2, +0.5, +0.2, +0.1]</t>
  </si>
  <si>
    <t>https://eda.europa.eu/docs/default-source/brochures/2025-eda_defencedata_web.pdf</t>
  </si>
  <si>
    <t>Rearme acelerado post-Ucrania</t>
  </si>
  <si>
    <t>Rearme Europa fortalece Occidente</t>
  </si>
  <si>
    <t>Renewable_energy_share</t>
  </si>
  <si>
    <t>[-0.1, +0.3, -0.1, +0.2]</t>
  </si>
  <si>
    <t>https://ec.europa.eu/eurostat/statistics-explained/index.php/Renewable_energy_statistics</t>
  </si>
  <si>
    <t>Progreso hacia objetivo 2030</t>
  </si>
  <si>
    <t>Renovables dan autonomía Europa</t>
  </si>
  <si>
    <t>Parliament_fragmentation</t>
  </si>
  <si>
    <t>índice (ENP)</t>
  </si>
  <si>
    <t>[+0.3, -0.5, +0.6, -0.1]</t>
  </si>
  <si>
    <t>EU Parliament</t>
  </si>
  <si>
    <t>https://www.europarl.europa.eu/RegData/etudes/ATAG/2024/762357/EPRS_ATA%282024%29762357_EN.pdf</t>
  </si>
  <si>
    <t>Fragmentación alta (partidos efectivos)</t>
  </si>
  <si>
    <t>Fragmentación debilita Europa</t>
  </si>
  <si>
    <t>Solicitudes_asilo_anualizadas</t>
  </si>
  <si>
    <t>[+0.2, -0.3, +0.7, -0.1]</t>
  </si>
  <si>
    <t>https://euaa.europa.eu/news-events/eu-received-over-1-million-asylum-applications-2023</t>
  </si>
  <si>
    <t>2.5M=crisis 2015-16. Presión moderada</t>
  </si>
  <si>
    <t>Migración alta fragmenta Europa</t>
  </si>
  <si>
    <t>India</t>
  </si>
  <si>
    <t>[+0.3, -0.2, +0.1, +0.2]</t>
  </si>
  <si>
    <t>MOSPI</t>
  </si>
  <si>
    <t>https://www.mospi.gov.in/sites/default/files/press_release/GDP_PR_Q1_2025-26_29082025.pdf</t>
  </si>
  <si>
    <t>Sobre umbral "milagro" asiático</t>
  </si>
  <si>
    <t>India fuerte es nuevo polo, debilita hegemonía USA</t>
  </si>
  <si>
    <t>Manufacturing_PMI</t>
  </si>
  <si>
    <t>[+0.2, -0.1, +0.1, +0.1]</t>
  </si>
  <si>
    <t>S&amp;P Global</t>
  </si>
  <si>
    <t>https://tradingeconomics.com/india/manufacturing-pmi</t>
  </si>
  <si>
    <t>Expansión manufacturera robusta</t>
  </si>
  <si>
    <t>India manufacturera compite con China/USA</t>
  </si>
  <si>
    <t>FDI_inflows_$bn</t>
  </si>
  <si>
    <t>USD miles de millones</t>
  </si>
  <si>
    <t>[+0.1, -0.1, 0.0, +0.1]</t>
  </si>
  <si>
    <t>DPIIT</t>
  </si>
  <si>
    <t>https://www.pib.gov.in/PressReleasePage.aspx?PRID=2131716</t>
  </si>
  <si>
    <t>Bajo umbral esperado</t>
  </si>
  <si>
    <t>Capital a India diversifica poder global</t>
  </si>
  <si>
    <t>Workforce_growth</t>
  </si>
  <si>
    <t>https://www.pib.gov.in/PressReleasePage.aspx?PRID=2144849</t>
  </si>
  <si>
    <t>En umbral reemplazo generacional</t>
  </si>
  <si>
    <t>Demografía India crea nuevo centro</t>
  </si>
  <si>
    <t>Tech_workforce_millions</t>
  </si>
  <si>
    <t>millones de personas</t>
  </si>
  <si>
    <t>[+0.1, -0.1, 0.0, +0.3]</t>
  </si>
  <si>
    <t>NASSCOM</t>
  </si>
  <si>
    <t>https://nasscom.in/knowledge-center/publications/technology-sector-india-strategic-review-2025</t>
  </si>
  <si>
    <t>Cerca paridad con USA</t>
  </si>
  <si>
    <t>Tech India amenaza dominio occidental</t>
  </si>
  <si>
    <t>[+0.1, -0.1, +0.1, -0.1]</t>
  </si>
  <si>
    <t>RBI</t>
  </si>
  <si>
    <t>https://www.imf.org/external/datamapper/GGXWDG_NGDP@WEO/IND</t>
  </si>
  <si>
    <t>Sobre umbral emergentes</t>
  </si>
  <si>
    <t>Deuda alta limita India</t>
  </si>
  <si>
    <t>Current_account_balance</t>
  </si>
  <si>
    <t>[0.0, 0.0, +0.2, 0.0]</t>
  </si>
  <si>
    <t>https://www.reuters.com/world/india/india-posts-first-current-account-surplus-four-quarters-central-bank-says-2025-06-27/</t>
  </si>
  <si>
    <t>Déficit manejable</t>
  </si>
  <si>
    <t>Déficit alto fragiliza India</t>
  </si>
  <si>
    <t>Energy_import_dependence</t>
  </si>
  <si>
    <t>[+0.1, -0.2, +0.4, -0.1]</t>
  </si>
  <si>
    <t>IEA</t>
  </si>
  <si>
    <t>https://indianexpress.com/article/business/india-oil-natural-gas-reliance-energy-demand-domestic-production-sluggish-9954570/</t>
  </si>
  <si>
    <t>Vulnerabilidad energética crítica</t>
  </si>
  <si>
    <t>Dependencia energética vulnerabilidad</t>
  </si>
  <si>
    <t>Global</t>
  </si>
  <si>
    <t>Oil_price_USD</t>
  </si>
  <si>
    <t>USD por barril</t>
  </si>
  <si>
    <t>[+0.3, -0.4, +0.5, -0.1]</t>
  </si>
  <si>
    <t>EIA</t>
  </si>
  <si>
    <t>https://www.eia.gov/outlooks/steo/</t>
  </si>
  <si>
    <t>Bajo umbral recesivo</t>
  </si>
  <si>
    <t>Precio alto presiona economías occidentales</t>
  </si>
  <si>
    <t>Trade_volume_growth</t>
  </si>
  <si>
    <t>[-0.2, +0.3, -0.3, +0.1]</t>
  </si>
  <si>
    <t>WTO</t>
  </si>
  <si>
    <t>https://www.wto.org/english/res_e/booksp_e/trade_outlook25_e.pdf</t>
  </si>
  <si>
    <t>En umbral normalidad</t>
  </si>
  <si>
    <t>Comercio alto mantiene orden liberal</t>
  </si>
  <si>
    <t>Cross_border_capital_flows</t>
  </si>
  <si>
    <t>USD billones (trillions)</t>
  </si>
  <si>
    <t>[-0.1, +0.2, -0.2, +0.1]</t>
  </si>
  <si>
    <t>https://www.bis.org/statistics/rppb2504.htm</t>
  </si>
  <si>
    <t>Flujos robustos post-pandemia</t>
  </si>
  <si>
    <t>Flujos altos mantienen globalización</t>
  </si>
  <si>
    <t>Global_debt_to_GDP</t>
  </si>
  <si>
    <t>[+0.4, -0.5, +0.6, -0.2]</t>
  </si>
  <si>
    <t>https://www.reuters.com/world/china/global-debt-hits-record-over-324-trillion-says-iif-2025-05-06/</t>
  </si>
  <si>
    <t>Cerca umbral insostenible</t>
  </si>
  <si>
    <t>Deuda extrema genera crisis sistémica</t>
  </si>
  <si>
    <t>Climate_extreme_events</t>
  </si>
  <si>
    <t>eventos</t>
  </si>
  <si>
    <t>[+0.2, -0.3, +0.7, +0.1]</t>
  </si>
  <si>
    <t>NOAA</t>
  </si>
  <si>
    <t>https://files.emdat.be/reports/2024_EMDAT_report.pdf</t>
  </si>
  <si>
    <t>Frecuencia récord eventos extremos</t>
  </si>
  <si>
    <t>Eventos climáticos fragmentan mundo</t>
  </si>
  <si>
    <t>Temperature_anomaly</t>
  </si>
  <si>
    <t>°C</t>
  </si>
  <si>
    <t>[+0.2, -0.4, +0.8, +0.1]</t>
  </si>
  <si>
    <t>NASA GISS</t>
  </si>
  <si>
    <t>https://data.giss.nasa.gov/gistemp/</t>
  </si>
  <si>
    <t>Superó umbral París</t>
  </si>
  <si>
    <t>Crisis climática favorece fragmentación</t>
  </si>
  <si>
    <t>Semiconductor_lead_time</t>
  </si>
  <si>
    <t>semanas</t>
  </si>
  <si>
    <t>[+0.2, -0.3, +0.4, -0.2]</t>
  </si>
  <si>
    <t>TrendForce</t>
  </si>
  <si>
    <t>https://en.macromicro.me/charts/47849/global-wait-times-for-semiconductor-deliveries</t>
  </si>
  <si>
    <t>Mejorando pero sobre normal</t>
  </si>
  <si>
    <t>Supply chain stress fragmenta</t>
  </si>
  <si>
    <t>Baltic_Dry_Index</t>
  </si>
  <si>
    <t>índice (puntos)</t>
  </si>
  <si>
    <t>[+0.1, -0.1, +0.2, 0.0]</t>
  </si>
  <si>
    <t>Baltic Exchange</t>
  </si>
  <si>
    <t>https://tradingeconomics.com/commodity/baltic</t>
  </si>
  <si>
    <t>Costos transporte normalizados</t>
  </si>
  <si>
    <t>Costos transporte altos fragmentan</t>
  </si>
  <si>
    <t>Precio_Oro_USD</t>
  </si>
  <si>
    <t>USD por onza</t>
  </si>
  <si>
    <t>[+0.3, -0.2, +0.4, 0.0]</t>
  </si>
  <si>
    <t>LBMA</t>
  </si>
  <si>
    <t>https://www.gold.org/goldhub/data/gold-prices</t>
  </si>
  <si>
    <t>Máxima demanda refugio</t>
  </si>
  <si>
    <t>Oro alto señala crisis confianza</t>
  </si>
  <si>
    <t>AI_Benchmark_Score</t>
  </si>
  <si>
    <t>[-0.1, +0.2, -0.1, +0.9]</t>
  </si>
  <si>
    <t>Stanford HAI AI Index 2025 – Technical Performance (MMLU)</t>
  </si>
  <si>
    <t>https://hai.stanford.edu/ai-index/2025-ai-index-report/technical-performance</t>
  </si>
  <si>
    <t>Cerca capacidad superhuman general</t>
  </si>
  <si>
    <t>AI_Investment_Intensity</t>
  </si>
  <si>
    <t>% del PIB mundial</t>
  </si>
  <si>
    <t>Stanford HAI AI Index 2025 + World Bank GDP</t>
  </si>
  <si>
    <t>https://hai.stanford.edu/ai-index/2025-ai-index-report/economy</t>
  </si>
  <si>
    <t>Inversión masiva pero sub-transformacional</t>
  </si>
  <si>
    <t>AI_Talent_Concentration</t>
  </si>
  <si>
    <t>proporción (0–1)</t>
  </si>
  <si>
    <t>Stanford HAI AI Index 2025 – Research &amp; Development</t>
  </si>
  <si>
    <t>https://hai.stanford.edu/ai-index/2025-ai-index-report/research-and-development</t>
  </si>
  <si>
    <t>Papers per 100k población tech</t>
  </si>
  <si>
    <t>AGI_Composite_Index</t>
  </si>
  <si>
    <t>Cálculo propio (ver fórmula en Justificación)</t>
  </si>
  <si>
    <t>https://hai.stanford.edu/ai-index/2025-ai-index-report</t>
  </si>
  <si>
    <t>AGI_Composite = 0.4*Benchmark_Frontier + 0.3*(Investment_Intensity/0.30; cap=1) + 0.3*Talent_Share.</t>
  </si>
  <si>
    <t>AGI cerca favorece Singularidad</t>
  </si>
  <si>
    <t>AI_investment_annual</t>
  </si>
  <si>
    <t>[-0.1, +0.3, -0.1, +0.7]</t>
  </si>
  <si>
    <t>Récord histórico inversión</t>
  </si>
  <si>
    <t>Inversión IA masiva acelera Singularidad</t>
  </si>
  <si>
    <t>Global_military_spending_%GDP</t>
  </si>
  <si>
    <t>[+0.3, -0.2, +0.5, -0.1]</t>
  </si>
  <si>
    <t>https://www.sipri.org/publications/2025/sipri-fact-sheets/trends-world-military-expenditure-2024</t>
  </si>
  <si>
    <t>Cerca máximo post-Guerra Fría</t>
  </si>
  <si>
    <t>Militarización genera tensiones</t>
  </si>
  <si>
    <t>- Declive = 1.00: Proceso natural histórico, no requiere coordinación especial</t>
  </si>
  <si>
    <t>RESULTADOS CON NUEVA METODOLOGÍA</t>
  </si>
  <si>
    <t>La nueva metodología corrige el problema de la proximidad y produce resultados más coherentes con la lógica causal de cada variable.</t>
  </si>
  <si>
    <t>Pesos Factores</t>
  </si>
  <si>
    <t>Declive: 30.4% ± 2.1%</t>
  </si>
  <si>
    <t>Renovación: 20.8% ± 1.8%</t>
  </si>
  <si>
    <t>Fragmentación: 32.2% ± 2.4%</t>
  </si>
  <si>
    <t>Singularidad: 16.6% ± 1.5%</t>
  </si>
  <si>
    <t>FACTOR 1: PRECEDENTE HISTÓRICO</t>
  </si>
  <si>
    <t xml:space="preserve">F1_Declive </t>
  </si>
  <si>
    <t>=</t>
  </si>
  <si>
    <t>8/16  =</t>
  </si>
  <si>
    <t xml:space="preserve">F1_Renovación </t>
  </si>
  <si>
    <t>2/16 =</t>
  </si>
  <si>
    <t xml:space="preserve">F1_Fragmentación </t>
  </si>
  <si>
    <t>5/16 =</t>
  </si>
  <si>
    <t>F1_Singularidad</t>
  </si>
  <si>
    <t>1/16 =</t>
  </si>
  <si>
    <t>Valor Norm D</t>
  </si>
  <si>
    <t>Valor Norm R</t>
  </si>
  <si>
    <t>Valor Norm F</t>
  </si>
  <si>
    <t>Valor Norm S</t>
  </si>
  <si>
    <t>SUMA</t>
  </si>
  <si>
    <t>SUMA PONDERADA</t>
  </si>
  <si>
    <t>SUMA NORMALIZADA CON PESOS</t>
  </si>
  <si>
    <t>COMPLEMENTO POR RESTRICCIONES (1 - SUMA)</t>
  </si>
  <si>
    <t>FÓRMULAS DETALLADAS POR ACTOR</t>
  </si>
  <si>
    <t>En lugar de los cocientes que detalla he usado la fórmula de valores normalizados</t>
  </si>
  <si>
    <t>MATRIZ DE RELEVANCIA DE ACTORES POR ESCENARIO</t>
  </si>
  <si>
    <t>1. CHINA</t>
  </si>
  <si>
    <t>Actor</t>
  </si>
  <si>
    <t>D</t>
  </si>
  <si>
    <t>R</t>
  </si>
  <si>
    <t>F</t>
  </si>
  <si>
    <t>S</t>
  </si>
  <si>
    <t>F4 Agencia</t>
  </si>
  <si>
    <t>Recursos</t>
  </si>
  <si>
    <t>Organización</t>
  </si>
  <si>
    <t>Voluntad</t>
  </si>
  <si>
    <t>Recursos_China = (Manufacturing_share/35) × 0.5 + (Military_spending_growth/15) × 0.5</t>
  </si>
  <si>
    <t xml:space="preserve">               = (26.2/35) × 0.5 + (7.0/15) × 0.5</t>
  </si>
  <si>
    <t xml:space="preserve">               = 0.374 + 0.233 = 0.607</t>
  </si>
  <si>
    <t>Organización_China = 0.85 (constante - sistema centralizado)</t>
  </si>
  <si>
    <t>Factor de militarización global</t>
  </si>
  <si>
    <t>Voluntad_China = 1 - (Desempleo_juvenil/30)</t>
  </si>
  <si>
    <t xml:space="preserve">F4 </t>
  </si>
  <si>
    <t xml:space="preserve">               = 1 - (14.9/30) = 0.503</t>
  </si>
  <si>
    <t>F4_China = (0.607 × 0.85 × 0.503)^(1/3) = 0.590</t>
  </si>
  <si>
    <t>2. USA</t>
  </si>
  <si>
    <t>Recursos_USA = (Military_Spending_%GDP/5) × 0.4 + (Military_spending_growth/10) × 0.3 + (1 - Debt_to_GDP/150) × 0.3</t>
  </si>
  <si>
    <t>Organización_USA = (Congressional_Approval/50) × 0.5 + (1 - Polarization_Index) × 0.5</t>
  </si>
  <si>
    <t>Voluntad_USA = Presidential_Approval/60</t>
  </si>
  <si>
    <t>F4_USA = (0.497 × 0.335 × 0.667)^(1/3) = 0.404</t>
  </si>
  <si>
    <t>3. EUROPA</t>
  </si>
  <si>
    <t>Recursos_Europa = (Defense_spending_growth/10) × 0.5 + (1 - Banking_stress_index) × 0.5</t>
  </si>
  <si>
    <t>Organización_Europa = 1 - Parliament_fragmentation</t>
  </si>
  <si>
    <t>Voluntad_Europa = Defense_spending_growth/5 (proxy de voluntad política)</t>
  </si>
  <si>
    <t>F4_Europa = (0.545 × 0.320 × 0.620)^(1/3) = 0.438</t>
  </si>
  <si>
    <t>4. INDIA</t>
  </si>
  <si>
    <t>Recursos_India = (FDI_inflows/100) × 0.3 +PMI * .4 + (1 - Debt_to_GDP/80) × 0.3</t>
  </si>
  <si>
    <t>Organización_India = 0.60 (estimado - democracia funcional)</t>
  </si>
  <si>
    <t>Voluntad_India = Crecimiento_PIB/10</t>
  </si>
  <si>
    <t>F4_India = (0.493 × 0.60 × 0.680)^(1/3) = 0.555</t>
  </si>
  <si>
    <t>APLICACIÓN DEL FACTOR DE MILITARIZACIÓN GLOBAL</t>
  </si>
  <si>
    <t>Factor_militarización = 1 + (Global_military_spending_%GDP - 2.0) / 5.0</t>
  </si>
  <si>
    <t xml:space="preserve">                      = 1 + (2.3 - 2.0) / 5.0 = 1.06</t>
  </si>
  <si>
    <t>Este factor se aplica DESPUÉS de calcular F4 por actor:</t>
  </si>
  <si>
    <t>F4_final(Escenario) = [Σ(F4_actor × Relevancia_actor)] × Factor_militarización</t>
  </si>
  <si>
    <t>AJUSTES BAYESIANOS - ANÁLISIS DE VARIABLES CRÍTICAS</t>
  </si>
  <si>
    <t>SECCIÓN A: PROBABILIDADES DE OUTCOMES</t>
  </si>
  <si>
    <t>Variable 1: Carrera IA</t>
  </si>
  <si>
    <t>Outcome</t>
  </si>
  <si>
    <t>Descripción</t>
  </si>
  <si>
    <t>Fórmula</t>
  </si>
  <si>
    <t>P(Outcome)</t>
  </si>
  <si>
    <t>Racional</t>
  </si>
  <si>
    <t>Variables y Pesos</t>
  </si>
  <si>
    <t>USA_AGI</t>
  </si>
  <si>
    <t>USA logra AGI primero</t>
  </si>
  <si>
    <t>USA necesita excelencia técnica + cohesión política interna + capital disponible</t>
  </si>
  <si>
    <t>AI_Benchmark_Score (K45): 40%
(1-Polarization_Index) (L28): 30%
AI_investment_annual (K49): 30%</t>
  </si>
  <si>
    <t>China_AGI</t>
  </si>
  <si>
    <t>China logra AGI primero</t>
  </si>
  <si>
    <t>China aprovecha volumen I+D + capacidad industrial + estabilidad social</t>
  </si>
  <si>
    <t>Tech_patent_applications (K42): 40%
Manufacturing_share (K27): 30%
(1-Desempleo_juvenil) (L32): 30%</t>
  </si>
  <si>
    <t>Desarrollo_simultaneo</t>
  </si>
  <si>
    <t>Desarrollo simultáneo</t>
  </si>
  <si>
    <t>Ventana temporal donde ambos países convergen al umbral AGI simultáneamente</t>
  </si>
  <si>
    <t>MIN(P_USA, P_China) × AGI_Composite (K43)</t>
  </si>
  <si>
    <t>Consorcio_global</t>
  </si>
  <si>
    <t>Consorcio global multilateral</t>
  </si>
  <si>
    <t>Requiere baja polarización global + flujos abiertos + ausencia de líder claro</t>
  </si>
  <si>
    <t>(1-Polarization) (L28): 30%
Cross_border_flows (K33): 30%
× (1-MAX(P_USA, P_China))</t>
  </si>
  <si>
    <t>Nadie_pre2030</t>
  </si>
  <si>
    <t>Nadie logra AGI antes de 2030</t>
  </si>
  <si>
    <t>Probabilidad decrece exponencialmente con proximidad al umbral AGI</t>
  </si>
  <si>
    <t>MAX(0.01, 1 - AGI_Composite (K43) × 2)</t>
  </si>
  <si>
    <t>Variable 2: Cohesión Occidental</t>
  </si>
  <si>
    <t>Integracion_profunda</t>
  </si>
  <si>
    <t>Integración profunda transatlántica</t>
  </si>
  <si>
    <t>Triple convergencia: aprobación USA + cohesión EU + compromiso defensa</t>
  </si>
  <si>
    <t>Congressional_Approval (K14) ×
(1-Parliament_fragmentation) (L29) ×
Defense_spending_growth (K36)</t>
  </si>
  <si>
    <t>Cooperacion_pragmatica</t>
  </si>
  <si>
    <t>Cooperación pragmática continua</t>
  </si>
  <si>
    <t>Inercia institucional favorece continuidad del status quo</t>
  </si>
  <si>
    <t>Constante = 0.45</t>
  </si>
  <si>
    <t>Europa_independiente</t>
  </si>
  <si>
    <t>Europa independiente y amiga</t>
  </si>
  <si>
    <t>Alto gasto defensa EU + disfunción USA impulsa autonomía europea</t>
  </si>
  <si>
    <t>Defense_spending_growth (K36): 60%
(1-Congressional_Approval) (L14): 40%</t>
  </si>
  <si>
    <t>Fragmentacion_hostil</t>
  </si>
  <si>
    <t>Fragmentación hostil</t>
  </si>
  <si>
    <t>Triple disfunción (USA + EU + polarización) genera ruptura atlántica</t>
  </si>
  <si>
    <t>(1-Congressional_Approval) (L14) ×
Parliament_fragmentation (K29) ×
Polarization_Index (K28)</t>
  </si>
  <si>
    <t>Variable 3: Estabilidad China</t>
  </si>
  <si>
    <t>Crecimiento_sostenido</t>
  </si>
  <si>
    <t>Crecimiento sostenido</t>
  </si>
  <si>
    <t>Fortaleza industrial + crecimiento económico + estabilidad social</t>
  </si>
  <si>
    <t>Manufacturing_share (K27) ×
Crecimiento_PIB (K31) ×
(1-Desempleo_juvenil) (L32)</t>
  </si>
  <si>
    <t>Estancamiento_japon</t>
  </si>
  <si>
    <t>Estancamiento tipo Japón</t>
  </si>
  <si>
    <t>Escenario base más probable dado envejecimiento demográfico acelerado</t>
  </si>
  <si>
    <t>Constante = 0.40</t>
  </si>
  <si>
    <t>Crisis_financiera</t>
  </si>
  <si>
    <t>Crisis financiera-social</t>
  </si>
  <si>
    <t>Triple presión: desempleo juvenil + deuda excesiva + crisis demográfica</t>
  </si>
  <si>
    <t>Desempleo_juvenil (K32) ×
Ratio_deuda_total (K30) ×
ABS(Crecimiento_población) (K24)</t>
  </si>
  <si>
    <t>Colapso_autoritario</t>
  </si>
  <si>
    <t>Colapso autoritario</t>
  </si>
  <si>
    <t>Función cuadrática activada solo cuando desempleo juvenil supera umbral crítico</t>
  </si>
  <si>
    <t>MAX(0.01, (Desempleo_juvenil (K32) - 0.7)²)</t>
  </si>
  <si>
    <t>Variable 4: Crisis Climática</t>
  </si>
  <si>
    <t>Mas_20C_2035</t>
  </si>
  <si>
    <t>+2.0°C (2035) Stress severo</t>
  </si>
  <si>
    <t>Trayectoria actual según tendencias observadas y compromisos actuales</t>
  </si>
  <si>
    <t>Constante = 0.55</t>
  </si>
  <si>
    <t>Mas_25C_2040</t>
  </si>
  <si>
    <t>+2.5°C (2040) Crisis alimentaria</t>
  </si>
  <si>
    <t>Eventos extremos crecientes + falta de mitigación aceleran calentamiento</t>
  </si>
  <si>
    <t>Climate_extreme_events (K41) ×
(1-Renewable_energy_share) (L50)</t>
  </si>
  <si>
    <t>Mas_30C_2050</t>
  </si>
  <si>
    <t>+3.0°C (2050) Colapso civilizacional</t>
  </si>
  <si>
    <t>Runaway effect con retroalimentación positiva tras superar punto de no retorno</t>
  </si>
  <si>
    <t>MAX(0.01, (Temperature_anomaly (K40) - 0.8)²)</t>
  </si>
  <si>
    <t>Variable 5: Liderazgo USA</t>
  </si>
  <si>
    <t>Trumpismo_20</t>
  </si>
  <si>
    <t>Trumpismo 2.0</t>
  </si>
  <si>
    <t>Polarización extrema + desigualdad + rechazo a élites = populismo autoritario</t>
  </si>
  <si>
    <t>Polarization_Index (K28) ×
Income_inequality_Gini (K23) ×
(1-Congressional_Approval) (L14)</t>
  </si>
  <si>
    <t>Tecnocrata_competente</t>
  </si>
  <si>
    <t>Tecnócrata competente</t>
  </si>
  <si>
    <t>Reacción centrista cuando disfunción es moderada pero no extrema</t>
  </si>
  <si>
    <t>MAX(0.01, 1 - ABS(((1-Congress) + (1-President))/2 - 0.5))</t>
  </si>
  <si>
    <t>Visionario_transformacional</t>
  </si>
  <si>
    <t>Visionario transformacional</t>
  </si>
  <si>
    <t>Requiere alta aprobación Y baja polarización simultáneamente (raro)</t>
  </si>
  <si>
    <t>Congressional_Approval (K14) +
(1-Polarization_Index) (L28) - 1</t>
  </si>
  <si>
    <t>Fragmentacion_politica</t>
  </si>
  <si>
    <t>Fragmentación política</t>
  </si>
  <si>
    <t>Polarización extrema al cuadrado × parálisis institucional</t>
  </si>
  <si>
    <t>Polarization_Index² (K28²) ×
(1-Congressional_Approval) (L14)</t>
  </si>
  <si>
    <t>SECCIÓN B: MATRIZ DE LIKELIHOODS P(Outcome|Escenario)</t>
  </si>
  <si>
    <t>L(Declive)</t>
  </si>
  <si>
    <t>L(Renovación)</t>
  </si>
  <si>
    <t>L(Fragmentación)</t>
  </si>
  <si>
    <t>L(Singularidad)</t>
  </si>
  <si>
    <t>Justificación del Modificador</t>
  </si>
  <si>
    <t>Hegemonía tecnológica occidental restaura Renovación</t>
  </si>
  <si>
    <t>Modelo autoritario digital favorece Declive occidental</t>
  </si>
  <si>
    <t>Incompatibilidad de sistemas genera Fragmentación</t>
  </si>
  <si>
    <t>Cooperación multilateral favorece Singularidad</t>
  </si>
  <si>
    <t>Status quo continúa, Declive gradual</t>
  </si>
  <si>
    <t>Unión Occidental favorece Renovación masivamente</t>
  </si>
  <si>
    <t>Status quo, sin cambios significativos</t>
  </si>
  <si>
    <t>Multipolaridad suave, autonomía estratégica europea</t>
  </si>
  <si>
    <t>Ruptura atlántica genera Fragmentación global</t>
  </si>
  <si>
    <t>China hegemónica acelera Declive occidental</t>
  </si>
  <si>
    <t>Multipolaridad estable sin hegemonía clara</t>
  </si>
  <si>
    <t>Debilidad China crea oportunidad para Renovación occidental</t>
  </si>
  <si>
    <t>Caos en China genera Fragmentación global</t>
  </si>
  <si>
    <t>Stress manejable pero genera tensiones geopolíticas</t>
  </si>
  <si>
    <t>Crisis severa impulsa Fragmentación</t>
  </si>
  <si>
    <t>Colapso climático genera Fragmentación extrema</t>
  </si>
  <si>
    <t>Aislacionismo acelera Declive y Fragmentación</t>
  </si>
  <si>
    <t>Gestión ordenada permite reformas moderadas</t>
  </si>
  <si>
    <t>Catalizador de Renovación occidental</t>
  </si>
  <si>
    <t>Parálisis USA genera vacío de poder global</t>
  </si>
  <si>
    <t>SECCIÓN C: SELECCIÓN DE ESCENARIOS</t>
  </si>
  <si>
    <t>Variable 1:</t>
  </si>
  <si>
    <t>Carrera IA</t>
  </si>
  <si>
    <t>No Contemplado</t>
  </si>
  <si>
    <t>Variable 2:</t>
  </si>
  <si>
    <t>Cohesión Occidental</t>
  </si>
  <si>
    <t>Variable 3:</t>
  </si>
  <si>
    <t>Estabilidad China</t>
  </si>
  <si>
    <t>Variable 4:</t>
  </si>
  <si>
    <t>Crisis Climática</t>
  </si>
  <si>
    <t>Variable 5:</t>
  </si>
  <si>
    <t>Liderazgo USA</t>
  </si>
  <si>
    <t>SECCIÓN D: PROBABILIDADES ACTUALIZADAS</t>
  </si>
  <si>
    <t>P(Base)</t>
  </si>
  <si>
    <t>P(Ajustada)</t>
  </si>
  <si>
    <t>Cambio Abs.</t>
  </si>
  <si>
    <t>Cambio Rel.</t>
  </si>
  <si>
    <t>SECCIÓN E: VISUALIZACIÓN DE RESULTADOS</t>
  </si>
  <si>
    <t>CÓDIGO VBA PARA MOTOR BAYESIANO</t>
  </si>
  <si>
    <t>Instrucciones de instalación:</t>
  </si>
  <si>
    <t>1. Presione Alt + F11 para abrir el Editor de Visual Basic</t>
  </si>
  <si>
    <t>2. En el panel izquierdo, haga doble clic en 'Ajustes Bayesianos'</t>
  </si>
  <si>
    <t>3. Copie todo el código de abajo y péguelo en el editor</t>
  </si>
  <si>
    <t>4. Guarde el archivo con Ctrl+S (manteniendo formato .xlsm)</t>
  </si>
  <si>
    <t>5. Cierre el editor VBA y las selecciones funcionarán automáticamente</t>
  </si>
  <si>
    <t>'============================================================================</t>
  </si>
  <si>
    <t>' MOTOR BAYESIANO PARA AJUSTES DE PROBABILIDADES</t>
  </si>
  <si>
    <t>' Versión 2.0 - Con descripciones detalladas</t>
  </si>
  <si>
    <t>Option Explicit</t>
  </si>
  <si>
    <t>Const LIKELIHOOD_START_ROW As Integer = 49</t>
  </si>
  <si>
    <t>Const LIKELIHOOD_END_ROW As Integer = 69</t>
  </si>
  <si>
    <t>Const SELECTION_START_ROW As Integer = 74</t>
  </si>
  <si>
    <t>Const RESULTS_START_ROW As Integer = 84</t>
  </si>
  <si>
    <t>Private Sub Worksheet_Change(ByVal Target As Range)</t>
  </si>
  <si>
    <t xml:space="preserve">    Dim selectionRange As Range</t>
  </si>
  <si>
    <t xml:space="preserve">    Set selectionRange = Range("D" &amp; SELECTION_START_ROW &amp; ":D" &amp; (SELECTION_START_ROW + 4))</t>
  </si>
  <si>
    <t xml:space="preserve">    </t>
  </si>
  <si>
    <t xml:space="preserve">    If Not Intersect(Target, selectionRange) Is Nothing Then</t>
  </si>
  <si>
    <t xml:space="preserve">        Application.EnableEvents = False</t>
  </si>
  <si>
    <t xml:space="preserve">        Application.ScreenUpdating = False</t>
  </si>
  <si>
    <t xml:space="preserve">        Call CalculateBayesianUpdate</t>
  </si>
  <si>
    <t xml:space="preserve">        Application.ScreenUpdating = True</t>
  </si>
  <si>
    <t xml:space="preserve">        Application.EnableEvents = True</t>
  </si>
  <si>
    <t xml:space="preserve">    End If</t>
  </si>
  <si>
    <t>End Sub</t>
  </si>
  <si>
    <t>Sub CalculateBayesianUpdate()</t>
  </si>
  <si>
    <t xml:space="preserve">    Dim ws As Worksheet</t>
  </si>
  <si>
    <t xml:space="preserve">    Set ws = Me</t>
  </si>
  <si>
    <t xml:space="preserve">    Dim PBase(1 To 4) As Double</t>
  </si>
  <si>
    <t xml:space="preserve">    Dim PAjustada(1 To 4) As Double</t>
  </si>
  <si>
    <t xml:space="preserve">    Dim i As Integer</t>
  </si>
  <si>
    <t xml:space="preserve">    ' Obtener probabilidades base</t>
  </si>
  <si>
    <t xml:space="preserve">    For i = 1 To 4</t>
  </si>
  <si>
    <t xml:space="preserve">        PBase(i) = ws.Range("C" &amp; (RESULTS_START_ROW + i - 1)).Value</t>
  </si>
  <si>
    <t xml:space="preserve">        PAjustada(i) = PBase(i)</t>
  </si>
  <si>
    <t xml:space="preserve">    Next i</t>
  </si>
  <si>
    <t xml:space="preserve">    ' Procesar cada variable seleccionada</t>
  </si>
  <si>
    <t xml:space="preserve">    Dim varRow As Integer</t>
  </si>
  <si>
    <t xml:space="preserve">    Dim selectedOutcome As String</t>
  </si>
  <si>
    <t xml:space="preserve">    Dim likelihood(1 To 4) As Double</t>
  </si>
  <si>
    <t xml:space="preserve">    For varRow = SELECTION_START_ROW To SELECTION_START_ROW + 4</t>
  </si>
  <si>
    <t xml:space="preserve">        selectedOutcome = ws.Range("D" &amp; varRow).Value</t>
  </si>
  <si>
    <t xml:space="preserve">        </t>
  </si>
  <si>
    <t xml:space="preserve">        If selectedOutcome &lt;&gt; "No Contemplado" And selectedOutcome &lt;&gt; "" Then</t>
  </si>
  <si>
    <t xml:space="preserve">            ' Buscar outcome en matriz</t>
  </si>
  <si>
    <t xml:space="preserve">            Dim likRow As Integer</t>
  </si>
  <si>
    <t xml:space="preserve">            For likRow = LIKELIHOOD_START_ROW To LIKELIHOOD_END_ROW</t>
  </si>
  <si>
    <t xml:space="preserve">                If ws.Range("B" &amp; likRow).Value = selectedOutcome Then</t>
  </si>
  <si>
    <t xml:space="preserve">                    ' Obtener likelihoods</t>
  </si>
  <si>
    <t xml:space="preserve">                    For i = 1 To 4</t>
  </si>
  <si>
    <t xml:space="preserve">                        likelihood(i) = ws.Cells(likRow, i + 2).Value</t>
  </si>
  <si>
    <t xml:space="preserve">                    Next i</t>
  </si>
  <si>
    <t xml:space="preserve">                    ' Aplicar Bayes</t>
  </si>
  <si>
    <t xml:space="preserve">                    Call ApplyBayesianUpdate(PAjustada, likelihood)</t>
  </si>
  <si>
    <t xml:space="preserve">                    Exit For</t>
  </si>
  <si>
    <t xml:space="preserve">                End If</t>
  </si>
  <si>
    <t xml:space="preserve">            Next likRow</t>
  </si>
  <si>
    <t xml:space="preserve">        End If</t>
  </si>
  <si>
    <t xml:space="preserve">    Next varRow</t>
  </si>
  <si>
    <t xml:space="preserve">    ' Escribir resultados</t>
  </si>
  <si>
    <t xml:space="preserve">        ws.Range("D" &amp; (RESULTS_START_ROW + i - 1)).Value = PAjustada(i)</t>
  </si>
  <si>
    <t>Sub ApplyBayesianUpdate(ByRef Probs() As Double, ByRef Likelihoods() As Double)</t>
  </si>
  <si>
    <t xml:space="preserve">    Dim sumProb As Double</t>
  </si>
  <si>
    <t xml:space="preserve">    Dim newProbs(1 To 4) As Double</t>
  </si>
  <si>
    <t xml:space="preserve">    sumProb = 0</t>
  </si>
  <si>
    <t xml:space="preserve">        sumProb = sumProb + Likelihoods(i) * Probs(i)</t>
  </si>
  <si>
    <t xml:space="preserve">    If sumProb = 0 Then Exit Sub</t>
  </si>
  <si>
    <t xml:space="preserve">        newProbs(i) = (Likelihoods(i) * Probs(i)) / sumProb</t>
  </si>
  <si>
    <t xml:space="preserve">        Probs(i) = newProbs(i)</t>
  </si>
  <si>
    <t>Sub ResetToBase()</t>
  </si>
  <si>
    <t xml:space="preserve">    Set ws = ActiveSheet</t>
  </si>
  <si>
    <t xml:space="preserve">    Application.EnableEvents = False</t>
  </si>
  <si>
    <t xml:space="preserve">    For i = SELECTION_START_ROW To SELECTION_START_ROW + 4</t>
  </si>
  <si>
    <t xml:space="preserve">        ws.Range("D" &amp; i).Value = "No Contemplado"</t>
  </si>
  <si>
    <t xml:space="preserve">    Call CalculateBayesianUpdate</t>
  </si>
  <si>
    <t xml:space="preserve">    Application.EnableEvents = True</t>
  </si>
  <si>
    <t xml:space="preserve">    MsgBox "Valores reseteados", vbInformation</t>
  </si>
  <si>
    <t>CONTROLES:</t>
  </si>
  <si>
    <t>[Presione Alt+F8 y ejecute 'ResetToBase' para resetear]</t>
  </si>
  <si>
    <t>[Presione Alt+F8 y ejecute 'ExportCurrentResults' para exportar]</t>
  </si>
  <si>
    <t>Global: AI_Investment_Intensity</t>
  </si>
  <si>
    <t>Global: AI_Benchmark_Score</t>
  </si>
  <si>
    <t>Global: Temperature_anomaly</t>
  </si>
  <si>
    <t>💡 Implicaciones:</t>
  </si>
  <si>
    <t>Global: Climate_extreme_events</t>
  </si>
  <si>
    <t>Global: Global_debt_to_GDP</t>
  </si>
  <si>
    <t>India: Crecimiento_PIB</t>
  </si>
  <si>
    <t>Europa: Crecimiento_PIB_EU</t>
  </si>
  <si>
    <t>USA: Military_spending_growth</t>
  </si>
  <si>
    <t>USA: Polarization_Index</t>
  </si>
  <si>
    <t>USA: Congressional_Approval</t>
  </si>
  <si>
    <t>USA: Debt_to_GDP</t>
  </si>
  <si>
    <t>USA: Crecimiento_PIB</t>
  </si>
  <si>
    <t>USA: PMI_compuesto</t>
  </si>
  <si>
    <t>China: Military_spending_growth</t>
  </si>
  <si>
    <t>China: Tech_patent_applications</t>
  </si>
  <si>
    <t>China: Desempleo_juvenil</t>
  </si>
  <si>
    <t>China: Crecimiento_población</t>
  </si>
  <si>
    <t>China: Ratio_deuda_total</t>
  </si>
  <si>
    <t>China: Crecimiento_PIB</t>
  </si>
  <si>
    <t>China: PMI_compuesto</t>
  </si>
  <si>
    <t>P95</t>
  </si>
  <si>
    <t>P75</t>
  </si>
  <si>
    <t>P50</t>
  </si>
  <si>
    <t>P25</t>
  </si>
  <si>
    <t>P5</t>
  </si>
  <si>
    <t>Std Dev</t>
  </si>
  <si>
    <t>Media</t>
  </si>
  <si>
    <t>Base</t>
  </si>
  <si>
    <t>Const HOJA_MODELO As String = "Modelo Variables V8"</t>
  </si>
  <si>
    <t>Const HOJA_MONTE_CARLO As String = "Monte_Carlo_Analysis"</t>
  </si>
  <si>
    <t>Dim ResultadosMonteCarlo() As Double</t>
  </si>
  <si>
    <t>'------------------------------------------------------------------------------</t>
  </si>
  <si>
    <t>Sub ActualizarMonteCarlo()</t>
  </si>
  <si>
    <t xml:space="preserve">    On Error GoTo ErrorHandler</t>
  </si>
  <si>
    <t xml:space="preserve">    startTime = Timer</t>
  </si>
  <si>
    <t xml:space="preserve">    Application.ScreenUpdating = False</t>
  </si>
  <si>
    <t xml:space="preserve">    Application.Calculation = xlCalculationManual</t>
  </si>
  <si>
    <t xml:space="preserve">        GoTo Cleanup</t>
  </si>
  <si>
    <t xml:space="preserve">            DoEvents</t>
  </si>
  <si>
    <t>Cleanup:</t>
  </si>
  <si>
    <t xml:space="preserve">    Application.ScreenUpdating = True</t>
  </si>
  <si>
    <t xml:space="preserve">    Application.Calculation = xlCalculationAutomatic</t>
  </si>
  <si>
    <t xml:space="preserve">    Exit Sub</t>
  </si>
  <si>
    <t>ErrorHandler:</t>
  </si>
  <si>
    <t xml:space="preserve">    contador = 0</t>
  </si>
  <si>
    <t xml:space="preserve">            End If</t>
  </si>
  <si>
    <t xml:space="preserve">    Next fila</t>
  </si>
  <si>
    <t xml:space="preserve">    MsgBox "Error: " &amp; Err.Description, vbCritical</t>
  </si>
  <si>
    <t>Sub VerificarVariables()</t>
  </si>
  <si>
    <t xml:space="preserve">    Set ws = ThisWorkbook.Sheets(HOJA_MODELO)</t>
  </si>
  <si>
    <t xml:space="preserve">    MsgBox msg, vbInformation, "Variables Críticas"</t>
  </si>
  <si>
    <t xml:space="preserve">    MsgBox msg, vbInformation, "Diagnóstico"</t>
  </si>
  <si>
    <t>Global: AI_investment_annual</t>
  </si>
  <si>
    <t xml:space="preserve">            </t>
  </si>
  <si>
    <t>Const INICIO_VARIABLES As Integer = 2</t>
  </si>
  <si>
    <t>Const FIN_VARIABLES As Integer = 50</t>
  </si>
  <si>
    <t>Const CRITICIDAD_MIN As Double = 1.5</t>
  </si>
  <si>
    <t xml:space="preserve">    If numIter &gt; 10000 Then numIter = 10000</t>
  </si>
  <si>
    <t xml:space="preserve">    Application.StatusBar = False</t>
  </si>
  <si>
    <t>Sub MonteCarloRapido()</t>
  </si>
  <si>
    <t xml:space="preserve">    ReDim ResultadosMonteCarlo(1 To numIter, 1 To 4)</t>
  </si>
  <si>
    <t xml:space="preserve">    For i = 1 To numIter</t>
  </si>
  <si>
    <t xml:space="preserve">        For j = 1 To 4</t>
  </si>
  <si>
    <t xml:space="preserve">        Next j</t>
  </si>
  <si>
    <t xml:space="preserve">    Set wsMC = ThisWorkbook.Sheets(HOJA_MONTE_CARLO)</t>
  </si>
  <si>
    <t xml:space="preserve">        Else</t>
  </si>
  <si>
    <t>Dim NumVariables As Integer</t>
  </si>
  <si>
    <t xml:space="preserve">    respuesta = Application.InputBox( _</t>
  </si>
  <si>
    <t xml:space="preserve">        "Número de iteraciones:" &amp; vbCrLf &amp; _</t>
  </si>
  <si>
    <t xml:space="preserve">        "Monte Carlo", "1000", Type:=1)</t>
  </si>
  <si>
    <t xml:space="preserve">    If respuesta = False Then Exit Sub</t>
  </si>
  <si>
    <t xml:space="preserve">    numIter = CLng(respuesta)</t>
  </si>
  <si>
    <t xml:space="preserve">    If numIter &lt; 10 Then numIter = 10</t>
  </si>
  <si>
    <t xml:space="preserve">    Call IdentificarVariables(ws)</t>
  </si>
  <si>
    <t xml:space="preserve">    If NumVariables = 0 Then</t>
  </si>
  <si>
    <t xml:space="preserve">    Call GuardarOriginales(ws)</t>
  </si>
  <si>
    <t xml:space="preserve">        For j = 1 To NumVariables</t>
  </si>
  <si>
    <t xml:space="preserve">            variacion = -0.2 + (Rnd() * 0.4)</t>
  </si>
  <si>
    <t xml:space="preserve">            If IsNumeric(Variables(j, 4)) And IsNumeric(Variables(j, 5)) Then</t>
  </si>
  <si>
    <t xml:space="preserve">        Application.Calculate</t>
  </si>
  <si>
    <t xml:space="preserve">        ResultadosMonteCarlo(i, 1) = ws.Range("K65").Value</t>
  </si>
  <si>
    <t xml:space="preserve">        ResultadosMonteCarlo(i, 2) = ws.Range("K66").Value</t>
  </si>
  <si>
    <t xml:space="preserve">        ResultadosMonteCarlo(i, 3) = ws.Range("K67").Value</t>
  </si>
  <si>
    <t xml:space="preserve">        ResultadosMonteCarlo(i, 4) = ws.Range("K68").Value</t>
  </si>
  <si>
    <t xml:space="preserve">    wsMC.Activate</t>
  </si>
  <si>
    <t>Private Sub IdentificarVariables(ws As Worksheet)</t>
  </si>
  <si>
    <t xml:space="preserve">    NumVariables = contador</t>
  </si>
  <si>
    <t xml:space="preserve">    ReDim Variables(1 To contador, 1 To 6)</t>
  </si>
  <si>
    <t>Private Sub GuardarOriginales(ws As Worksheet)</t>
  </si>
  <si>
    <t xml:space="preserve">    For i = 1 To NumVariables</t>
  </si>
  <si>
    <t>Sub TestDiagnostico()</t>
  </si>
  <si>
    <t xml:space="preserve">    If NumVariables &gt; 0 Then</t>
  </si>
  <si>
    <t>🔍 Hallazgos Clave del Análisis Monte Carlo:</t>
  </si>
  <si>
    <t>1. Escenario más sensible: Fragmentación (Std Dev: 2.00%)</t>
  </si>
  <si>
    <t>Mayor volatilidad ante cambios en las variables críticas</t>
  </si>
  <si>
    <t>Disminuye significativamente su probabilidad (-1.49%) cuando hay incertidumbre</t>
  </si>
  <si>
    <t>2. Robustez del modelo: ALTA</t>
  </si>
  <si>
    <t>Desviación estándar promedio: ~1.4%</t>
  </si>
  <si>
    <t>El modelo es muy estable ante variaciones de ±20%</t>
  </si>
  <si>
    <t>Las funciones fuzzy amortiguan los cambios extremos</t>
  </si>
  <si>
    <t>3. Cambios en el orden de probabilidades:</t>
  </si>
  <si>
    <r>
      <t>Declive aumenta</t>
    </r>
    <r>
      <rPr>
        <sz val="11"/>
        <color theme="1"/>
        <rFont val="Calibri"/>
        <family val="2"/>
        <charset val="1"/>
      </rPr>
      <t xml:space="preserve"> de 27.96% → 29.23% (+1.27%)</t>
    </r>
  </si>
  <si>
    <r>
      <t>Fragmentación disminuye</t>
    </r>
    <r>
      <rPr>
        <sz val="11"/>
        <color theme="1"/>
        <rFont val="Calibri"/>
        <family val="2"/>
        <charset val="1"/>
      </rPr>
      <t xml:space="preserve"> de 27.34% → 25.85% (-1.49%)</t>
    </r>
  </si>
  <si>
    <r>
      <t>Singularidad</t>
    </r>
    <r>
      <rPr>
        <sz val="11"/>
        <color theme="1"/>
        <rFont val="Calibri"/>
        <family val="2"/>
        <charset val="1"/>
      </rPr>
      <t xml:space="preserve"> ahora supera a Fragmentación (26.35% vs 25.85%)</t>
    </r>
  </si>
  <si>
    <r>
      <t xml:space="preserve">El modelo muestra </t>
    </r>
    <r>
      <rPr>
        <b/>
        <sz val="11"/>
        <color theme="1"/>
        <rFont val="Calibri"/>
        <family val="2"/>
        <charset val="1"/>
      </rPr>
      <t>sesgo hacia Declive</t>
    </r>
    <r>
      <rPr>
        <sz val="11"/>
        <color theme="1"/>
        <rFont val="Calibri"/>
        <family val="2"/>
        <charset val="1"/>
      </rPr>
      <t xml:space="preserve"> bajo incertidumbre</t>
    </r>
  </si>
  <si>
    <t>4. Rangos de variación (P5-P95):</t>
  </si>
  <si>
    <t>Variación típica de ±3-4% en cada escenario</t>
  </si>
  <si>
    <t>Fragmentación muestra el rango más amplio (StdDev 2.00%)</t>
  </si>
  <si>
    <t>Singularidad es el más estable (StdDev 1.10%)</t>
  </si>
  <si>
    <r>
      <t>El modelo es muy robusto</t>
    </r>
    <r>
      <rPr>
        <sz val="11"/>
        <color theme="1"/>
        <rFont val="Calibri"/>
        <family val="2"/>
        <charset val="1"/>
      </rPr>
      <t xml:space="preserve"> - las desviaciones estándar de ~1.5% indican alta estabilidad</t>
    </r>
  </si>
  <si>
    <r>
      <t>Sesgo pesimista</t>
    </r>
    <r>
      <rPr>
        <sz val="11"/>
        <color theme="1"/>
        <rFont val="Calibri"/>
        <family val="2"/>
        <charset val="1"/>
      </rPr>
      <t>: Bajo incertidumbre, el modelo favorece el escenario Declive</t>
    </r>
  </si>
  <si>
    <r>
      <t>Fragmentación es vulnerable</t>
    </r>
    <r>
      <rPr>
        <sz val="11"/>
        <color theme="1"/>
        <rFont val="Calibri"/>
        <family val="2"/>
        <charset val="1"/>
      </rPr>
      <t>: Es el único escenario que disminuye significativamente con variación</t>
    </r>
  </si>
  <si>
    <r>
      <t xml:space="preserve">Los </t>
    </r>
    <r>
      <rPr>
        <b/>
        <sz val="11"/>
        <color theme="1"/>
        <rFont val="Calibri"/>
        <family val="2"/>
        <charset val="1"/>
      </rPr>
      <t>intervalos de confianza del 90%</t>
    </r>
    <r>
      <rPr>
        <sz val="11"/>
        <color theme="1"/>
        <rFont val="Calibri"/>
        <family val="2"/>
        <charset val="1"/>
      </rPr>
      <t xml:space="preserve"> sugieren que las probabilidades reales están dentro de ±3% de los valores base</t>
    </r>
  </si>
  <si>
    <r>
      <t xml:space="preserve">Las </t>
    </r>
    <r>
      <rPr>
        <b/>
        <sz val="11"/>
        <color theme="1"/>
        <rFont val="Calibri"/>
        <family val="2"/>
        <charset val="1"/>
      </rPr>
      <t>funciones fuzzy no lineales</t>
    </r>
    <r>
      <rPr>
        <sz val="11"/>
        <color theme="1"/>
        <rFont val="Calibri"/>
        <family val="2"/>
        <charset val="1"/>
      </rPr>
      <t xml:space="preserve"> del modelo crean respuestas asimétricas que estabilizan algunos escenarios (Renovación, Singularidad) mientras amplifican otros (Declive)</t>
    </r>
  </si>
  <si>
    <t>' API para detectar tecla ESC</t>
  </si>
  <si>
    <t>#If VBA7 Then</t>
  </si>
  <si>
    <t xml:space="preserve">    Private Declare PtrSafe Function GetAsyncKeyState Lib "user32" (ByVal vKey As Long) As Integer</t>
  </si>
  <si>
    <t>#Else</t>
  </si>
  <si>
    <t xml:space="preserve">    Private Declare Function GetAsyncKeyState Lib "user32" (ByVal vKey As Long) As Integer</t>
  </si>
  <si>
    <t>#End If</t>
  </si>
  <si>
    <t xml:space="preserve">            If GetAsyncKeyState(vbKeyEscape) Then</t>
  </si>
  <si>
    <t xml:space="preserve">                    cancelado = True</t>
  </si>
  <si>
    <t xml:space="preserve">        tiempo = Timer - startTime</t>
  </si>
  <si>
    <t xml:space="preserve">                    contador = contador + 1</t>
  </si>
  <si>
    <t xml:space="preserve">                    numIter = i</t>
  </si>
  <si>
    <t>' VerificarVariables (muestra listado) — ahora refleja filas estrictas</t>
  </si>
  <si>
    <t xml:space="preserve">    Const COL_C As Long = 3, COL_J As Long = 10</t>
  </si>
  <si>
    <t xml:space="preserve">    msg = msg &amp; vbCrLf &amp; "TOTAL: " &amp; totalCriticas</t>
  </si>
  <si>
    <t xml:space="preserve">    Dim i As Long, j As Integer</t>
  </si>
  <si>
    <t xml:space="preserve">        For i = 1 To numIter</t>
  </si>
  <si>
    <t xml:space="preserve">        Next i</t>
  </si>
  <si>
    <t xml:space="preserve">    With wsMC</t>
  </si>
  <si>
    <t xml:space="preserve">        .Range("A2").Value = "Fecha: " &amp; Format(Now, "yyyy-mm-dd hh:mm")</t>
  </si>
  <si>
    <t xml:space="preserve">        .Range("A3").Value = "Simulaciones: " &amp; Format(numIter, "#,##0")</t>
  </si>
  <si>
    <t xml:space="preserve">        .Range("C3").Value = "Variables: " &amp; NumVariables</t>
  </si>
  <si>
    <t xml:space="preserve">        .Range("B7").Value = wsModelo.Range("K65").Value</t>
  </si>
  <si>
    <t xml:space="preserve">        .Range("B8").Value = wsModelo.Range("K66").Value</t>
  </si>
  <si>
    <t xml:space="preserve">        .Range("B9").Value = wsModelo.Range("K67").Value</t>
  </si>
  <si>
    <t xml:space="preserve">        .Range("B10").Value = wsModelo.Range("K68").Value</t>
  </si>
  <si>
    <t xml:space="preserve">        .Range("B7:K10").NumberFormat = "0.00%"</t>
  </si>
  <si>
    <t xml:space="preserve">        .Range("A6:K6").Font.Bold = True</t>
  </si>
  <si>
    <t xml:space="preserve">        .Range("A6:K6").Interior.Color = RGB(200, 200, 200)</t>
  </si>
  <si>
    <t xml:space="preserve">        .Columns("A:K").AutoFit</t>
  </si>
  <si>
    <t xml:space="preserve">    End With</t>
  </si>
  <si>
    <t xml:space="preserve">    Dim fila As Long</t>
  </si>
  <si>
    <t xml:space="preserve">    Dim totalCriticas As Long</t>
  </si>
  <si>
    <t xml:space="preserve">    Dim items As Collection: Set items = New Collection</t>
  </si>
  <si>
    <t xml:space="preserve">        If IsNumeric(ws.Cells(fila, COL_J).Value) Then</t>
  </si>
  <si>
    <t xml:space="preserve">            If CDbl(ws.Cells(fila, COL_J).Value) &gt;= CRITICIDAD_MIN Then</t>
  </si>
  <si>
    <t xml:space="preserve">                totalCriticas = totalCriticas + 1</t>
  </si>
  <si>
    <t xml:space="preserve">                items.Add fila</t>
  </si>
  <si>
    <t xml:space="preserve">    Dim msg As String, i As Long, hasta As Long</t>
  </si>
  <si>
    <t xml:space="preserve">    msg = "VARIABLES CON CRITICIDAD ≥ " &amp; CRITICIDAD_MIN &amp; " (C2:C44, C48:C50)" &amp; vbCrLf &amp; vbCrLf</t>
  </si>
  <si>
    <t xml:space="preserve">    ' Mostrar solo las primeras 16</t>
  </si>
  <si>
    <t xml:space="preserve">    hasta = Application.WorksheetFunction.Min(16, items.Count)</t>
  </si>
  <si>
    <t xml:space="preserve">    For i = 1 To hasta</t>
  </si>
  <si>
    <t xml:space="preserve">        fila = items(i)</t>
  </si>
  <si>
    <t xml:space="preserve">        msg = msg &amp; "Fila " &amp; Format(fila, "00") &amp; ": "</t>
  </si>
  <si>
    <t xml:space="preserve">        If ws.Cells(fila, 1).Value &lt;&gt; "" Then</t>
  </si>
  <si>
    <t xml:space="preserve">            msg = msg &amp; "[" &amp; ws.Cells(fila, 1).Value &amp; "] "</t>
  </si>
  <si>
    <t xml:space="preserve">        msg = msg &amp; ws.Cells(fila, 2).Value &amp; " = " &amp; ws.Cells(fila, COL_C).Value &amp; _</t>
  </si>
  <si>
    <t xml:space="preserve">              " (Crit: " &amp; ws.Cells(fila, COL_J).Value &amp; ")" &amp; vbCrLf</t>
  </si>
  <si>
    <t xml:space="preserve">    If totalCriticas &gt; hasta Then</t>
  </si>
  <si>
    <t xml:space="preserve">        msg = msg &amp; vbCrLf &amp; "... y " &amp; (totalCriticas - hasta) &amp; " variables más"</t>
  </si>
  <si>
    <t>'==============================================================================</t>
  </si>
  <si>
    <t>' Constantes</t>
  </si>
  <si>
    <t>' Variables globales</t>
  </si>
  <si>
    <t>Dim Variables() As Variant</t>
  </si>
  <si>
    <t>Dim ValoresOriginales() As Double</t>
  </si>
  <si>
    <t>' PROCEDIMIENTO PRINCIPAL</t>
  </si>
  <si>
    <t xml:space="preserve">    Dim wsMC As Worksheet</t>
  </si>
  <si>
    <t xml:space="preserve">    Dim numIter As Long</t>
  </si>
  <si>
    <t xml:space="preserve">    Dim respuesta As Variant</t>
  </si>
  <si>
    <t xml:space="preserve">    ' Preguntar número de iteraciones</t>
  </si>
  <si>
    <t xml:space="preserve">        "100 = Test rápido (10 seg)" &amp; vbCrLf &amp; _</t>
  </si>
  <si>
    <t xml:space="preserve">        "1000 = Análisis medio (1 min)" &amp; vbCrLf &amp; _</t>
  </si>
  <si>
    <t xml:space="preserve">        "10000 = Análisis completo (5-10 min)", _</t>
  </si>
  <si>
    <t xml:space="preserve">    ' INICIALIZAR GENERADOR ALEATORIO</t>
  </si>
  <si>
    <t xml:space="preserve">    Randomize</t>
  </si>
  <si>
    <t xml:space="preserve">    ' Ejecutar análisis</t>
  </si>
  <si>
    <t xml:space="preserve">    Dim startTime As Double</t>
  </si>
  <si>
    <t xml:space="preserve">    Dim cancelado As Boolean</t>
  </si>
  <si>
    <t xml:space="preserve">    cancelado = False</t>
  </si>
  <si>
    <t xml:space="preserve">    ' Configurar Excel</t>
  </si>
  <si>
    <t xml:space="preserve">    ' PASO 1: Identificar variables</t>
  </si>
  <si>
    <t xml:space="preserve">    Application.StatusBar = "Identificando variables críticas..."</t>
  </si>
  <si>
    <t xml:space="preserve">        MsgBox "No se encontraron variables críticas modificables", vbExclamation</t>
  </si>
  <si>
    <t xml:space="preserve">    ' PASO 3: Inicializar array de resultados</t>
  </si>
  <si>
    <t xml:space="preserve">    ' PASO 4: Ejecutar simulaciones</t>
  </si>
  <si>
    <t xml:space="preserve">        If i Mod 50 = 0 Or i = 1 Then</t>
  </si>
  <si>
    <t xml:space="preserve">            Dim nuevovalor As Double</t>
  </si>
  <si>
    <t xml:space="preserve">            Dim variacion As Double</t>
  </si>
  <si>
    <t xml:space="preserve">            nuevovalor = ValoresOriginales(j) * (1 + variacion)</t>
  </si>
  <si>
    <t xml:space="preserve">                Dim minVal As Double, maxVal As Double</t>
  </si>
  <si>
    <t xml:space="preserve">                minVal = CDbl(Variables(j, 4))</t>
  </si>
  <si>
    <t xml:space="preserve">                maxVal = CDbl(Variables(j, 5))</t>
  </si>
  <si>
    <t xml:space="preserve">                If minVal &lt; maxVal Then</t>
  </si>
  <si>
    <t xml:space="preserve">                    If nuevovalor &lt; minVal Then nuevovalor = minVal</t>
  </si>
  <si>
    <t xml:space="preserve">                    If nuevovalor &gt; maxVal Then nuevovalor = maxVal</t>
  </si>
  <si>
    <t xml:space="preserve">            ws.Cells(Variables(j, 1), 3).Value = nuevovalor</t>
  </si>
  <si>
    <t xml:space="preserve">        DoEvents</t>
  </si>
  <si>
    <t xml:space="preserve">        Application.StatusBar = "Calculando estadísticas..."</t>
  </si>
  <si>
    <t xml:space="preserve">    ' Activar hoja de resultados</t>
  </si>
  <si>
    <t xml:space="preserve">    ' Mensaje final</t>
  </si>
  <si>
    <t xml:space="preserve">        Dim tiempo As Double</t>
  </si>
  <si>
    <t xml:space="preserve">        Dim mensaje As String</t>
  </si>
  <si>
    <t xml:space="preserve">        If cancelado Then</t>
  </si>
  <si>
    <t xml:space="preserve">        mensaje = mensaje &amp; _</t>
  </si>
  <si>
    <t xml:space="preserve">                 "• Tiempo: " &amp; Format(tiempo, "0.0") &amp; " segundos"</t>
  </si>
  <si>
    <t xml:space="preserve">    Dim filaInicio As Long</t>
  </si>
  <si>
    <t xml:space="preserve">        .Range("M:P").ClearContents</t>
  </si>
  <si>
    <t xml:space="preserve">        .Range("M2").Value = "Declive"</t>
  </si>
  <si>
    <t xml:space="preserve">        .Range("N2").Value = "Renovación"</t>
  </si>
  <si>
    <t xml:space="preserve">        .Range("O2").Value = "Fragmentación"</t>
  </si>
  <si>
    <t xml:space="preserve">        .Range("P2").Value = "Singularidad"</t>
  </si>
  <si>
    <t xml:space="preserve">        filaInicio = 3</t>
  </si>
  <si>
    <t xml:space="preserve">        ' Valores base</t>
  </si>
  <si>
    <t xml:space="preserve">            Dim rango As String</t>
  </si>
  <si>
    <t xml:space="preserve">            rango = .Cells(filaInicio, 12 + j).Address &amp; ":" &amp; .Cells(filaInicio + numIter - 1, 12 + j).Address</t>
  </si>
  <si>
    <t xml:space="preserve">            .Cells(6 + j, 3).Formula = "=AVERAGE(" &amp; rango &amp; ")"</t>
  </si>
  <si>
    <t xml:space="preserve">            .Cells(6 + j, 4).Formula = "=STDEV.S(" &amp; rango &amp; ")"</t>
  </si>
  <si>
    <t xml:space="preserve">            .Cells(6 + j, 5).Formula = "=MIN(" &amp; rango &amp; ")"</t>
  </si>
  <si>
    <t xml:space="preserve">            .Cells(6 + j, 6).Formula = "=MAX(" &amp; rango &amp; ")"</t>
  </si>
  <si>
    <t xml:space="preserve">        .Calculate</t>
  </si>
  <si>
    <t xml:space="preserve">        .Range("C7:K10").Value = .Range("C7:K10").Value</t>
  </si>
  <si>
    <t xml:space="preserve">        .Columns("M:P").Hidden = True</t>
  </si>
  <si>
    <t xml:space="preserve">        ' Formato</t>
  </si>
  <si>
    <t xml:space="preserve">    Dim fila As Integer</t>
  </si>
  <si>
    <t xml:space="preserve">    Dim contador As Integer</t>
  </si>
  <si>
    <t xml:space="preserve">    For fila = INICIO_VARIABLES To FIN_VARIABLES</t>
  </si>
  <si>
    <t xml:space="preserve">        If IsNumeric(ws.Cells(fila, 10).Value) Then</t>
  </si>
  <si>
    <t xml:space="preserve">            If CDbl(ws.Cells(fila, 10).Value) &gt;= CRITICIDAD_MIN Then</t>
  </si>
  <si>
    <t xml:space="preserve">                If Not ws.Cells(fila, 3).HasFormula Then</t>
  </si>
  <si>
    <t xml:space="preserve">                    If IsNumeric(ws.Cells(fila, 3).Value) Then</t>
  </si>
  <si>
    <t xml:space="preserve">                        contador = contador + 1</t>
  </si>
  <si>
    <t xml:space="preserve">                    End If</t>
  </si>
  <si>
    <t xml:space="preserve">    If contador = 0 Then Exit Sub</t>
  </si>
  <si>
    <t xml:space="preserve">                        Variables(contador, 1) = fila</t>
  </si>
  <si>
    <t xml:space="preserve">                        Variables(contador, 2) = ws.Cells(fila, 1).Value</t>
  </si>
  <si>
    <t xml:space="preserve">                        Variables(contador, 3) = ws.Cells(fila, 2).Value</t>
  </si>
  <si>
    <t xml:space="preserve">                        Variables(contador, 4) = ws.Cells(fila, 5).Value</t>
  </si>
  <si>
    <t xml:space="preserve">                        Variables(contador, 5) = ws.Cells(fila, 6).Value</t>
  </si>
  <si>
    <t xml:space="preserve">                        Variables(contador, 6) = ws.Cells(fila, 10).Value</t>
  </si>
  <si>
    <t xml:space="preserve">    ReDim ValoresOriginales(1 To NumVariables)</t>
  </si>
  <si>
    <t xml:space="preserve">        ValoresOriginales(i) = ws.Cells(Variables(i, 1), 3).Value</t>
  </si>
  <si>
    <t>' TEST DIAGNÓSTICO</t>
  </si>
  <si>
    <t xml:space="preserve">    Dim msg As String</t>
  </si>
  <si>
    <t>' MACRO MONTE CARLO - VERSIÓN CORREGIDA</t>
  </si>
  <si>
    <t>' SIEMPRE restaura valores originales</t>
  </si>
  <si>
    <t xml:space="preserve">    Call EjecutarMonteCarloSeguro(ws, wsMC, numIter)</t>
  </si>
  <si>
    <t>' MONTE CARLO RÁPIDO</t>
  </si>
  <si>
    <t xml:space="preserve">    Call EjecutarMonteCarloSeguro(ws, wsMC, 100)</t>
  </si>
  <si>
    <t>' VERIFICAR VALORES ACTUALES</t>
  </si>
  <si>
    <t>Sub VerificarValores()</t>
  </si>
  <si>
    <t xml:space="preserve">    msg = "PRIMERAS 5 VARIABLES CRÍTICAS:" &amp; vbCrLf &amp; vbCrLf</t>
  </si>
  <si>
    <t xml:space="preserve">    For i = INICIO_VARIABLES To FIN_VARIABLES</t>
  </si>
  <si>
    <t xml:space="preserve">        If IsNumeric(ws.Cells(i, 10).Value) Then</t>
  </si>
  <si>
    <t xml:space="preserve">            If CDbl(ws.Cells(i, 10).Value) &gt;= CRITICIDAD_MIN Then</t>
  </si>
  <si>
    <t xml:space="preserve">                If Not ws.Cells(i, 3).HasFormula Then</t>
  </si>
  <si>
    <t xml:space="preserve">                    msg = msg &amp; contador &amp; ". Fila " &amp; i &amp; ": " &amp; _</t>
  </si>
  <si>
    <t xml:space="preserve">                          ws.Cells(i, 2).Value &amp; vbCrLf &amp; _</t>
  </si>
  <si>
    <t xml:space="preserve">                          "   Valor actual: " &amp; ws.Cells(i, 3).Value &amp; vbCrLf</t>
  </si>
  <si>
    <t xml:space="preserve">                    If contador &gt;= 5 Then Exit For</t>
  </si>
  <si>
    <t xml:space="preserve">    MsgBox msg, vbInformation, "Valores Actuales"</t>
  </si>
  <si>
    <t>' EJECUTAR MONTE CARLO CON RESTAURACIÓN SEGURA</t>
  </si>
  <si>
    <t>Private Sub EjecutarMonteCarloSeguro(ws As Worksheet, wsMC As Worksheet, numIter As Long)</t>
  </si>
  <si>
    <t xml:space="preserve">    Dim errorOcurrido As Boolean</t>
  </si>
  <si>
    <t xml:space="preserve">    errorOcurrido = False</t>
  </si>
  <si>
    <t xml:space="preserve">    ' MANEJO DE ERRORES QUE GARANTIZA RESTAURACIÓN</t>
  </si>
  <si>
    <t xml:space="preserve">    On Error GoTo RestaurarYSalir</t>
  </si>
  <si>
    <t xml:space="preserve">    ' PASO 2: Guardar valores originales (CRÍTICO)</t>
  </si>
  <si>
    <t xml:space="preserve">    Application.StatusBar = "Guardando valores originales..."</t>
  </si>
  <si>
    <t xml:space="preserve">    ' VERIFICACIÓN: Mostrar valores guardados</t>
  </si>
  <si>
    <t xml:space="preserve">    Dim msgVerif As String</t>
  </si>
  <si>
    <t xml:space="preserve">    msgVerif = "Valores originales guardados:" &amp; vbCrLf</t>
  </si>
  <si>
    <t xml:space="preserve">    For i = 1 To IIf(NumVariables &gt; 3, 3, NumVariables)</t>
  </si>
  <si>
    <t xml:space="preserve">        msgVerif = msgVerif &amp; Variables(i, 3) &amp; ": " &amp; ValoresOriginales(i) &amp; vbCrLf</t>
  </si>
  <si>
    <t xml:space="preserve">    Debug.Print msgVerif  ' Para verificación en la ventana Inmediato</t>
  </si>
  <si>
    <t xml:space="preserve">        ' Mostrar progreso</t>
  </si>
  <si>
    <t xml:space="preserve">            Application.StatusBar = "Simulación " &amp; i &amp; " de " &amp; numIter &amp; " (" &amp; Format(i / numIter, "0%") &amp; ") - ESC para cancelar"</t>
  </si>
  <si>
    <t xml:space="preserve">            ' Verificar cancelación</t>
  </si>
  <si>
    <t xml:space="preserve">                If MsgBox("¿Cancelar el análisis?" &amp; vbCrLf &amp; vbCrLf &amp; _</t>
  </si>
  <si>
    <t xml:space="preserve">                         "Completadas: " &amp; i &amp; " de " &amp; numIter &amp; " iteraciones" &amp; vbCrLf &amp; _</t>
  </si>
  <si>
    <t xml:space="preserve">                         "Los valores originales se restaurarán.", _</t>
  </si>
  <si>
    <t xml:space="preserve">                         vbYesNo + vbQuestion, "Cancelar") = vbYes Then</t>
  </si>
  <si>
    <t xml:space="preserve">        ' Variar variables</t>
  </si>
  <si>
    <t xml:space="preserve">            ' Aplicar límites</t>
  </si>
  <si>
    <t xml:space="preserve">            ' Cambiar valor</t>
  </si>
  <si>
    <t xml:space="preserve">        ' Recalcular</t>
  </si>
  <si>
    <t xml:space="preserve">        ' Capturar resultados</t>
  </si>
  <si>
    <t xml:space="preserve">    GoTo RestaurarValores</t>
  </si>
  <si>
    <t>RestaurarYSalir:</t>
  </si>
  <si>
    <t xml:space="preserve">    ' Si hay error, marcar y restaurar</t>
  </si>
  <si>
    <t xml:space="preserve">    errorOcurrido = True</t>
  </si>
  <si>
    <t xml:space="preserve">    MsgBox "Error durante simulación: " &amp; Err.Description &amp; vbCrLf &amp; _</t>
  </si>
  <si>
    <t xml:space="preserve">           "Se restaurarán los valores originales.", vbExclamation</t>
  </si>
  <si>
    <t>RestaurarValores:</t>
  </si>
  <si>
    <t xml:space="preserve">    ' SIEMPRE RESTAURAR VALORES (incluso si hay error)</t>
  </si>
  <si>
    <t xml:space="preserve">    Application.StatusBar = "Restaurando valores originales..."</t>
  </si>
  <si>
    <t xml:space="preserve">        On Error Resume Next  ' Ignorar errores durante restauración</t>
  </si>
  <si>
    <t xml:space="preserve">            ws.Cells(Variables(j, 1), 3).Value = ValoresOriginales(j)</t>
  </si>
  <si>
    <t xml:space="preserve">        ' Forzar recálculo</t>
  </si>
  <si>
    <t xml:space="preserve">        ' Verificar restauración</t>
  </si>
  <si>
    <t xml:space="preserve">        Dim valorActual As Double</t>
  </si>
  <si>
    <t xml:space="preserve">        Dim valorEsperado As Double</t>
  </si>
  <si>
    <t xml:space="preserve">        Dim restauracionCorrecta As Boolean</t>
  </si>
  <si>
    <t xml:space="preserve">        restauracionCorrecta = True</t>
  </si>
  <si>
    <t xml:space="preserve">            valorActual = ws.Cells(Variables(j, 1), 3).Value</t>
  </si>
  <si>
    <t xml:space="preserve">            valorEsperado = ValoresOriginales(j)</t>
  </si>
  <si>
    <t xml:space="preserve">            If Abs(valorActual - valorEsperado) &gt; 0.0001 Then</t>
  </si>
  <si>
    <t xml:space="preserve">                restauracionCorrecta = False</t>
  </si>
  <si>
    <t xml:space="preserve">                Exit For</t>
  </si>
  <si>
    <t xml:space="preserve">        If Not restauracionCorrecta Then</t>
  </si>
  <si>
    <t xml:space="preserve">            MsgBox "ADVERTENCIA: Algunos valores podrían no haberse restaurado correctamente." &amp; vbCrLf &amp; _</t>
  </si>
  <si>
    <t xml:space="preserve">                   "Verifique la hoja de variables.", vbExclamation</t>
  </si>
  <si>
    <t xml:space="preserve">        On Error GoTo 0</t>
  </si>
  <si>
    <t xml:space="preserve">    ' Escribir resultados solo si no hubo error grave</t>
  </si>
  <si>
    <t xml:space="preserve">    If Not errorOcurrido And numIter &gt; 0 Then</t>
  </si>
  <si>
    <t xml:space="preserve">        Call EscribirResultadosConVerificacion(wsMC, ws, numIter)</t>
  </si>
  <si>
    <t xml:space="preserve">    ' Restaurar configuración de Excel</t>
  </si>
  <si>
    <t xml:space="preserve">    If NumVariables &gt; 0 And Not errorOcurrido Then</t>
  </si>
  <si>
    <t xml:space="preserve">            mensaje = "Análisis cancelado. Valores restaurados." &amp; vbCrLf &amp; vbCrLf</t>
  </si>
  <si>
    <t xml:space="preserve">            mensaje = "Análisis completado. Valores restaurados." &amp; vbCrLf &amp; vbCrLf</t>
  </si>
  <si>
    <t xml:space="preserve">                 "• Iteraciones: " &amp; Format(numIter, "#,##0") &amp; vbCrLf &amp; _</t>
  </si>
  <si>
    <t xml:space="preserve">                 "• Variables: " &amp; NumVariables &amp; vbCrLf &amp; _</t>
  </si>
  <si>
    <t xml:space="preserve">        MsgBox mensaje, vbInformation, "Monte Carlo"</t>
  </si>
  <si>
    <t>' ESCRIBIR RESULTADOS CON VERIFICACIÓN</t>
  </si>
  <si>
    <t>Private Sub EscribirResultadosConVerificacion(wsMC As Worksheet, wsModelo As Worksheet, numIter As Long)</t>
  </si>
  <si>
    <t xml:space="preserve">    On Error GoTo ErrorEscritura</t>
  </si>
  <si>
    <t xml:space="preserve">        ' Limpiar área</t>
  </si>
  <si>
    <t xml:space="preserve">        ' Encabezados datos brutos</t>
  </si>
  <si>
    <t xml:space="preserve">        .Range("M1").Value = "Datos Monte Carlo"</t>
  </si>
  <si>
    <t xml:space="preserve">        ' Escribir datos</t>
  </si>
  <si>
    <t xml:space="preserve">            .Cells(filaInicio + i - 1, 13).Value = ResultadosMonteCarlo(i, 1)</t>
  </si>
  <si>
    <t xml:space="preserve">            .Cells(filaInicio + i - 1, 14).Value = ResultadosMonteCarlo(i, 2)</t>
  </si>
  <si>
    <t xml:space="preserve">            .Cells(filaInicio + i - 1, 15).Value = ResultadosMonteCarlo(i, 3)</t>
  </si>
  <si>
    <t xml:space="preserve">            .Cells(filaInicio + i - 1, 16).Value = ResultadosMonteCarlo(i, 4)</t>
  </si>
  <si>
    <t xml:space="preserve">        ' Encabezados principales</t>
  </si>
  <si>
    <t xml:space="preserve">        .Range("A1").Value = "ANÁLISIS MONTE CARLO"</t>
  </si>
  <si>
    <t xml:space="preserve">        ' Tabla</t>
  </si>
  <si>
    <t xml:space="preserve">        .Range("A5").Value = "ESTADÍSTICAS"</t>
  </si>
  <si>
    <t xml:space="preserve">        .Range("A6:K6").Value = Array("Escenario", "Base", "Media", "Std Dev", _</t>
  </si>
  <si>
    <t xml:space="preserve">                                      "Min", "Max", "P5", "P25", "P50", "P75", "P95")</t>
  </si>
  <si>
    <t xml:space="preserve">        .Range("A7:A10").Value = Application.Transpose(Array("Declive", "Renovación", "Fragmentación", "Singularidad"))</t>
  </si>
  <si>
    <t xml:space="preserve">        ' Fórmulas estadísticas</t>
  </si>
  <si>
    <t xml:space="preserve">            .Cells(6 + j, 7).Formula = "=PERCENTILE.INC(" &amp; rango &amp; ",0.05)"</t>
  </si>
  <si>
    <t xml:space="preserve">            .Cells(6 + j, 8).Formula = "=PERCENTILE.INC(" &amp; rango &amp; ",0.25)"</t>
  </si>
  <si>
    <t xml:space="preserve">            .Cells(6 + j, 9).Formula = "=PERCENTILE.INC(" &amp; rango &amp; ",0.50)"</t>
  </si>
  <si>
    <t xml:space="preserve">            .Cells(6 + j, 10).Formula = "=PERCENTILE.INC(" &amp; rango &amp; ",0.75)"</t>
  </si>
  <si>
    <t xml:space="preserve">            .Cells(6 + j, 11).Formula = "=PERCENTILE.INC(" &amp; rango &amp; ",0.95)"</t>
  </si>
  <si>
    <t xml:space="preserve">        ' Variables</t>
  </si>
  <si>
    <t xml:space="preserve">        .Range("A13").Value = "VARIABLES ANALIZADAS"</t>
  </si>
  <si>
    <t xml:space="preserve">        .Range("A14:C14").Value = Array("Variable", "Criticidad", "Valor Original")</t>
  </si>
  <si>
    <t xml:space="preserve">        For i = 1 To IIf(NumVariables &gt; 30, 30, NumVariables)</t>
  </si>
  <si>
    <t xml:space="preserve">            .Cells(14 + i, 1).Value = Variables(i, 2) &amp; ": " &amp; Variables(i, 3)</t>
  </si>
  <si>
    <t xml:space="preserve">            .Cells(14 + i, 2).Value = Variables(i, 6)</t>
  </si>
  <si>
    <t xml:space="preserve">            .Cells(14 + i, 3).Value = ValoresOriginales(i)</t>
  </si>
  <si>
    <t>ErrorEscritura:</t>
  </si>
  <si>
    <t xml:space="preserve">    MsgBox "Error al escribir resultados: " &amp; Err.Description, vbExclamation</t>
  </si>
  <si>
    <t>' IDENTIFICAR VARIABLES</t>
  </si>
  <si>
    <t>' GUARDAR VALORES ORIGINALES</t>
  </si>
  <si>
    <t xml:space="preserve">        Debug.Print "Guardado: " &amp; Variables(i, 3) &amp; " = " &amp; ValoresOriginales(i)  ' Debug</t>
  </si>
  <si>
    <t xml:space="preserve">    msg = "DIAGNÓSTICO" &amp; vbCrLf &amp; vbCrLf</t>
  </si>
  <si>
    <t xml:space="preserve">    msg = msg &amp; "Variables: " &amp; NumVariables &amp; " de 22" &amp; vbCrLf</t>
  </si>
  <si>
    <t xml:space="preserve">    msg = msg &amp; "K65: " &amp; Format(ws.Range("K65").Value, "0.00%") &amp; vbCrLf</t>
  </si>
  <si>
    <t xml:space="preserve">    msg = msg &amp; "K66: " &amp; Format(ws.Range("K66").Value, "0.00%") &amp; vbCrLf</t>
  </si>
  <si>
    <t xml:space="preserve">    msg = msg &amp; "K67: " &amp; Format(ws.Range("K67").Value, "0.00%") &amp; vbCrLf</t>
  </si>
  <si>
    <t xml:space="preserve">    msg = msg &amp; "K68: " &amp; Format(ws.Range("K68").Value, "0.00%") &amp; vbCrLf &amp; vbCrLf</t>
  </si>
  <si>
    <t xml:space="preserve">    msg = msg &amp; "FUNCIONES:" &amp; vbCrLf</t>
  </si>
  <si>
    <t xml:space="preserve">    msg = msg &amp; "• VerificarValores() - Ver valores actuales" &amp; vbCrLf</t>
  </si>
  <si>
    <t xml:space="preserve">    msg = msg &amp; "• MonteCarloRapido() - 100 iteraciones" &amp; vbCrLf</t>
  </si>
  <si>
    <t xml:space="preserve">    msg = msg &amp; "• ActualizarMonteCarlo() - Personalizable"</t>
  </si>
  <si>
    <t>Datos Monte Carlo</t>
  </si>
  <si>
    <t>ANÁLISIS MONTE CARLO</t>
  </si>
  <si>
    <t>ESTADÍSTICAS</t>
  </si>
  <si>
    <t>VARIABLES ANALIZADAS</t>
  </si>
  <si>
    <t>Valor Original</t>
  </si>
  <si>
    <t xml:space="preserve">    For fila = 2 To 50</t>
  </si>
  <si>
    <t>' CREAR TODOS LOS GRÁFICOS DE DISTRIBUCIÓN</t>
  </si>
  <si>
    <t>Sub CrearGraficosDistribucion()</t>
  </si>
  <si>
    <t xml:space="preserve">    Dim numFilas As Long</t>
  </si>
  <si>
    <t xml:space="preserve">    Set ws = ThisWorkbook.Sheets("Monte_Carlo_Analysis")</t>
  </si>
  <si>
    <t xml:space="preserve">        Exit Sub</t>
  </si>
  <si>
    <t xml:space="preserve">    Call LimpiarGraficosAnteriores(ws)</t>
  </si>
  <si>
    <t>' LIMPIAR GRÁFICOS ANTERIORES</t>
  </si>
  <si>
    <t>Private Sub LimpiarGraficosAnteriores(ws As Worksheet)</t>
  </si>
  <si>
    <t xml:space="preserve">    Dim shp As Shape</t>
  </si>
  <si>
    <t xml:space="preserve">    For Each shp In ws.Shapes</t>
  </si>
  <si>
    <t xml:space="preserve">        If shp.Type = msoChart Then</t>
  </si>
  <si>
    <t xml:space="preserve">    Next shp</t>
  </si>
  <si>
    <t>' CREAR HISTOGRAMA INDIVIDUAL</t>
  </si>
  <si>
    <t xml:space="preserve">    Dim cht As Chart</t>
  </si>
  <si>
    <t xml:space="preserve">    ' Título</t>
  </si>
  <si>
    <t xml:space="preserve">    cht.HasTitle = True</t>
  </si>
  <si>
    <t xml:space="preserve">    cht.ChartTitle.Font.Bold = True</t>
  </si>
  <si>
    <t xml:space="preserve">    With cht.Axes(xlCategory)</t>
  </si>
  <si>
    <t xml:space="preserve">        .HasTitle = True</t>
  </si>
  <si>
    <t xml:space="preserve">        .AxisTitle.Text = "Probabilidad"</t>
  </si>
  <si>
    <t xml:space="preserve">        .TickLabels.NumberFormat = "0.0%"</t>
  </si>
  <si>
    <t xml:space="preserve">    With cht.Axes(xlValue)</t>
  </si>
  <si>
    <t xml:space="preserve">        .AxisTitle.Text = "Frecuencia"</t>
  </si>
  <si>
    <t xml:space="preserve">    End Select</t>
  </si>
  <si>
    <t xml:space="preserve">        On Error Resume Next</t>
  </si>
  <si>
    <t xml:space="preserve">    On Error Resume Next</t>
  </si>
  <si>
    <t xml:space="preserve">    On Error GoTo 0</t>
  </si>
  <si>
    <t xml:space="preserve">    ' Limpiar área</t>
  </si>
  <si>
    <t xml:space="preserve">    Next j</t>
  </si>
  <si>
    <t>Sub ActualizarGraficos()</t>
  </si>
  <si>
    <t xml:space="preserve">    Dim cht As ChartObject</t>
  </si>
  <si>
    <t xml:space="preserve">    For Each cht In ws.ChartObjects</t>
  </si>
  <si>
    <t xml:space="preserve">        cht.Chart.Refresh</t>
  </si>
  <si>
    <t xml:space="preserve">    Next cht</t>
  </si>
  <si>
    <t xml:space="preserve">        contador = contador + 1</t>
  </si>
  <si>
    <t xml:space="preserve">    ' Limpiar gráficos anteriores</t>
  </si>
  <si>
    <t xml:space="preserve">        ws.Columns("M:P").Hidden = True</t>
  </si>
  <si>
    <t xml:space="preserve">    Dim frecuencias() As Long</t>
  </si>
  <si>
    <t xml:space="preserve">    Dim numIntervalos As Integer</t>
  </si>
  <si>
    <t xml:space="preserve">    Dim minVal As Double, maxVal As Double</t>
  </si>
  <si>
    <t xml:space="preserve">    Dim anchoIntervalo As Double</t>
  </si>
  <si>
    <t xml:space="preserve">    numIntervalos = 20</t>
  </si>
  <si>
    <t xml:space="preserve">    anchoIntervalo = (maxVal - minVal) / numIntervalos</t>
  </si>
  <si>
    <t xml:space="preserve">        ' Centro del intervalo</t>
  </si>
  <si>
    <t xml:space="preserve">        End Select</t>
  </si>
  <si>
    <t xml:space="preserve">    If ws.Columns("M:P").Hidden Then</t>
  </si>
  <si>
    <t>Intervalo</t>
  </si>
  <si>
    <t>Centro</t>
  </si>
  <si>
    <t>Frecuencia</t>
  </si>
  <si>
    <t>Percentil</t>
  </si>
  <si>
    <t xml:space="preserve">    Dim chtObj As ChartObject</t>
  </si>
  <si>
    <t xml:space="preserve">    Set chtObj = ws.ChartObjects.Add( _</t>
  </si>
  <si>
    <t xml:space="preserve">        Left:=ws.Cells(filaPos, colPos).Left, _</t>
  </si>
  <si>
    <t xml:space="preserve">        Top:=ws.Cells(filaPos, colPos).Top, _</t>
  </si>
  <si>
    <t xml:space="preserve">    Set cht = chtObj.Chart</t>
  </si>
  <si>
    <t xml:space="preserve">    cht.ChartTitle.Font.Size = 11</t>
  </si>
  <si>
    <t xml:space="preserve">    ' Formato</t>
  </si>
  <si>
    <t xml:space="preserve">    ' Detectar número de filas</t>
  </si>
  <si>
    <t xml:space="preserve">    ' Crear gráfico</t>
  </si>
  <si>
    <t xml:space="preserve">    ws.Columns("M:P").Hidden = False</t>
  </si>
  <si>
    <t xml:space="preserve">    ' Detectar número de filas con datos</t>
  </si>
  <si>
    <t xml:space="preserve">    numFilas = ws.Cells(ws.Rows.Count, 13).End(xlUp).Row</t>
  </si>
  <si>
    <t xml:space="preserve">    If numFilas &lt; 3 Then</t>
  </si>
  <si>
    <t xml:space="preserve">        Width:=280, _</t>
  </si>
  <si>
    <t xml:space="preserve">        Height:=180)</t>
  </si>
  <si>
    <t xml:space="preserve">    cht.ChartType = xlColumnClustered</t>
  </si>
  <si>
    <t xml:space="preserve">    ' Sin leyenda</t>
  </si>
  <si>
    <t xml:space="preserve">    cht.HasLegend = False</t>
  </si>
  <si>
    <t xml:space="preserve">        .AxisTitle.Font.Size = 9</t>
  </si>
  <si>
    <t xml:space="preserve">    ' Encontrar min y max</t>
  </si>
  <si>
    <t xml:space="preserve">    For i = 3 To numFilas</t>
  </si>
  <si>
    <t xml:space="preserve">            If shp.Top &gt;= ws.Range("A70").Top And shp.Top &lt; ws.Range("A130").Top Then</t>
  </si>
  <si>
    <t xml:space="preserve">                shp.Delete</t>
  </si>
  <si>
    <t xml:space="preserve">    For i = 13 To 16</t>
  </si>
  <si>
    <t xml:space="preserve">        Select Case i</t>
  </si>
  <si>
    <t xml:space="preserve">    ' Crear los 4 gráficos</t>
  </si>
  <si>
    <t xml:space="preserve">    Application.StatusBar = "Creando gráfico Declive..."</t>
  </si>
  <si>
    <t xml:space="preserve">    Application.StatusBar = "Creando gráfico Renovación..."</t>
  </si>
  <si>
    <t xml:space="preserve">    Application.StatusBar = "Creando gráfico Fragmentación..."</t>
  </si>
  <si>
    <t xml:space="preserve">    Application.StatusBar = "Creando gráfico Singularidad..."</t>
  </si>
  <si>
    <t xml:space="preserve">    Dim colResultados As Integer</t>
  </si>
  <si>
    <t xml:space="preserve">    Select Case columna</t>
  </si>
  <si>
    <t xml:space="preserve">        Case 13: colResultados = 27  ' AA para Declive</t>
  </si>
  <si>
    <t xml:space="preserve">        Case 14: colResultados = 29  ' AC para Renovación</t>
  </si>
  <si>
    <t xml:space="preserve">        Case 15: colResultados = 31  ' AE para Fragmentación</t>
  </si>
  <si>
    <t xml:space="preserve">        Case 16: colResultados = 33  ' AG para Singularidad</t>
  </si>
  <si>
    <t xml:space="preserve">    ' Preparar datos</t>
  </si>
  <si>
    <t xml:space="preserve">    ' Tipo de gráfico: Columnas</t>
  </si>
  <si>
    <t xml:space="preserve">    ' Establecer datos (solo la columna de frecuencias)</t>
  </si>
  <si>
    <t xml:space="preserve">    cht.SetSourceData Source:=ws.Range(ws.Cells(3, colResultados + 1), ws.Cells(22, colResultados + 1))</t>
  </si>
  <si>
    <t xml:space="preserve">    cht.SeriesCollection(1).XValues = ws.Range(ws.Cells(3, colResultados), ws.Cells(22, colResultados))</t>
  </si>
  <si>
    <t xml:space="preserve">    cht.ChartTitle.Text = "Distribución - " &amp; nombre</t>
  </si>
  <si>
    <t xml:space="preserve">        .TickLabels.Font.Size = 8</t>
  </si>
  <si>
    <t xml:space="preserve">    cht.SeriesCollection(1).Format.Fill.ForeColor.RGB = colorRGB</t>
  </si>
  <si>
    <t xml:space="preserve">    cht.SeriesCollection(1).Format.Fill.Transparency = 0</t>
  </si>
  <si>
    <t xml:space="preserve">    cht.SeriesCollection(1).Format.Line.Visible = msoFalse</t>
  </si>
  <si>
    <t xml:space="preserve">    cht.SeriesCollection(1).GapWidth = 0</t>
  </si>
  <si>
    <t xml:space="preserve">    cht.Axes(xlValue).HasMajorGridlines = True</t>
  </si>
  <si>
    <t xml:space="preserve">    cht.Axes(xlValue).MajorGridlines.Format.Line.ForeColor.RGB = RGB(220, 220, 220)</t>
  </si>
  <si>
    <t xml:space="preserve">    cht.Axes(xlValue).MajorGridlines.Format.Line.Weight = 0.5</t>
  </si>
  <si>
    <t xml:space="preserve">    Dim valor As Double</t>
  </si>
  <si>
    <t xml:space="preserve">    Dim intervalo As Integer</t>
  </si>
  <si>
    <t xml:space="preserve">    ReDim frecuencias(0 To numIntervalos - 1)</t>
  </si>
  <si>
    <t xml:space="preserve">    ws.Range(ws.Cells(1, colResultados), ws.Cells(30, colResultados + 1)).Clear</t>
  </si>
  <si>
    <t xml:space="preserve">    minVal = 999</t>
  </si>
  <si>
    <t xml:space="preserve">    maxVal = -999</t>
  </si>
  <si>
    <t xml:space="preserve">        If IsNumeric(ws.Cells(i, columna).Value) Then</t>
  </si>
  <si>
    <t xml:space="preserve">            valor = ws.Cells(i, columna).Value</t>
  </si>
  <si>
    <t xml:space="preserve">                If valor &lt; minVal Then minVal = valor</t>
  </si>
  <si>
    <t xml:space="preserve">                If valor &gt; maxVal Then maxVal = valor</t>
  </si>
  <si>
    <t xml:space="preserve">    If minVal &gt;= maxVal Or minVal = 999 Then</t>
  </si>
  <si>
    <t xml:space="preserve">    ' Calcular ancho de intervalo</t>
  </si>
  <si>
    <t xml:space="preserve">    ' Contar frecuencias</t>
  </si>
  <si>
    <t xml:space="preserve">            If valor &gt;= minVal And valor &lt;= maxVal Then</t>
  </si>
  <si>
    <t xml:space="preserve">                intervalo = Int((valor - minVal) / anchoIntervalo)</t>
  </si>
  <si>
    <t xml:space="preserve">                If intervalo &gt;= numIntervalos Then intervalo = numIntervalos - 1</t>
  </si>
  <si>
    <t xml:space="preserve">                If intervalo &lt; 0 Then intervalo = 0</t>
  </si>
  <si>
    <t xml:space="preserve">                frecuencias(intervalo) = frecuencias(intervalo) + 1</t>
  </si>
  <si>
    <t xml:space="preserve">    ' Escribir encabezados</t>
  </si>
  <si>
    <t xml:space="preserve">    ws.Cells(1, colResultados).Value = "Centro"</t>
  </si>
  <si>
    <t xml:space="preserve">    ws.Cells(1, colResultados + 1).Value = "Frecuencia"</t>
  </si>
  <si>
    <t xml:space="preserve">    ' Escribir datos</t>
  </si>
  <si>
    <t xml:space="preserve">    For j = 0 To numIntervalos - 1</t>
  </si>
  <si>
    <t xml:space="preserve">        ws.Cells(3 + j, colResultados).Value = minVal + (j + 0.5) * anchoIntervalo</t>
  </si>
  <si>
    <t xml:space="preserve">        ' Frecuencia</t>
  </si>
  <si>
    <t xml:space="preserve">        ws.Cells(3 + j, colResultados + 1).Value = frecuencias(j)</t>
  </si>
  <si>
    <t xml:space="preserve">    ws.Range(ws.Cells(3, colResultados), ws.Cells(22, colResultados)).NumberFormat = "0.0%"</t>
  </si>
  <si>
    <t xml:space="preserve">                On Error Resume Next</t>
  </si>
  <si>
    <t xml:space="preserve">                On Error GoTo 0</t>
  </si>
  <si>
    <t>Sub VerificarEstadisticas()</t>
  </si>
  <si>
    <t xml:space="preserve">    Dim media As Double, minimo As Double, maximo As Double</t>
  </si>
  <si>
    <t xml:space="preserve">        ' Calcular estadísticas</t>
  </si>
  <si>
    <t xml:space="preserve">        media = Application.WorksheetFunction.Average(ws.Range(ws.Cells(3, i), ws.Cells(numFilas, i)))</t>
  </si>
  <si>
    <t xml:space="preserve">        minimo = Application.WorksheetFunction.Min(ws.Range(ws.Cells(3, i), ws.Cells(numFilas, i)))</t>
  </si>
  <si>
    <t xml:space="preserve">        maximo = Application.WorksheetFunction.Max(ws.Range(ws.Cells(3, i), ws.Cells(numFilas, i)))</t>
  </si>
  <si>
    <t xml:space="preserve">        msg = msg &amp; "  Media: " &amp; Format(media, "0.00%") &amp; vbCrLf</t>
  </si>
  <si>
    <t>' MACRO PARA GRÁFICOS MONTE CARLO - VERSIÓN FINAL</t>
  </si>
  <si>
    <t>' Crea histogramas de distribución con formato correcto</t>
  </si>
  <si>
    <t xml:space="preserve">    Dim columnaEstadoInicial As Boolean</t>
  </si>
  <si>
    <t xml:space="preserve">    ' Recordar si las columnas estaban ocultas</t>
  </si>
  <si>
    <t xml:space="preserve">    columnaEstadoInicial = ws.Columns("M:P").Hidden</t>
  </si>
  <si>
    <t xml:space="preserve">    ' Hacer visibles las columnas M:P para procesar</t>
  </si>
  <si>
    <t xml:space="preserve">        MsgBox "No hay datos de Monte Carlo para graficar", vbExclamation</t>
  </si>
  <si>
    <t xml:space="preserve">    Application.StatusBar = "Preparando gráficos de distribución..."</t>
  </si>
  <si>
    <t xml:space="preserve">    Call CrearHistograma(ws, 13, "Declive", numFilas, 70, 1, RGB(200, 80, 80))</t>
  </si>
  <si>
    <t xml:space="preserve">    Call CrearHistograma(ws, 14, "Renovación", numFilas, 70, 6, RGB(80, 200, 80))</t>
  </si>
  <si>
    <t xml:space="preserve">    Call CrearHistograma(ws, 15, "Fragmentación", numFilas, 95, 1, RGB(255, 150, 50))</t>
  </si>
  <si>
    <t xml:space="preserve">    Call CrearHistograma(ws, 16, "Singularidad", numFilas, 95, 6, RGB(80, 80, 200))</t>
  </si>
  <si>
    <t xml:space="preserve">    ' Preguntar si ocultar las columnas M:P</t>
  </si>
  <si>
    <t xml:space="preserve">    If MsgBox("¿Desea ocultar las columnas de datos (M:P)?", _</t>
  </si>
  <si>
    <t xml:space="preserve">              vbYesNo + vbQuestion, "Ocultar Datos") = vbYes Then</t>
  </si>
  <si>
    <t xml:space="preserve">    MsgBox "Gráficos de distribución creados exitosamente" &amp; vbCrLf &amp; vbCrLf &amp; _</t>
  </si>
  <si>
    <t xml:space="preserve">           "• 4 Histogramas en filas 70 y 95" &amp; vbCrLf &amp; _</t>
  </si>
  <si>
    <t xml:space="preserve">           "• Basado en " &amp; Format(numFilas - 2, "#,##0") &amp; " iteraciones" &amp; vbCrLf &amp; _</t>
  </si>
  <si>
    <t xml:space="preserve">           "• Datos preparados en columnas AA-AH", _</t>
  </si>
  <si>
    <t xml:space="preserve">           vbInformation, "Proceso Completado"</t>
  </si>
  <si>
    <t xml:space="preserve">    MsgBox "Error al crear gráficos: " &amp; Err.Description, vbCritical, "Error"</t>
  </si>
  <si>
    <t>Private Sub CrearHistograma(ws As Worksheet, columna As Integer, _</t>
  </si>
  <si>
    <t xml:space="preserve">                           nombre As String, numFilas As Long, _</t>
  </si>
  <si>
    <t xml:space="preserve">                           filaPos As Long, colPos As Long, _</t>
  </si>
  <si>
    <t xml:space="preserve">                           colorRGB As Long)</t>
  </si>
  <si>
    <t xml:space="preserve">    ' Columnas donde guardar los resultados</t>
  </si>
  <si>
    <t xml:space="preserve">    Call PrepararDatos(ws, columna, colResultados, numFilas)</t>
  </si>
  <si>
    <t xml:space="preserve">    ' Establecer etiquetas del eje X</t>
  </si>
  <si>
    <t xml:space="preserve">    ' Configurar eje X (Probabilidades)</t>
  </si>
  <si>
    <t xml:space="preserve">        .TickLabelSpacing = 4  ' Mostrar cada 4 etiquetas</t>
  </si>
  <si>
    <t xml:space="preserve">    ' Configurar eje Y (Frecuencias)</t>
  </si>
  <si>
    <t xml:space="preserve">        .TickLabels.NumberFormat = "#,##0"  ' Números enteros</t>
  </si>
  <si>
    <t xml:space="preserve">    ' Aplicar color</t>
  </si>
  <si>
    <t xml:space="preserve">    ' Sin espacio entre barras</t>
  </si>
  <si>
    <t xml:space="preserve">    ' Líneas de cuadrícula suaves</t>
  </si>
  <si>
    <t>' PREPARAR DATOS PARA HISTOGRAMA</t>
  </si>
  <si>
    <t>Private Sub PrepararDatos(ws As Worksheet, columna As Integer, _</t>
  </si>
  <si>
    <t xml:space="preserve">                         colResultados As Integer, numFilas As Long)</t>
  </si>
  <si>
    <t xml:space="preserve">            If valor &gt; 0 And valor &lt; 1 Then</t>
  </si>
  <si>
    <t xml:space="preserve">    ' Verificar datos válidos</t>
  </si>
  <si>
    <t xml:space="preserve">    ws.Cells(2, colResultados).Value = "Rango: " &amp; Format(minVal, "0.0%") &amp; "-" &amp; Format(maxVal, "0.0%")</t>
  </si>
  <si>
    <t>' VERIFICAR ESTADÍSTICAS DE DATOS</t>
  </si>
  <si>
    <t xml:space="preserve">        MsgBox "No hay datos de Monte Carlo en columnas M:P", vbExclamation</t>
  </si>
  <si>
    <t xml:space="preserve">    msg = "VERIFICACIÓN DE DATOS MONTE CARLO:" &amp; vbCrLf &amp; vbCrLf</t>
  </si>
  <si>
    <t xml:space="preserve">            Case 13: msg = msg &amp; "DECLIVE (Columna M):" &amp; vbCrLf</t>
  </si>
  <si>
    <t xml:space="preserve">            Case 14: msg = msg &amp; vbCrLf &amp; "RENOVACIÓN (Columna N):" &amp; vbCrLf</t>
  </si>
  <si>
    <t xml:space="preserve">            Case 15: msg = msg &amp; vbCrLf &amp; "FRAGMENTACIÓN (Columna O):" &amp; vbCrLf</t>
  </si>
  <si>
    <t xml:space="preserve">            Case 16: msg = msg &amp; vbCrLf &amp; "SINGULARIDAD (Columna P):" &amp; vbCrLf</t>
  </si>
  <si>
    <t xml:space="preserve">        msg = msg &amp; "  Mín: " &amp; Format(minimo, "0.00%") &amp; vbCrLf</t>
  </si>
  <si>
    <t xml:space="preserve">        msg = msg &amp; "  Máx: " &amp; Format(maximo, "0.00%") &amp; vbCrLf</t>
  </si>
  <si>
    <t xml:space="preserve">    msg = msg &amp; vbCrLf &amp; "Total de iteraciones: " &amp; Format(numFilas - 2, "#,##0")</t>
  </si>
  <si>
    <t xml:space="preserve">    MsgBox msg, vbInformation, "Estadísticas de Datos"</t>
  </si>
  <si>
    <t>' ACTUALIZAR SOLO GRÁFICOS EXISTENTES</t>
  </si>
  <si>
    <t xml:space="preserve">    If contador &gt; 0 Then</t>
  </si>
  <si>
    <t xml:space="preserve">        MsgBox "Se actualizaron " &amp; contador &amp; " gráficos", vbInformation</t>
  </si>
  <si>
    <t xml:space="preserve">    Else</t>
  </si>
  <si>
    <t xml:space="preserve">        MsgBox "No hay gráficos para actualizar", vbExclamation</t>
  </si>
  <si>
    <t>' OCULTAR/MOSTRAR COLUMNAS DE DATOS</t>
  </si>
  <si>
    <t>Sub AlternarColumnasMP()</t>
  </si>
  <si>
    <t xml:space="preserve">    ws.Columns("M:P").Hidden = Not ws.Columns("M:P").Hidden</t>
  </si>
  <si>
    <t xml:space="preserve">        MsgBox "Columnas M:P ocultadas", vbInformation</t>
  </si>
  <si>
    <t xml:space="preserve">        MsgBox "Columnas M:P visibles", vbInformation</t>
  </si>
  <si>
    <t>Fecha: 2025-09-18 19:19</t>
  </si>
  <si>
    <t>Simulaciones: 10,000</t>
  </si>
  <si>
    <t>Variables: 22</t>
  </si>
  <si>
    <t>Global: AI_Talent_Concentration</t>
  </si>
  <si>
    <t>Rango: 25.1%-35.7%</t>
  </si>
  <si>
    <t>Rango: 15.0%-22.0%</t>
  </si>
  <si>
    <t>Rango: 20.0%-31.3%</t>
  </si>
  <si>
    <t>Rango: 22.6%-30.0%</t>
  </si>
  <si>
    <t>Máxima variación: ±2% en cualquier escenario</t>
  </si>
  <si>
    <t>Orden se mantiene: Declive ≈ Fragmentación ≈ Singularidad &gt; Renovación</t>
  </si>
  <si>
    <t>ANÁLISIS DE SENSIBILIDAD (Método Montecarlo Alt F(8)</t>
  </si>
  <si>
    <t>CÓDIGO VBA PARA ANALISIS MONTECARLO</t>
  </si>
  <si>
    <t>PRESENTACIÓN</t>
  </si>
  <si>
    <t>Escenario 1: Declive Hegemónico Acelerado</t>
  </si>
  <si>
    <t xml:space="preserve">Transición del orden unipolar estadounidense hacia un sistema multipolar con predominio chino. Estados Unidos experimenta un declive relativo pero ordenado, manteniendo influencia regional mientras China consolida su posición como primera economía mundial y líder tecnológico en sectores clave. </t>
  </si>
  <si>
    <t>Escenario 2: Renovación Occidental Catalizada</t>
  </si>
  <si>
    <t xml:space="preserve">Revitalización del liderazgo occidental mediante reformas institucionales profundas, innovación tecnológica acelerada e integración transatlántica reforzada. Estados Unidos y Europa superan sus crisis internas y emergen con un modelo actualizado de gobernanza democrática y capitalismo sostenible. </t>
  </si>
  <si>
    <t>Escenario 3: Caos Multipolar</t>
  </si>
  <si>
    <t xml:space="preserve">Colapso del orden internacional en bloques regionales mutuamente hostiles. Ninguna potencia logra hegemonía global, resultando en un sistema internacional fracturado con múltiples conflictos regionales, ruptura de cadenas de suministro y retroceso de la globalización. </t>
  </si>
  <si>
    <t>Escenario 4: Transformación Tecnológica Radical</t>
  </si>
  <si>
    <t xml:space="preserve">Disrupción tecnológica radical que trasciende las categorías geopolíticas tradicionales. La inteligencia artificial general o avances convergentes en múltiples tecnologías transforman fundamentalmente la naturaleza del poder, la economía y la organización social. </t>
  </si>
  <si>
    <t>FACTORES DE CALCULO</t>
  </si>
  <si>
    <t>Factor 1: Precedente Histórico (Ponderación 25%)</t>
  </si>
  <si>
    <t>Examina la frecuencia con la cual patrones similares han ocurrido en transiciones hegemónicas previas. El análisis incorpora 16 transiciones imperiales documentadas, con condiciones estructurales comparables (democracias industrializadas, economías globalizadas…). De los 16 casos analizados por su resultado final único, 8 terminaron en declive hegemónico definitivo (50%), solo 2 lograron renovaciones sistémicas duraderas (12.5%), 5 resultaron en fragmentación (31.25%), y un caso mostró transformación tecnológica parcial (6.25%).</t>
  </si>
  <si>
    <t>Factor 2: Momentum Actual (Ponderación 30%)</t>
  </si>
  <si>
    <t>Evalúa la dirección y velocidad de las tendencias actuales mediante 49 indicadores cuantita-tivos tanto a nivel global como en cuatro regiones contempladas (USA, China, Europa, India) que capturan sus dinámicas únicas: ratios de deuda/PIB, inversiones en IA, gastos militares, flujos de capital, patentes tecnológicas, índices de polarización política. La trayectoria 2020-2024 se extrapola con ajustes por la aceleración o desaceleración observada. Este fac-tor favorece fuertemente los escenarios de declive y de fragmentación dado el momentum fiscal y geopolítico actual.</t>
  </si>
  <si>
    <t>Factor 3: Restricciones (Ponderación 20%)</t>
  </si>
  <si>
    <t>Analiza las limitaciones físicas y sistémicas que determinan qué escenarios son posibles dentro del horizonte temporal 2025-2040. Las pirámides poblacionales invertidas de Occidente, los niveles de deuda superiores al 100% del PIB, y los puntos de inflexión climática ya cruzados imponen límites duros a ciertos escenarios. La renovación occidental requeriría revertir tendencias demográficas de 40 años, improbable sin una migración masiva, políticamente inviable El peso del 20% refleja que, aunque las restricciones no determinen los resultados, sí delimitan su espacio de posibilidades. Variables clave incluyen pirámides po-blacionales, niveles de deuda agregada, puntos de inflexión climática, y capacidad de infra-estructura crítica.</t>
  </si>
  <si>
    <t>Factor 4: Agencia (Ponderación 15%)</t>
  </si>
  <si>
    <t>Evalúa si los actores necesarios poseen la capacidad organizacional, recursos, y voluntad política para ejecutar las transformaciones requeridas. La polarización política estadounidense, la fragmentación europea (27 vetos potenciales), y la centralización china (decisio-nes unipersonales de Xi) determinan qué escenarios pueden materializarse independientemente de su deseabilidad. El peso del 15% reconoce que la agencia humana puede catalizar cambios, pero raramente los determina unilateralmente en sistemas complejos.</t>
  </si>
  <si>
    <t>Factor 5: Tecnología (Ponderación 10%)</t>
  </si>
  <si>
    <t>Captura el potencial de cambios tecnológicos disruptivos. Aunque de baja probabilidad individual, su impacto transformacional justifica su inclusión explícita. Utiliza predicciones agregadas del mercado, análisis de tendencias de patentes, e inversiones de capital de riesgo como proxis.</t>
  </si>
  <si>
    <t>AJUSTE BAYESIANO Y ANALISIS MONTECARLO</t>
  </si>
  <si>
    <t>La hoja de Análisis Bayesiano permite ajustar las probabilidades base del modelo según la evidencia observada en una posible combinación de cinco variables con 21 supuestos posibles. La hoja del Análisis de Montercarlo realiza un análisis de la sensibilidad del modelo variando un 20% el valor de sus variables críticas.</t>
  </si>
  <si>
    <t>FÓRMULAS UTILIZADAS</t>
  </si>
  <si>
    <t xml:space="preserve">                     USA    China   Europa  India</t>
  </si>
  <si>
    <t>2. En el panel izquierdo, haga doble clic en 'Monte_Carlo_Analysis'</t>
  </si>
  <si>
    <t>Este EXCEL proporciona un marco estructurado para navegar la incertidumbre radical del presente. Las probabilidades calculadas representan estimaciones informadas basadas en patrones históricos, tendencias actuales y restricciones estructurales, pero la convergencia de factores sin precedentes introduce una incertidumbre epistémica irreducible. Los cuatro escenarios contemplados se ven afectados por cinco factores (F1 a F5) que se calculan en sus hojas correspondientes. Tanto las variables de entrada, como sus pesos y las probabilidades base calculadas por el modelo se encuentran en la hoja Modelo Variables V8. Si se deshabilitan las MACROS pueden volverse a instalar siguiendo las instrucciones de las hojas VBA o En la mayoría de los casos puedes desbloquear las macros modificando las propiedades del archivo de la siguiente manera:
(1) Abre el Explorador de archivos de Windows y ve a la carpeta donde guardaste el archivo.
(2) Haz clic derecho sobre el archivo y elige Propiedades en el menú contextual.
(3) En la parte inferior de la pestaña General, marca la casilla Desbloquear y selecciona Aceptar.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</si>
</sst>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
  </numFmts>
  <fonts count="26">
    <font>
      <sz val="11"/>
      <color theme="1"/>
      <name val="Calibri"/>
      <family val="2"/>
      <charset val="1"/>
    </font>
    <font>
      <b/>
      <sz val="10"/>
      <color rgb="FFFFFFFF"/>
      <name val="Calibri"/>
      <family val="2"/>
    </font>
    <font>
      <b/>
      <sz val="10"/>
      <color rgb="FFFFFFFF"/>
      <name val="Calibri"/>
      <family val="2"/>
      <charset val="1"/>
    </font>
    <font>
      <b/>
      <sz val="14"/>
      <name val="Calibri"/>
      <family val="2"/>
    </font>
    <font>
      <b/>
      <sz val="11"/>
      <color rgb="FF000000"/>
      <name val="Calibri"/>
      <family val="2"/>
    </font>
    <font>
      <b/>
      <sz val="11"/>
      <color rgb="FFFFFFFF"/>
      <name val="Calibri"/>
      <family val="2"/>
    </font>
    <font>
      <sz val="8"/>
      <name val="Courier New"/>
      <family val="3"/>
      <charset val="1"/>
    </font>
    <font>
      <u/>
      <sz val="11"/>
      <color theme="10"/>
      <name val="Calibri"/>
      <family val="2"/>
      <charset val="1"/>
    </font>
    <font>
      <sz val="8"/>
      <name val="Courier New"/>
      <family val="3"/>
    </font>
    <font>
      <b/>
      <sz val="13.5"/>
      <color theme="1"/>
      <name val="Calibri"/>
      <family val="2"/>
      <charset val="1"/>
    </font>
    <font>
      <sz val="10"/>
      <color rgb="FF383A42"/>
      <name val="Calibri"/>
      <family val="2"/>
      <charset val="1"/>
      <scheme val="minor"/>
    </font>
    <font>
      <b/>
      <sz val="12"/>
      <color rgb="FF383A42"/>
      <name val="Calibri"/>
      <family val="2"/>
      <scheme val="minor"/>
    </font>
    <font>
      <b/>
      <sz val="12"/>
      <color theme="1"/>
      <name val="Calibri"/>
      <family val="2"/>
    </font>
    <font>
      <b/>
      <sz val="11"/>
      <color theme="1"/>
      <name val="Calibri"/>
      <family val="2"/>
    </font>
    <font>
      <b/>
      <sz val="12"/>
      <color theme="1"/>
      <name val="Calibri"/>
      <family val="2"/>
      <charset val="1"/>
    </font>
    <font>
      <b/>
      <sz val="11"/>
      <color theme="1"/>
      <name val="Calibri"/>
      <family val="2"/>
      <charset val="1"/>
    </font>
    <font>
      <sz val="10"/>
      <color theme="1"/>
      <name val="Arial Unicode MS"/>
    </font>
    <font>
      <b/>
      <sz val="10"/>
      <color rgb="FFFFFFFF"/>
      <name val="Calibri"/>
      <family val="2"/>
    </font>
    <font>
      <sz val="11"/>
      <color theme="1"/>
      <name val="Calibri"/>
      <family val="2"/>
      <charset val="1"/>
    </font>
    <font>
      <b/>
      <sz val="14"/>
      <color rgb="FFFFFFFF"/>
      <name val="Calibri"/>
      <family val="2"/>
    </font>
    <font>
      <b/>
      <sz val="12"/>
      <name val="Calibri"/>
      <family val="2"/>
    </font>
    <font>
      <b/>
      <sz val="10"/>
      <name val="Calibri"/>
      <family val="2"/>
    </font>
    <font>
      <b/>
      <sz val="11"/>
      <name val="Calibri"/>
      <family val="2"/>
    </font>
    <font>
      <b/>
      <sz val="14"/>
      <name val="Calibri"/>
      <family val="2"/>
    </font>
    <font>
      <b/>
      <sz val="12"/>
      <color theme="0"/>
      <name val="Calibri"/>
      <family val="2"/>
    </font>
    <font>
      <b/>
      <sz val="11"/>
      <color rgb="FFFFFFFF"/>
      <name val="Calibri"/>
      <family val="2"/>
    </font>
  </fonts>
  <fills count="19">
    <fill>
      <patternFill patternType="none"/>
    </fill>
    <fill>
      <patternFill patternType="gray125"/>
    </fill>
    <fill>
      <patternFill patternType="solid">
        <fgColor rgb="FF2C3E50"/>
        <bgColor rgb="FF333399"/>
      </patternFill>
    </fill>
    <fill>
      <patternFill patternType="solid">
        <fgColor rgb="FF27AE60"/>
        <bgColor rgb="FF008080"/>
      </patternFill>
    </fill>
    <fill>
      <patternFill patternType="solid">
        <fgColor rgb="FFF39C12"/>
        <bgColor rgb="FFFFCC00"/>
      </patternFill>
    </fill>
    <fill>
      <patternFill patternType="solid">
        <fgColor rgb="FFECF0F1"/>
        <bgColor rgb="FFFFFFFF"/>
      </patternFill>
    </fill>
    <fill>
      <patternFill patternType="solid">
        <fgColor rgb="FFE74C3C"/>
        <bgColor rgb="FFFF8080"/>
      </patternFill>
    </fill>
    <fill>
      <patternFill patternType="solid">
        <fgColor rgb="FF3498DB"/>
        <bgColor rgb="FF33CCCC"/>
      </patternFill>
    </fill>
    <fill>
      <patternFill patternType="solid">
        <fgColor rgb="FF95A5A6"/>
        <bgColor rgb="FF9999FF"/>
      </patternFill>
    </fill>
    <fill>
      <patternFill patternType="solid">
        <fgColor theme="9" tint="0.59999389629810485"/>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theme="2" tint="-9.9978637043366805E-2"/>
        <bgColor indexed="64"/>
      </patternFill>
    </fill>
    <fill>
      <patternFill patternType="solid">
        <fgColor rgb="FF366092"/>
        <bgColor rgb="FF366092"/>
      </patternFill>
    </fill>
    <fill>
      <patternFill patternType="solid">
        <fgColor rgb="FFDCE6F1"/>
        <bgColor rgb="FFDCE6F1"/>
      </patternFill>
    </fill>
    <fill>
      <patternFill patternType="solid">
        <fgColor rgb="FFFFFFCC"/>
        <bgColor rgb="FFFFFFCC"/>
      </patternFill>
    </fill>
    <fill>
      <patternFill patternType="solid">
        <fgColor rgb="FF2C3E50"/>
        <bgColor rgb="FF2C3E50"/>
      </patternFill>
    </fill>
    <fill>
      <patternFill patternType="solid">
        <fgColor rgb="FF34495E"/>
        <bgColor rgb="FF34495E"/>
      </patternFill>
    </fill>
    <fill>
      <patternFill patternType="solid">
        <fgColor rgb="FFC8C8C8"/>
        <bgColor rgb="FF34495E"/>
      </patternFill>
    </fill>
  </fills>
  <borders count="28">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auto="1"/>
      </left>
      <right style="thin">
        <color auto="1"/>
      </right>
      <top style="thin">
        <color auto="1"/>
      </top>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auto="1"/>
      </right>
      <top style="thin">
        <color auto="1"/>
      </top>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thin">
        <color auto="1"/>
      </right>
      <top style="medium">
        <color indexed="64"/>
      </top>
      <bottom/>
      <diagonal/>
    </border>
    <border>
      <left style="thin">
        <color auto="1"/>
      </left>
      <right style="thin">
        <color auto="1"/>
      </right>
      <top style="medium">
        <color indexed="64"/>
      </top>
      <bottom/>
      <diagonal/>
    </border>
    <border>
      <left style="thin">
        <color auto="1"/>
      </left>
      <right style="medium">
        <color indexed="64"/>
      </right>
      <top style="medium">
        <color indexed="64"/>
      </top>
      <bottom/>
      <diagonal/>
    </border>
    <border>
      <left style="thin">
        <color auto="1"/>
      </left>
      <right style="thin">
        <color auto="1"/>
      </right>
      <top style="thin">
        <color auto="1"/>
      </top>
      <bottom style="thin">
        <color auto="1"/>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3">
    <xf numFmtId="0" fontId="0" fillId="0" borderId="0"/>
    <xf numFmtId="9" fontId="18" fillId="0" borderId="0"/>
    <xf numFmtId="0" fontId="7" fillId="0" borderId="0"/>
  </cellStyleXfs>
  <cellXfs count="143">
    <xf numFmtId="0" fontId="0" fillId="0" borderId="0" xfId="0"/>
    <xf numFmtId="2" fontId="0" fillId="0" borderId="0" xfId="0" applyNumberFormat="1"/>
    <xf numFmtId="0" fontId="1" fillId="2" borderId="1" xfId="0" applyFont="1" applyFill="1" applyBorder="1" applyAlignment="1">
      <alignment horizontal="center" vertical="center"/>
    </xf>
    <xf numFmtId="2" fontId="1" fillId="2" borderId="1" xfId="0" applyNumberFormat="1"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applyAlignment="1">
      <alignment vertical="center"/>
    </xf>
    <xf numFmtId="0" fontId="3" fillId="0" borderId="1" xfId="0" applyFont="1" applyBorder="1" applyAlignment="1">
      <alignment vertical="center"/>
    </xf>
    <xf numFmtId="164" fontId="4" fillId="3" borderId="1" xfId="0" applyNumberFormat="1" applyFont="1" applyFill="1" applyBorder="1" applyAlignment="1">
      <alignment vertical="center"/>
    </xf>
    <xf numFmtId="2" fontId="0" fillId="0" borderId="1" xfId="0" applyNumberFormat="1" applyBorder="1" applyAlignment="1">
      <alignment vertical="center"/>
    </xf>
    <xf numFmtId="0" fontId="6" fillId="5" borderId="1" xfId="0" applyFont="1" applyFill="1" applyBorder="1" applyAlignment="1">
      <alignment vertical="center"/>
    </xf>
    <xf numFmtId="0" fontId="7" fillId="0" borderId="0" xfId="0" applyFont="1"/>
    <xf numFmtId="0" fontId="0" fillId="0" borderId="1" xfId="0" applyBorder="1"/>
    <xf numFmtId="0" fontId="8" fillId="5" borderId="1" xfId="0" applyFont="1" applyFill="1" applyBorder="1" applyAlignment="1">
      <alignment vertical="center"/>
    </xf>
    <xf numFmtId="0" fontId="0" fillId="0" borderId="1" xfId="0" applyBorder="1" applyAlignment="1">
      <alignment vertical="center" wrapText="1"/>
    </xf>
    <xf numFmtId="0" fontId="3" fillId="0" borderId="0" xfId="0" applyFont="1"/>
    <xf numFmtId="0" fontId="9" fillId="0" borderId="0" xfId="0" applyFont="1" applyAlignment="1">
      <alignment vertical="center"/>
    </xf>
    <xf numFmtId="0" fontId="0" fillId="0" borderId="0" xfId="0" applyAlignment="1">
      <alignment horizontal="left" vertical="center" indent="1" readingOrder="1"/>
    </xf>
    <xf numFmtId="0" fontId="10" fillId="0" borderId="0" xfId="0" applyFont="1" applyAlignment="1">
      <alignment horizontal="left" vertical="center" indent="1" readingOrder="1"/>
    </xf>
    <xf numFmtId="0" fontId="12" fillId="0" borderId="0" xfId="0" applyFont="1"/>
    <xf numFmtId="0" fontId="12" fillId="0" borderId="0" xfId="0" applyFont="1" applyAlignment="1">
      <alignment horizontal="center"/>
    </xf>
    <xf numFmtId="0" fontId="0" fillId="0" borderId="0" xfId="0" applyAlignment="1">
      <alignment horizontal="center" vertical="center"/>
    </xf>
    <xf numFmtId="0" fontId="0" fillId="0" borderId="0" xfId="0" quotePrefix="1" applyAlignment="1">
      <alignment horizontal="center"/>
    </xf>
    <xf numFmtId="0" fontId="0" fillId="0" borderId="0" xfId="0" applyAlignment="1">
      <alignment horizontal="center"/>
    </xf>
    <xf numFmtId="16" fontId="0" fillId="0" borderId="0" xfId="0" quotePrefix="1" applyNumberFormat="1" applyAlignment="1">
      <alignment horizontal="center"/>
    </xf>
    <xf numFmtId="0" fontId="11" fillId="0" borderId="0" xfId="0" applyFont="1" applyAlignment="1">
      <alignment horizontal="left" vertical="center" readingOrder="1"/>
    </xf>
    <xf numFmtId="0" fontId="13" fillId="0" borderId="0" xfId="0" applyFont="1"/>
    <xf numFmtId="0" fontId="14" fillId="0" borderId="0" xfId="0" applyFont="1" applyAlignment="1">
      <alignment vertical="center"/>
    </xf>
    <xf numFmtId="0" fontId="15" fillId="0" borderId="0" xfId="0" applyFont="1"/>
    <xf numFmtId="0" fontId="0" fillId="0" borderId="0" xfId="0" applyAlignment="1">
      <alignment horizontal="left" vertical="center" indent="1"/>
    </xf>
    <xf numFmtId="0" fontId="16" fillId="0" borderId="0" xfId="0" applyFont="1"/>
    <xf numFmtId="0" fontId="15" fillId="0" borderId="0" xfId="0" applyFont="1" applyAlignment="1">
      <alignment horizontal="left" vertical="center" indent="1"/>
    </xf>
    <xf numFmtId="2" fontId="17" fillId="2" borderId="2" xfId="0" applyNumberFormat="1" applyFont="1" applyFill="1" applyBorder="1" applyAlignment="1">
      <alignment horizontal="center" vertical="center"/>
    </xf>
    <xf numFmtId="2" fontId="0" fillId="0" borderId="1" xfId="0" applyNumberFormat="1" applyBorder="1"/>
    <xf numFmtId="0" fontId="0" fillId="0" borderId="1" xfId="0" applyBorder="1" applyAlignment="1" applyProtection="1">
      <alignment vertical="center"/>
      <protection locked="0"/>
    </xf>
    <xf numFmtId="2" fontId="17" fillId="2" borderId="1" xfId="0" applyNumberFormat="1" applyFont="1" applyFill="1" applyBorder="1" applyAlignment="1">
      <alignment horizontal="center" vertical="center"/>
    </xf>
    <xf numFmtId="2" fontId="17" fillId="2" borderId="3" xfId="0" applyNumberFormat="1" applyFont="1" applyFill="1" applyBorder="1" applyAlignment="1">
      <alignment horizontal="center" vertical="center"/>
    </xf>
    <xf numFmtId="0" fontId="0" fillId="0" borderId="0" xfId="0" applyAlignment="1">
      <alignment horizontal="center" vertical="center" wrapText="1"/>
    </xf>
    <xf numFmtId="0" fontId="3" fillId="0" borderId="1" xfId="0" applyFont="1" applyBorder="1" applyAlignment="1">
      <alignment horizontal="center" vertical="center"/>
    </xf>
    <xf numFmtId="164" fontId="4" fillId="3" borderId="1" xfId="0" applyNumberFormat="1" applyFont="1" applyFill="1" applyBorder="1" applyAlignment="1">
      <alignment horizontal="center" vertical="center"/>
    </xf>
    <xf numFmtId="0" fontId="5" fillId="4" borderId="1" xfId="0" applyFont="1" applyFill="1" applyBorder="1" applyAlignment="1">
      <alignment horizontal="center" vertical="center"/>
    </xf>
    <xf numFmtId="0" fontId="5" fillId="6" borderId="1" xfId="0" applyFont="1" applyFill="1" applyBorder="1" applyAlignment="1">
      <alignment horizontal="center" vertical="center"/>
    </xf>
    <xf numFmtId="0" fontId="5" fillId="7" borderId="1" xfId="0" applyFont="1" applyFill="1" applyBorder="1" applyAlignment="1">
      <alignment horizontal="center" vertical="center"/>
    </xf>
    <xf numFmtId="0" fontId="5" fillId="8" borderId="1" xfId="0" applyFont="1" applyFill="1" applyBorder="1" applyAlignment="1">
      <alignment horizontal="center" vertical="center"/>
    </xf>
    <xf numFmtId="2" fontId="0" fillId="0" borderId="1" xfId="0" applyNumberFormat="1" applyBorder="1" applyAlignment="1">
      <alignment horizontal="center" vertical="center"/>
    </xf>
    <xf numFmtId="0" fontId="0" fillId="0" borderId="1" xfId="0" applyBorder="1" applyAlignment="1">
      <alignment horizontal="center" vertical="center"/>
    </xf>
    <xf numFmtId="2" fontId="0" fillId="0" borderId="0" xfId="0" applyNumberFormat="1" applyAlignment="1">
      <alignment horizontal="center"/>
    </xf>
    <xf numFmtId="2" fontId="0" fillId="0" borderId="1" xfId="0" applyNumberFormat="1" applyBorder="1" applyAlignment="1">
      <alignment horizontal="center"/>
    </xf>
    <xf numFmtId="2" fontId="0" fillId="0" borderId="0" xfId="0" applyNumberFormat="1" applyAlignment="1">
      <alignment horizontal="center" vertical="center"/>
    </xf>
    <xf numFmtId="0" fontId="0" fillId="9" borderId="2" xfId="0" applyFill="1" applyBorder="1" applyAlignment="1">
      <alignment horizontal="center" vertical="center"/>
    </xf>
    <xf numFmtId="2" fontId="0" fillId="9" borderId="0" xfId="0" applyNumberFormat="1" applyFill="1" applyAlignment="1">
      <alignment horizontal="center"/>
    </xf>
    <xf numFmtId="0" fontId="0" fillId="10" borderId="0" xfId="0" applyFill="1" applyAlignment="1">
      <alignment horizontal="center"/>
    </xf>
    <xf numFmtId="2" fontId="0" fillId="10" borderId="0" xfId="0" applyNumberFormat="1" applyFill="1" applyAlignment="1">
      <alignment horizontal="center"/>
    </xf>
    <xf numFmtId="0" fontId="0" fillId="11" borderId="0" xfId="0" applyFill="1" applyAlignment="1">
      <alignment horizontal="center"/>
    </xf>
    <xf numFmtId="2" fontId="0" fillId="11" borderId="0" xfId="0" applyNumberFormat="1" applyFill="1" applyAlignment="1">
      <alignment horizontal="center"/>
    </xf>
    <xf numFmtId="0" fontId="1" fillId="2" borderId="1" xfId="0" applyFont="1" applyFill="1" applyBorder="1" applyAlignment="1">
      <alignment horizontal="center" vertical="center" wrapText="1"/>
    </xf>
    <xf numFmtId="0" fontId="0" fillId="0" borderId="0" xfId="0" applyAlignment="1">
      <alignment wrapText="1"/>
    </xf>
    <xf numFmtId="0" fontId="13" fillId="0" borderId="0" xfId="0" applyFont="1" applyAlignment="1">
      <alignment horizontal="left" vertical="center" indent="1"/>
    </xf>
    <xf numFmtId="0" fontId="10" fillId="0" borderId="0" xfId="0" quotePrefix="1" applyFont="1" applyAlignment="1">
      <alignment horizontal="left" vertical="center" indent="1" readingOrder="1"/>
    </xf>
    <xf numFmtId="0" fontId="13" fillId="0" borderId="0" xfId="0" applyFont="1" applyAlignment="1">
      <alignment horizontal="right" vertical="center"/>
    </xf>
    <xf numFmtId="0" fontId="1" fillId="2" borderId="4" xfId="0" applyFont="1" applyFill="1" applyBorder="1" applyAlignment="1">
      <alignment horizontal="center" vertical="center"/>
    </xf>
    <xf numFmtId="0" fontId="1" fillId="2" borderId="5" xfId="0" applyFont="1" applyFill="1" applyBorder="1" applyAlignment="1">
      <alignment horizontal="center" vertical="center"/>
    </xf>
    <xf numFmtId="0" fontId="17" fillId="2" borderId="6" xfId="0" applyFont="1" applyFill="1" applyBorder="1" applyAlignment="1">
      <alignment horizontal="center" vertical="center"/>
    </xf>
    <xf numFmtId="0" fontId="13" fillId="0" borderId="7" xfId="0" applyFont="1" applyBorder="1"/>
    <xf numFmtId="2" fontId="0" fillId="0" borderId="10" xfId="0" applyNumberFormat="1" applyBorder="1" applyAlignment="1">
      <alignment horizontal="center"/>
    </xf>
    <xf numFmtId="0" fontId="17" fillId="2" borderId="5" xfId="0" applyFont="1" applyFill="1" applyBorder="1" applyAlignment="1">
      <alignment horizontal="center" vertical="center"/>
    </xf>
    <xf numFmtId="2" fontId="0" fillId="0" borderId="8" xfId="0" applyNumberFormat="1" applyBorder="1" applyAlignment="1">
      <alignment horizontal="center"/>
    </xf>
    <xf numFmtId="2" fontId="0" fillId="0" borderId="11" xfId="0" applyNumberFormat="1" applyBorder="1" applyAlignment="1">
      <alignment horizontal="center"/>
    </xf>
    <xf numFmtId="0" fontId="13" fillId="0" borderId="12" xfId="0" applyFont="1" applyBorder="1"/>
    <xf numFmtId="0" fontId="13" fillId="0" borderId="15" xfId="0" applyFont="1" applyBorder="1"/>
    <xf numFmtId="2" fontId="0" fillId="0" borderId="3" xfId="0" applyNumberFormat="1" applyBorder="1" applyAlignment="1">
      <alignment horizontal="center"/>
    </xf>
    <xf numFmtId="0" fontId="0" fillId="0" borderId="16" xfId="0" applyBorder="1"/>
    <xf numFmtId="0" fontId="0" fillId="0" borderId="17" xfId="0" applyBorder="1"/>
    <xf numFmtId="2" fontId="13" fillId="0" borderId="0" xfId="0" applyNumberFormat="1" applyFont="1" applyAlignment="1">
      <alignment horizontal="center" vertical="center"/>
    </xf>
    <xf numFmtId="0" fontId="13" fillId="0" borderId="0" xfId="0" applyFont="1" applyAlignment="1">
      <alignment horizontal="center" vertical="center" wrapText="1"/>
    </xf>
    <xf numFmtId="0" fontId="13" fillId="11" borderId="18" xfId="0" applyFont="1" applyFill="1" applyBorder="1" applyAlignment="1">
      <alignment horizontal="center"/>
    </xf>
    <xf numFmtId="2" fontId="0" fillId="11" borderId="13" xfId="0" applyNumberFormat="1" applyFill="1" applyBorder="1" applyAlignment="1">
      <alignment horizontal="center"/>
    </xf>
    <xf numFmtId="2" fontId="0" fillId="11" borderId="14" xfId="0" applyNumberFormat="1" applyFill="1" applyBorder="1" applyAlignment="1">
      <alignment horizontal="center"/>
    </xf>
    <xf numFmtId="0" fontId="0" fillId="12" borderId="0" xfId="0" applyFill="1" applyAlignment="1">
      <alignment horizontal="left"/>
    </xf>
    <xf numFmtId="0" fontId="0" fillId="12" borderId="0" xfId="0" applyFill="1" applyAlignment="1">
      <alignment horizontal="center"/>
    </xf>
    <xf numFmtId="0" fontId="13" fillId="12" borderId="18" xfId="0" applyFont="1" applyFill="1" applyBorder="1" applyAlignment="1">
      <alignment horizontal="center"/>
    </xf>
    <xf numFmtId="2" fontId="0" fillId="12" borderId="13" xfId="0" applyNumberFormat="1" applyFill="1" applyBorder="1" applyAlignment="1">
      <alignment horizontal="center"/>
    </xf>
    <xf numFmtId="2" fontId="0" fillId="12" borderId="14" xfId="0" applyNumberFormat="1" applyFill="1" applyBorder="1" applyAlignment="1">
      <alignment horizontal="center"/>
    </xf>
    <xf numFmtId="0" fontId="0" fillId="12" borderId="0" xfId="0" applyFill="1"/>
    <xf numFmtId="0" fontId="13" fillId="12" borderId="18" xfId="0" applyFont="1" applyFill="1" applyBorder="1"/>
    <xf numFmtId="2" fontId="0" fillId="12" borderId="13" xfId="0" applyNumberFormat="1" applyFill="1" applyBorder="1" applyAlignment="1">
      <alignment horizontal="center" vertical="center"/>
    </xf>
    <xf numFmtId="2" fontId="0" fillId="12" borderId="14" xfId="0" applyNumberFormat="1" applyFill="1" applyBorder="1" applyAlignment="1">
      <alignment horizontal="center" vertical="center"/>
    </xf>
    <xf numFmtId="0" fontId="13" fillId="0" borderId="0" xfId="0" applyFont="1" applyAlignment="1">
      <alignment horizontal="right" vertical="center" wrapText="1"/>
    </xf>
    <xf numFmtId="2" fontId="0" fillId="0" borderId="1" xfId="0" applyNumberFormat="1" applyBorder="1" applyAlignment="1">
      <alignment horizontal="center" vertical="center" wrapText="1"/>
    </xf>
    <xf numFmtId="2" fontId="0" fillId="0" borderId="10" xfId="0" applyNumberFormat="1" applyBorder="1" applyAlignment="1">
      <alignment horizontal="center" vertical="center" wrapText="1"/>
    </xf>
    <xf numFmtId="2" fontId="0" fillId="0" borderId="7" xfId="0" applyNumberFormat="1" applyBorder="1" applyAlignment="1">
      <alignment horizontal="center" vertical="center" wrapText="1"/>
    </xf>
    <xf numFmtId="2" fontId="0" fillId="0" borderId="9" xfId="0" applyNumberFormat="1" applyBorder="1" applyAlignment="1">
      <alignment horizontal="center" vertical="center" wrapText="1"/>
    </xf>
    <xf numFmtId="0" fontId="1" fillId="2" borderId="19" xfId="0" applyFont="1" applyFill="1" applyBorder="1" applyAlignment="1">
      <alignment horizontal="center" vertical="center"/>
    </xf>
    <xf numFmtId="0" fontId="1" fillId="2" borderId="20" xfId="0" applyFont="1" applyFill="1" applyBorder="1" applyAlignment="1">
      <alignment horizontal="center" vertical="center"/>
    </xf>
    <xf numFmtId="0" fontId="1" fillId="2" borderId="21" xfId="0" applyFont="1" applyFill="1" applyBorder="1" applyAlignment="1">
      <alignment horizontal="center" vertical="center"/>
    </xf>
    <xf numFmtId="2" fontId="0" fillId="0" borderId="4" xfId="0" applyNumberFormat="1" applyBorder="1" applyAlignment="1">
      <alignment horizontal="center" vertical="center" wrapText="1"/>
    </xf>
    <xf numFmtId="2" fontId="0" fillId="0" borderId="5" xfId="0" applyNumberFormat="1" applyBorder="1" applyAlignment="1">
      <alignment horizontal="center" vertical="center" wrapText="1"/>
    </xf>
    <xf numFmtId="0" fontId="13" fillId="0" borderId="0" xfId="0" applyFont="1" applyAlignment="1">
      <alignment horizontal="center"/>
    </xf>
    <xf numFmtId="0" fontId="0" fillId="0" borderId="0" xfId="0" applyAlignment="1">
      <alignment horizontal="left"/>
    </xf>
    <xf numFmtId="0" fontId="15" fillId="0" borderId="0" xfId="0" applyFont="1" applyAlignment="1">
      <alignment horizontal="right" vertical="center" wrapText="1"/>
    </xf>
    <xf numFmtId="0" fontId="7" fillId="0" borderId="0" xfId="2"/>
    <xf numFmtId="0" fontId="22" fillId="0" borderId="22" xfId="0" applyFont="1" applyBorder="1" applyAlignment="1">
      <alignment horizontal="center" vertical="center"/>
    </xf>
    <xf numFmtId="0" fontId="22" fillId="0" borderId="0" xfId="0" applyFont="1"/>
    <xf numFmtId="0" fontId="23" fillId="0" borderId="0" xfId="0" applyFont="1"/>
    <xf numFmtId="0" fontId="0" fillId="0" borderId="22" xfId="0" applyBorder="1" applyAlignment="1">
      <alignment vertical="center"/>
    </xf>
    <xf numFmtId="0" fontId="0" fillId="0" borderId="22" xfId="0" applyBorder="1" applyAlignment="1">
      <alignment vertical="center" wrapText="1"/>
    </xf>
    <xf numFmtId="0" fontId="0" fillId="0" borderId="0" xfId="0" applyAlignment="1">
      <alignment vertical="center"/>
    </xf>
    <xf numFmtId="0" fontId="22" fillId="0" borderId="0" xfId="0" applyFont="1" applyAlignment="1">
      <alignment vertical="center"/>
    </xf>
    <xf numFmtId="0" fontId="0" fillId="15" borderId="22" xfId="0" applyFill="1" applyBorder="1" applyAlignment="1">
      <alignment vertical="center"/>
    </xf>
    <xf numFmtId="0" fontId="22" fillId="0" borderId="22" xfId="0" applyFont="1" applyBorder="1" applyAlignment="1">
      <alignment vertical="center"/>
    </xf>
    <xf numFmtId="164" fontId="0" fillId="0" borderId="22" xfId="0" applyNumberFormat="1" applyBorder="1" applyAlignment="1">
      <alignment horizontal="center" vertical="center"/>
    </xf>
    <xf numFmtId="0" fontId="13" fillId="0" borderId="0" xfId="0" applyFont="1" applyAlignment="1">
      <alignment vertical="center"/>
    </xf>
    <xf numFmtId="0" fontId="13" fillId="0" borderId="0" xfId="0" applyFont="1" applyAlignment="1">
      <alignment horizontal="center" vertical="center"/>
    </xf>
    <xf numFmtId="2" fontId="0" fillId="0" borderId="22" xfId="0" applyNumberFormat="1" applyBorder="1" applyAlignment="1">
      <alignment horizontal="center" vertical="center"/>
    </xf>
    <xf numFmtId="0" fontId="24" fillId="16" borderId="0" xfId="0" applyFont="1" applyFill="1"/>
    <xf numFmtId="10" fontId="18" fillId="0" borderId="0" xfId="1" applyNumberFormat="1"/>
    <xf numFmtId="9" fontId="15" fillId="0" borderId="6" xfId="1" applyFont="1" applyBorder="1" applyAlignment="1">
      <alignment horizontal="center" vertical="center" wrapText="1"/>
    </xf>
    <xf numFmtId="9" fontId="15" fillId="0" borderId="8" xfId="1" applyFont="1" applyBorder="1" applyAlignment="1">
      <alignment horizontal="center" vertical="center" wrapText="1"/>
    </xf>
    <xf numFmtId="9" fontId="15" fillId="0" borderId="11" xfId="1" applyFont="1" applyBorder="1" applyAlignment="1">
      <alignment horizontal="center" vertical="center" wrapText="1"/>
    </xf>
    <xf numFmtId="0" fontId="25" fillId="17" borderId="0" xfId="0" applyFont="1" applyFill="1"/>
    <xf numFmtId="0" fontId="0" fillId="0" borderId="22" xfId="0" applyBorder="1" applyAlignment="1" applyProtection="1">
      <alignment horizontal="center" vertical="center"/>
      <protection locked="0"/>
    </xf>
    <xf numFmtId="0" fontId="0" fillId="0" borderId="22" xfId="0" applyBorder="1" applyAlignment="1">
      <alignment horizontal="center" vertical="center"/>
    </xf>
    <xf numFmtId="10" fontId="0" fillId="0" borderId="0" xfId="0" applyNumberFormat="1"/>
    <xf numFmtId="9" fontId="0" fillId="0" borderId="0" xfId="0" applyNumberFormat="1"/>
    <xf numFmtId="164" fontId="0" fillId="0" borderId="0" xfId="0" applyNumberFormat="1"/>
    <xf numFmtId="0" fontId="5" fillId="18" borderId="0" xfId="0" applyFont="1" applyFill="1"/>
    <xf numFmtId="0" fontId="13" fillId="0" borderId="23" xfId="0" applyFont="1" applyBorder="1" applyAlignment="1">
      <alignment horizontal="right" vertical="center" wrapText="1"/>
    </xf>
    <xf numFmtId="2" fontId="0" fillId="0" borderId="0" xfId="0" applyNumberFormat="1" applyAlignment="1">
      <alignment vertical="center" wrapText="1"/>
    </xf>
    <xf numFmtId="0" fontId="0" fillId="0" borderId="0" xfId="0" applyAlignment="1">
      <alignment vertical="center" wrapText="1"/>
    </xf>
    <xf numFmtId="10" fontId="15" fillId="0" borderId="24" xfId="0" applyNumberFormat="1" applyFont="1" applyBorder="1" applyAlignment="1">
      <alignment vertical="center" wrapText="1"/>
    </xf>
    <xf numFmtId="0" fontId="13" fillId="0" borderId="25" xfId="0" applyFont="1" applyBorder="1" applyAlignment="1">
      <alignment horizontal="right" vertical="center" wrapText="1"/>
    </xf>
    <xf numFmtId="2" fontId="0" fillId="0" borderId="26" xfId="0" applyNumberFormat="1" applyBorder="1" applyAlignment="1">
      <alignment vertical="center" wrapText="1"/>
    </xf>
    <xf numFmtId="0" fontId="0" fillId="0" borderId="26" xfId="0" applyBorder="1" applyAlignment="1">
      <alignment vertical="center" wrapText="1"/>
    </xf>
    <xf numFmtId="10" fontId="15" fillId="0" borderId="27" xfId="0" applyNumberFormat="1" applyFont="1" applyBorder="1" applyAlignment="1">
      <alignment vertical="center" wrapText="1"/>
    </xf>
    <xf numFmtId="0" fontId="1" fillId="2" borderId="19" xfId="0" applyFont="1" applyFill="1" applyBorder="1" applyAlignment="1">
      <alignment horizontal="right" vertical="center"/>
    </xf>
    <xf numFmtId="0" fontId="0" fillId="0" borderId="22" xfId="0" quotePrefix="1" applyBorder="1" applyAlignment="1">
      <alignment horizontal="center" vertical="center"/>
    </xf>
    <xf numFmtId="0" fontId="10" fillId="0" borderId="0" xfId="0" applyFont="1" applyAlignment="1">
      <alignment horizontal="left" vertical="center" wrapText="1" indent="1" readingOrder="1"/>
    </xf>
    <xf numFmtId="0" fontId="10" fillId="0" borderId="0" xfId="0" applyFont="1" applyAlignment="1">
      <alignment horizontal="left" vertical="center" readingOrder="1"/>
    </xf>
    <xf numFmtId="0" fontId="20" fillId="14" borderId="0" xfId="0" applyFont="1" applyFill="1" applyAlignment="1">
      <alignment vertical="center"/>
    </xf>
    <xf numFmtId="0" fontId="0" fillId="0" borderId="0" xfId="0" applyAlignment="1">
      <alignment vertical="center"/>
    </xf>
    <xf numFmtId="0" fontId="21" fillId="14" borderId="0" xfId="0" applyFont="1" applyFill="1"/>
    <xf numFmtId="0" fontId="0" fillId="0" borderId="0" xfId="0"/>
    <xf numFmtId="0" fontId="19" fillId="13" borderId="0" xfId="0" applyFont="1" applyFill="1" applyAlignment="1">
      <alignment horizontal="center" vertical="center"/>
    </xf>
    <xf numFmtId="0" fontId="20" fillId="14" borderId="0" xfId="0" applyFont="1" applyFill="1"/>
  </cellXfs>
  <cellStyles count="3">
    <cellStyle name="Hyperlink" xfId="2" builtinId="8"/>
    <cellStyle name="Normal" xfId="0" builtinId="0"/>
    <cellStyle name="Percent" xfId="1" builtinId="5"/>
  </cellStyles>
  <dxfs count="50">
    <dxf>
      <fill>
        <patternFill>
          <bgColor rgb="FFB0E0E6"/>
        </patternFill>
      </fill>
    </dxf>
    <dxf>
      <fill>
        <patternFill>
          <bgColor rgb="FFC1FFC1"/>
        </patternFill>
      </fill>
    </dxf>
    <dxf>
      <fill>
        <patternFill>
          <bgColor rgb="FFFFFFE0"/>
        </patternFill>
      </fill>
    </dxf>
    <dxf>
      <fill>
        <patternFill>
          <bgColor rgb="FFFFDAB9"/>
        </patternFill>
      </fill>
    </dxf>
    <dxf>
      <fill>
        <patternFill>
          <bgColor rgb="FFFFB6C1"/>
        </patternFill>
      </fill>
    </dxf>
    <dxf>
      <fill>
        <patternFill>
          <bgColor rgb="FFB0E0E6"/>
        </patternFill>
      </fill>
    </dxf>
    <dxf>
      <fill>
        <patternFill>
          <bgColor rgb="FFC1FFC1"/>
        </patternFill>
      </fill>
    </dxf>
    <dxf>
      <fill>
        <patternFill>
          <bgColor rgb="FFFFFFE0"/>
        </patternFill>
      </fill>
    </dxf>
    <dxf>
      <fill>
        <patternFill>
          <bgColor rgb="FFFFDAB9"/>
        </patternFill>
      </fill>
    </dxf>
    <dxf>
      <fill>
        <patternFill>
          <bgColor rgb="FFFFB6C1"/>
        </patternFill>
      </fill>
    </dxf>
    <dxf>
      <fill>
        <patternFill>
          <bgColor rgb="FFB0E0E6"/>
        </patternFill>
      </fill>
    </dxf>
    <dxf>
      <fill>
        <patternFill>
          <bgColor rgb="FFC1FFC1"/>
        </patternFill>
      </fill>
    </dxf>
    <dxf>
      <fill>
        <patternFill>
          <bgColor rgb="FFFFFFE0"/>
        </patternFill>
      </fill>
    </dxf>
    <dxf>
      <fill>
        <patternFill>
          <bgColor rgb="FFFFDAB9"/>
        </patternFill>
      </fill>
    </dxf>
    <dxf>
      <fill>
        <patternFill>
          <bgColor rgb="FFFFB6C1"/>
        </patternFill>
      </fill>
    </dxf>
    <dxf>
      <fill>
        <patternFill>
          <bgColor rgb="FFB0E0E6"/>
        </patternFill>
      </fill>
    </dxf>
    <dxf>
      <fill>
        <patternFill>
          <bgColor rgb="FFC1FFC1"/>
        </patternFill>
      </fill>
    </dxf>
    <dxf>
      <fill>
        <patternFill>
          <bgColor rgb="FFFFFFE0"/>
        </patternFill>
      </fill>
    </dxf>
    <dxf>
      <fill>
        <patternFill>
          <bgColor rgb="FFFFDAB9"/>
        </patternFill>
      </fill>
    </dxf>
    <dxf>
      <fill>
        <patternFill>
          <bgColor rgb="FFFFB6C1"/>
        </patternFill>
      </fill>
    </dxf>
    <dxf>
      <fill>
        <patternFill>
          <bgColor rgb="FFB0E0E6"/>
        </patternFill>
      </fill>
    </dxf>
    <dxf>
      <fill>
        <patternFill>
          <bgColor rgb="FFC1FFC1"/>
        </patternFill>
      </fill>
    </dxf>
    <dxf>
      <fill>
        <patternFill>
          <bgColor rgb="FFFFFFE0"/>
        </patternFill>
      </fill>
    </dxf>
    <dxf>
      <fill>
        <patternFill>
          <bgColor rgb="FFFFDAB9"/>
        </patternFill>
      </fill>
    </dxf>
    <dxf>
      <fill>
        <patternFill>
          <bgColor rgb="FFFFB6C1"/>
        </patternFill>
      </fill>
    </dxf>
    <dxf>
      <fill>
        <patternFill>
          <bgColor rgb="FFB0E0E6"/>
        </patternFill>
      </fill>
    </dxf>
    <dxf>
      <fill>
        <patternFill>
          <bgColor rgb="FFC1FFC1"/>
        </patternFill>
      </fill>
    </dxf>
    <dxf>
      <fill>
        <patternFill>
          <bgColor rgb="FFFFFFE0"/>
        </patternFill>
      </fill>
    </dxf>
    <dxf>
      <fill>
        <patternFill>
          <bgColor rgb="FFFFDAB9"/>
        </patternFill>
      </fill>
    </dxf>
    <dxf>
      <fill>
        <patternFill>
          <bgColor rgb="FFFFB6C1"/>
        </patternFill>
      </fill>
    </dxf>
    <dxf>
      <fill>
        <patternFill>
          <bgColor rgb="FFB0E0E6"/>
        </patternFill>
      </fill>
    </dxf>
    <dxf>
      <fill>
        <patternFill>
          <bgColor rgb="FFC1FFC1"/>
        </patternFill>
      </fill>
    </dxf>
    <dxf>
      <fill>
        <patternFill>
          <bgColor rgb="FFFFFFE0"/>
        </patternFill>
      </fill>
    </dxf>
    <dxf>
      <fill>
        <patternFill>
          <bgColor rgb="FFFFDAB9"/>
        </patternFill>
      </fill>
    </dxf>
    <dxf>
      <fill>
        <patternFill>
          <bgColor rgb="FFFFB6C1"/>
        </patternFill>
      </fill>
    </dxf>
    <dxf>
      <fill>
        <patternFill>
          <bgColor rgb="FFB0E0E6"/>
        </patternFill>
      </fill>
    </dxf>
    <dxf>
      <fill>
        <patternFill>
          <bgColor rgb="FFC1FFC1"/>
        </patternFill>
      </fill>
    </dxf>
    <dxf>
      <fill>
        <patternFill>
          <bgColor rgb="FFFFFFE0"/>
        </patternFill>
      </fill>
    </dxf>
    <dxf>
      <fill>
        <patternFill>
          <bgColor rgb="FFFFDAB9"/>
        </patternFill>
      </fill>
    </dxf>
    <dxf>
      <fill>
        <patternFill>
          <bgColor rgb="FFFFB6C1"/>
        </patternFill>
      </fill>
    </dxf>
    <dxf>
      <fill>
        <patternFill>
          <bgColor rgb="FF90EE90"/>
        </patternFill>
      </fill>
    </dxf>
    <dxf>
      <fill>
        <patternFill>
          <bgColor rgb="FFC1FFC1"/>
        </patternFill>
      </fill>
    </dxf>
    <dxf>
      <fill>
        <patternFill>
          <bgColor rgb="FFFFFFCC"/>
        </patternFill>
      </fill>
    </dxf>
    <dxf>
      <fill>
        <patternFill>
          <bgColor rgb="FFFFDAB9"/>
        </patternFill>
      </fill>
    </dxf>
    <dxf>
      <fill>
        <patternFill>
          <bgColor rgb="FFFFB6C1"/>
        </patternFill>
      </fill>
    </dxf>
    <dxf>
      <fill>
        <patternFill>
          <bgColor rgb="FF90EE90"/>
        </patternFill>
      </fill>
    </dxf>
    <dxf>
      <fill>
        <patternFill>
          <bgColor rgb="FFC1FFC1"/>
        </patternFill>
      </fill>
    </dxf>
    <dxf>
      <fill>
        <patternFill>
          <bgColor rgb="FFFFFFCC"/>
        </patternFill>
      </fill>
    </dxf>
    <dxf>
      <fill>
        <patternFill>
          <bgColor rgb="FFFFDAB9"/>
        </patternFill>
      </fill>
    </dxf>
    <dxf>
      <fill>
        <patternFill>
          <bgColor rgb="FFFFB6C1"/>
        </patternFill>
      </fill>
    </dxf>
  </dxfs>
  <tableStyles count="1" defaultTableStyle="TableStyleMedium2" defaultPivotStyle="PivotStyleLight16">
    <tableStyle name="PivotTable Style 1" table="0" count="0" xr9:uid="{00000000-0011-0000-FFFF-FFFF00000000}"/>
  </tableStyles>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90EE90"/>
      <rgbColor rgb="FF808080"/>
      <rgbColor rgb="FF9999FF"/>
      <rgbColor rgb="FF993366"/>
      <rgbColor rgb="FFFFFFCC"/>
      <rgbColor rgb="FFECF0F1"/>
      <rgbColor rgb="FF660066"/>
      <rgbColor rgb="FFFF8080"/>
      <rgbColor rgb="FF0066CC"/>
      <rgbColor rgb="FFCCCCFF"/>
      <rgbColor rgb="FF000080"/>
      <rgbColor rgb="FFFF00FF"/>
      <rgbColor rgb="FFFFFF00"/>
      <rgbColor rgb="FF00FFFF"/>
      <rgbColor rgb="FF800080"/>
      <rgbColor rgb="FF800000"/>
      <rgbColor rgb="FF008080"/>
      <rgbColor rgb="FF0000FF"/>
      <rgbColor rgb="FF00CCFF"/>
      <rgbColor rgb="FFCCFFFF"/>
      <rgbColor rgb="FFC1FFC1"/>
      <rgbColor rgb="FFFFFFE0"/>
      <rgbColor rgb="FFB0E0E6"/>
      <rgbColor rgb="FFFFB6C1"/>
      <rgbColor rgb="FFCC99FF"/>
      <rgbColor rgb="FFFFDAB9"/>
      <rgbColor rgb="FF3498DB"/>
      <rgbColor rgb="FF33CCCC"/>
      <rgbColor rgb="FF99CC00"/>
      <rgbColor rgb="FFFFCC00"/>
      <rgbColor rgb="FFF39C12"/>
      <rgbColor rgb="FFE74C3C"/>
      <rgbColor rgb="FF666699"/>
      <rgbColor rgb="FF95A5A6"/>
      <rgbColor rgb="FF003366"/>
      <rgbColor rgb="FF27AE60"/>
      <rgbColor rgb="FF003300"/>
      <rgbColor rgb="FF333300"/>
      <rgbColor rgb="FF993300"/>
      <rgbColor rgb="FF993366"/>
      <rgbColor rgb="FF333399"/>
      <rgbColor rgb="FF2C3E50"/>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1"/>
            </a:pPr>
            <a:r>
              <a:rPr lang="en-US"/>
              <a:t>Distribución - Declive</a:t>
            </a:r>
          </a:p>
        </c:rich>
      </c:tx>
      <c:overlay val="0"/>
    </c:title>
    <c:autoTitleDeleted val="0"/>
    <c:plotArea>
      <c:layout/>
      <c:barChart>
        <c:barDir val="col"/>
        <c:grouping val="clustered"/>
        <c:varyColors val="0"/>
        <c:ser>
          <c:idx val="0"/>
          <c:order val="0"/>
          <c:spPr>
            <a:solidFill>
              <a:srgbClr val="C85050"/>
            </a:solidFill>
            <a:ln>
              <a:noFill/>
            </a:ln>
            <a:effectLst/>
            <a:extLst>
              <a:ext uri="{91240B29-F687-4F45-9708-019B960494DF}">
                <a14:hiddenLine xmlns:a14="http://schemas.microsoft.com/office/drawing/2010/main">
                  <a:noFill/>
                </a14:hiddenLine>
              </a:ext>
            </a:extLst>
          </c:spPr>
          <c:invertIfNegative val="0"/>
          <c:cat>
            <c:numRef>
              <c:f>Monte_Carlo_Analysis!$AA$3:$AA$22</c:f>
              <c:numCache>
                <c:formatCode>0.0%</c:formatCode>
                <c:ptCount val="20"/>
                <c:pt idx="0">
                  <c:v>0.25354948425911961</c:v>
                </c:pt>
                <c:pt idx="1">
                  <c:v>0.25885747231373968</c:v>
                </c:pt>
                <c:pt idx="2">
                  <c:v>0.26416546036835975</c:v>
                </c:pt>
                <c:pt idx="3">
                  <c:v>0.26947344842297982</c:v>
                </c:pt>
                <c:pt idx="4">
                  <c:v>0.27478143647759989</c:v>
                </c:pt>
                <c:pt idx="5">
                  <c:v>0.28008942453221997</c:v>
                </c:pt>
                <c:pt idx="6">
                  <c:v>0.28539741258684004</c:v>
                </c:pt>
                <c:pt idx="7">
                  <c:v>0.29070540064146011</c:v>
                </c:pt>
                <c:pt idx="8">
                  <c:v>0.29601338869608018</c:v>
                </c:pt>
                <c:pt idx="9">
                  <c:v>0.30132137675070025</c:v>
                </c:pt>
                <c:pt idx="10">
                  <c:v>0.30662936480532033</c:v>
                </c:pt>
                <c:pt idx="11">
                  <c:v>0.31193735285994045</c:v>
                </c:pt>
                <c:pt idx="12">
                  <c:v>0.31724534091456053</c:v>
                </c:pt>
                <c:pt idx="13">
                  <c:v>0.3225533289691806</c:v>
                </c:pt>
                <c:pt idx="14">
                  <c:v>0.32786131702380067</c:v>
                </c:pt>
                <c:pt idx="15">
                  <c:v>0.33316930507842074</c:v>
                </c:pt>
                <c:pt idx="16">
                  <c:v>0.33847729313304081</c:v>
                </c:pt>
                <c:pt idx="17">
                  <c:v>0.34378528118766088</c:v>
                </c:pt>
                <c:pt idx="18">
                  <c:v>0.34909326924228096</c:v>
                </c:pt>
                <c:pt idx="19">
                  <c:v>0.35440125729690103</c:v>
                </c:pt>
              </c:numCache>
            </c:numRef>
          </c:cat>
          <c:val>
            <c:numRef>
              <c:f>Monte_Carlo_Analysis!$AB$3:$AB$22</c:f>
              <c:numCache>
                <c:formatCode>General</c:formatCode>
                <c:ptCount val="20"/>
                <c:pt idx="0">
                  <c:v>28</c:v>
                </c:pt>
                <c:pt idx="1">
                  <c:v>135</c:v>
                </c:pt>
                <c:pt idx="2">
                  <c:v>310</c:v>
                </c:pt>
                <c:pt idx="3">
                  <c:v>537</c:v>
                </c:pt>
                <c:pt idx="4">
                  <c:v>833</c:v>
                </c:pt>
                <c:pt idx="5">
                  <c:v>1080</c:v>
                </c:pt>
                <c:pt idx="6">
                  <c:v>1223</c:v>
                </c:pt>
                <c:pt idx="7">
                  <c:v>1283</c:v>
                </c:pt>
                <c:pt idx="8">
                  <c:v>1120</c:v>
                </c:pt>
                <c:pt idx="9">
                  <c:v>999</c:v>
                </c:pt>
                <c:pt idx="10">
                  <c:v>881</c:v>
                </c:pt>
                <c:pt idx="11">
                  <c:v>605</c:v>
                </c:pt>
                <c:pt idx="12">
                  <c:v>436</c:v>
                </c:pt>
                <c:pt idx="13">
                  <c:v>265</c:v>
                </c:pt>
                <c:pt idx="14">
                  <c:v>144</c:v>
                </c:pt>
                <c:pt idx="15">
                  <c:v>71</c:v>
                </c:pt>
                <c:pt idx="16">
                  <c:v>32</c:v>
                </c:pt>
                <c:pt idx="17">
                  <c:v>13</c:v>
                </c:pt>
                <c:pt idx="18">
                  <c:v>4</c:v>
                </c:pt>
                <c:pt idx="19">
                  <c:v>1</c:v>
                </c:pt>
              </c:numCache>
            </c:numRef>
          </c:val>
          <c:extLst>
            <c:ext xmlns:c16="http://schemas.microsoft.com/office/drawing/2014/chart" uri="{C3380CC4-5D6E-409C-BE32-E72D297353CC}">
              <c16:uniqueId val="{00000000-FD7F-4E02-AEF6-730ACF8B7AAB}"/>
            </c:ext>
          </c:extLst>
        </c:ser>
        <c:dLbls>
          <c:showLegendKey val="0"/>
          <c:showVal val="0"/>
          <c:showCatName val="0"/>
          <c:showSerName val="0"/>
          <c:showPercent val="0"/>
          <c:showBubbleSize val="0"/>
        </c:dLbls>
        <c:gapWidth val="150"/>
        <c:axId val="1092470224"/>
        <c:axId val="1092458704"/>
      </c:barChart>
      <c:catAx>
        <c:axId val="1092470224"/>
        <c:scaling>
          <c:orientation val="minMax"/>
        </c:scaling>
        <c:delete val="0"/>
        <c:axPos val="b"/>
        <c:title>
          <c:tx>
            <c:rich>
              <a:bodyPr/>
              <a:lstStyle/>
              <a:p>
                <a:pPr>
                  <a:defRPr sz="900"/>
                </a:pPr>
                <a:r>
                  <a:rPr lang="en-US"/>
                  <a:t>Probabilidad</a:t>
                </a:r>
              </a:p>
            </c:rich>
          </c:tx>
          <c:overlay val="0"/>
        </c:title>
        <c:numFmt formatCode="0.0%" sourceLinked="0"/>
        <c:majorTickMark val="out"/>
        <c:minorTickMark val="none"/>
        <c:tickLblPos val="nextTo"/>
        <c:txPr>
          <a:bodyPr/>
          <a:lstStyle/>
          <a:p>
            <a:pPr>
              <a:defRPr sz="800"/>
            </a:pPr>
            <a:endParaRPr lang="en-US"/>
          </a:p>
        </c:txPr>
        <c:crossAx val="1092458704"/>
        <c:crosses val="autoZero"/>
        <c:auto val="1"/>
        <c:lblAlgn val="ctr"/>
        <c:lblOffset val="100"/>
        <c:tickLblSkip val="4"/>
        <c:noMultiLvlLbl val="0"/>
      </c:catAx>
      <c:valAx>
        <c:axId val="1092458704"/>
        <c:scaling>
          <c:orientation val="minMax"/>
        </c:scaling>
        <c:delete val="0"/>
        <c:axPos val="l"/>
        <c:majorGridlines>
          <c:spPr>
            <a:ln w="6350">
              <a:solidFill>
                <a:srgbClr val="DCDCDC"/>
              </a:solidFill>
            </a:ln>
          </c:spPr>
        </c:majorGridlines>
        <c:title>
          <c:tx>
            <c:rich>
              <a:bodyPr/>
              <a:lstStyle/>
              <a:p>
                <a:pPr>
                  <a:defRPr sz="900"/>
                </a:pPr>
                <a:r>
                  <a:rPr lang="en-US"/>
                  <a:t>Frecuencia</a:t>
                </a:r>
              </a:p>
            </c:rich>
          </c:tx>
          <c:overlay val="0"/>
        </c:title>
        <c:numFmt formatCode="#,##0" sourceLinked="0"/>
        <c:majorTickMark val="out"/>
        <c:minorTickMark val="none"/>
        <c:tickLblPos val="nextTo"/>
        <c:txPr>
          <a:bodyPr/>
          <a:lstStyle/>
          <a:p>
            <a:pPr>
              <a:defRPr sz="800"/>
            </a:pPr>
            <a:endParaRPr lang="en-US"/>
          </a:p>
        </c:txPr>
        <c:crossAx val="1092470224"/>
        <c:crosses val="autoZero"/>
        <c:crossBetween val="between"/>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1"/>
            </a:pPr>
            <a:r>
              <a:rPr lang="en-US"/>
              <a:t>Distribución - Renovación</a:t>
            </a:r>
          </a:p>
        </c:rich>
      </c:tx>
      <c:overlay val="0"/>
    </c:title>
    <c:autoTitleDeleted val="0"/>
    <c:plotArea>
      <c:layout/>
      <c:barChart>
        <c:barDir val="col"/>
        <c:grouping val="clustered"/>
        <c:varyColors val="0"/>
        <c:ser>
          <c:idx val="0"/>
          <c:order val="0"/>
          <c:spPr>
            <a:solidFill>
              <a:srgbClr val="50C850"/>
            </a:solidFill>
            <a:ln>
              <a:noFill/>
            </a:ln>
            <a:effectLst/>
            <a:extLst>
              <a:ext uri="{91240B29-F687-4F45-9708-019B960494DF}">
                <a14:hiddenLine xmlns:a14="http://schemas.microsoft.com/office/drawing/2010/main">
                  <a:noFill/>
                </a14:hiddenLine>
              </a:ext>
            </a:extLst>
          </c:spPr>
          <c:invertIfNegative val="0"/>
          <c:cat>
            <c:numRef>
              <c:f>Monte_Carlo_Analysis!$AC$3:$AC$22</c:f>
              <c:numCache>
                <c:formatCode>0.0%</c:formatCode>
                <c:ptCount val="20"/>
                <c:pt idx="0">
                  <c:v>0.15205603643055499</c:v>
                </c:pt>
                <c:pt idx="1">
                  <c:v>0.15553912477035051</c:v>
                </c:pt>
                <c:pt idx="2">
                  <c:v>0.15902221311014605</c:v>
                </c:pt>
                <c:pt idx="3">
                  <c:v>0.1625053014499416</c:v>
                </c:pt>
                <c:pt idx="4">
                  <c:v>0.16598838978973712</c:v>
                </c:pt>
                <c:pt idx="5">
                  <c:v>0.16947147812953267</c:v>
                </c:pt>
                <c:pt idx="6">
                  <c:v>0.17295456646932819</c:v>
                </c:pt>
                <c:pt idx="7">
                  <c:v>0.17643765480912374</c:v>
                </c:pt>
                <c:pt idx="8">
                  <c:v>0.17992074314891929</c:v>
                </c:pt>
                <c:pt idx="9">
                  <c:v>0.18340383148871481</c:v>
                </c:pt>
                <c:pt idx="10">
                  <c:v>0.18688691982851036</c:v>
                </c:pt>
                <c:pt idx="11">
                  <c:v>0.19037000816830588</c:v>
                </c:pt>
                <c:pt idx="12">
                  <c:v>0.19385309650810142</c:v>
                </c:pt>
                <c:pt idx="13">
                  <c:v>0.19733618484789697</c:v>
                </c:pt>
                <c:pt idx="14">
                  <c:v>0.20081927318769249</c:v>
                </c:pt>
                <c:pt idx="15">
                  <c:v>0.20430236152748804</c:v>
                </c:pt>
                <c:pt idx="16">
                  <c:v>0.20778544986728356</c:v>
                </c:pt>
                <c:pt idx="17">
                  <c:v>0.21126853820707911</c:v>
                </c:pt>
                <c:pt idx="18">
                  <c:v>0.21475162654687463</c:v>
                </c:pt>
                <c:pt idx="19">
                  <c:v>0.21823471488667018</c:v>
                </c:pt>
              </c:numCache>
            </c:numRef>
          </c:cat>
          <c:val>
            <c:numRef>
              <c:f>Monte_Carlo_Analysis!$AD$3:$AD$22</c:f>
              <c:numCache>
                <c:formatCode>General</c:formatCode>
                <c:ptCount val="20"/>
                <c:pt idx="0">
                  <c:v>2</c:v>
                </c:pt>
                <c:pt idx="1">
                  <c:v>9</c:v>
                </c:pt>
                <c:pt idx="2">
                  <c:v>55</c:v>
                </c:pt>
                <c:pt idx="3">
                  <c:v>139</c:v>
                </c:pt>
                <c:pt idx="4">
                  <c:v>320</c:v>
                </c:pt>
                <c:pt idx="5">
                  <c:v>534</c:v>
                </c:pt>
                <c:pt idx="6">
                  <c:v>775</c:v>
                </c:pt>
                <c:pt idx="7">
                  <c:v>900</c:v>
                </c:pt>
                <c:pt idx="8">
                  <c:v>1051</c:v>
                </c:pt>
                <c:pt idx="9">
                  <c:v>1153</c:v>
                </c:pt>
                <c:pt idx="10">
                  <c:v>1111</c:v>
                </c:pt>
                <c:pt idx="11">
                  <c:v>1055</c:v>
                </c:pt>
                <c:pt idx="12">
                  <c:v>910</c:v>
                </c:pt>
                <c:pt idx="13">
                  <c:v>658</c:v>
                </c:pt>
                <c:pt idx="14">
                  <c:v>552</c:v>
                </c:pt>
                <c:pt idx="15">
                  <c:v>349</c:v>
                </c:pt>
                <c:pt idx="16">
                  <c:v>230</c:v>
                </c:pt>
                <c:pt idx="17">
                  <c:v>130</c:v>
                </c:pt>
                <c:pt idx="18">
                  <c:v>48</c:v>
                </c:pt>
                <c:pt idx="19">
                  <c:v>19</c:v>
                </c:pt>
              </c:numCache>
            </c:numRef>
          </c:val>
          <c:extLst>
            <c:ext xmlns:c16="http://schemas.microsoft.com/office/drawing/2014/chart" uri="{C3380CC4-5D6E-409C-BE32-E72D297353CC}">
              <c16:uniqueId val="{00000000-681F-44F0-A9A7-3D4F40DF4514}"/>
            </c:ext>
          </c:extLst>
        </c:ser>
        <c:dLbls>
          <c:showLegendKey val="0"/>
          <c:showVal val="0"/>
          <c:showCatName val="0"/>
          <c:showSerName val="0"/>
          <c:showPercent val="0"/>
          <c:showBubbleSize val="0"/>
        </c:dLbls>
        <c:gapWidth val="150"/>
        <c:axId val="1092470704"/>
        <c:axId val="1092459664"/>
      </c:barChart>
      <c:catAx>
        <c:axId val="1092470704"/>
        <c:scaling>
          <c:orientation val="minMax"/>
        </c:scaling>
        <c:delete val="0"/>
        <c:axPos val="b"/>
        <c:title>
          <c:tx>
            <c:rich>
              <a:bodyPr/>
              <a:lstStyle/>
              <a:p>
                <a:pPr>
                  <a:defRPr sz="900"/>
                </a:pPr>
                <a:r>
                  <a:rPr lang="en-US"/>
                  <a:t>Probabilidad</a:t>
                </a:r>
              </a:p>
            </c:rich>
          </c:tx>
          <c:overlay val="0"/>
        </c:title>
        <c:numFmt formatCode="0.0%" sourceLinked="0"/>
        <c:majorTickMark val="out"/>
        <c:minorTickMark val="none"/>
        <c:tickLblPos val="nextTo"/>
        <c:txPr>
          <a:bodyPr/>
          <a:lstStyle/>
          <a:p>
            <a:pPr>
              <a:defRPr sz="800"/>
            </a:pPr>
            <a:endParaRPr lang="en-US"/>
          </a:p>
        </c:txPr>
        <c:crossAx val="1092459664"/>
        <c:crosses val="autoZero"/>
        <c:auto val="1"/>
        <c:lblAlgn val="ctr"/>
        <c:lblOffset val="100"/>
        <c:tickLblSkip val="4"/>
        <c:noMultiLvlLbl val="0"/>
      </c:catAx>
      <c:valAx>
        <c:axId val="1092459664"/>
        <c:scaling>
          <c:orientation val="minMax"/>
        </c:scaling>
        <c:delete val="0"/>
        <c:axPos val="l"/>
        <c:majorGridlines>
          <c:spPr>
            <a:ln w="6350">
              <a:solidFill>
                <a:srgbClr val="DCDCDC"/>
              </a:solidFill>
            </a:ln>
          </c:spPr>
        </c:majorGridlines>
        <c:title>
          <c:tx>
            <c:rich>
              <a:bodyPr/>
              <a:lstStyle/>
              <a:p>
                <a:pPr>
                  <a:defRPr sz="900"/>
                </a:pPr>
                <a:r>
                  <a:rPr lang="en-US"/>
                  <a:t>Frecuencia</a:t>
                </a:r>
              </a:p>
            </c:rich>
          </c:tx>
          <c:overlay val="0"/>
        </c:title>
        <c:numFmt formatCode="#,##0" sourceLinked="0"/>
        <c:majorTickMark val="out"/>
        <c:minorTickMark val="none"/>
        <c:tickLblPos val="nextTo"/>
        <c:txPr>
          <a:bodyPr/>
          <a:lstStyle/>
          <a:p>
            <a:pPr>
              <a:defRPr sz="800"/>
            </a:pPr>
            <a:endParaRPr lang="en-US"/>
          </a:p>
        </c:txPr>
        <c:crossAx val="1092470704"/>
        <c:crosses val="autoZero"/>
        <c:crossBetween val="between"/>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1"/>
            </a:pPr>
            <a:r>
              <a:rPr lang="en-US"/>
              <a:t>Distribución - Fragmentación</a:t>
            </a:r>
          </a:p>
        </c:rich>
      </c:tx>
      <c:overlay val="0"/>
    </c:title>
    <c:autoTitleDeleted val="0"/>
    <c:plotArea>
      <c:layout/>
      <c:barChart>
        <c:barDir val="col"/>
        <c:grouping val="clustered"/>
        <c:varyColors val="0"/>
        <c:ser>
          <c:idx val="0"/>
          <c:order val="0"/>
          <c:spPr>
            <a:solidFill>
              <a:srgbClr val="FF9632"/>
            </a:solidFill>
            <a:ln>
              <a:noFill/>
            </a:ln>
            <a:effectLst/>
            <a:extLst>
              <a:ext uri="{91240B29-F687-4F45-9708-019B960494DF}">
                <a14:hiddenLine xmlns:a14="http://schemas.microsoft.com/office/drawing/2010/main">
                  <a:noFill/>
                </a14:hiddenLine>
              </a:ext>
            </a:extLst>
          </c:spPr>
          <c:invertIfNegative val="0"/>
          <c:cat>
            <c:numRef>
              <c:f>Monte_Carlo_Analysis!$AE$3:$AE$22</c:f>
              <c:numCache>
                <c:formatCode>0.0%</c:formatCode>
                <c:ptCount val="20"/>
                <c:pt idx="0">
                  <c:v>0.20306564992688825</c:v>
                </c:pt>
                <c:pt idx="1">
                  <c:v>0.20871783119462195</c:v>
                </c:pt>
                <c:pt idx="2">
                  <c:v>0.21437001246235565</c:v>
                </c:pt>
                <c:pt idx="3">
                  <c:v>0.22002219373008933</c:v>
                </c:pt>
                <c:pt idx="4">
                  <c:v>0.22567437499782303</c:v>
                </c:pt>
                <c:pt idx="5">
                  <c:v>0.23132655626555673</c:v>
                </c:pt>
                <c:pt idx="6">
                  <c:v>0.23697873753329043</c:v>
                </c:pt>
                <c:pt idx="7">
                  <c:v>0.24263091880102414</c:v>
                </c:pt>
                <c:pt idx="8">
                  <c:v>0.24828310006875781</c:v>
                </c:pt>
                <c:pt idx="9">
                  <c:v>0.25393528133649151</c:v>
                </c:pt>
                <c:pt idx="10">
                  <c:v>0.25958746260422522</c:v>
                </c:pt>
                <c:pt idx="11">
                  <c:v>0.26523964387195892</c:v>
                </c:pt>
                <c:pt idx="12">
                  <c:v>0.27089182513969262</c:v>
                </c:pt>
                <c:pt idx="13">
                  <c:v>0.27654400640742632</c:v>
                </c:pt>
                <c:pt idx="14">
                  <c:v>0.28219618767516003</c:v>
                </c:pt>
                <c:pt idx="15">
                  <c:v>0.28784836894289373</c:v>
                </c:pt>
                <c:pt idx="16">
                  <c:v>0.29350055021062738</c:v>
                </c:pt>
                <c:pt idx="17">
                  <c:v>0.29915273147836108</c:v>
                </c:pt>
                <c:pt idx="18">
                  <c:v>0.30480491274609478</c:v>
                </c:pt>
                <c:pt idx="19">
                  <c:v>0.31045709401382848</c:v>
                </c:pt>
              </c:numCache>
            </c:numRef>
          </c:cat>
          <c:val>
            <c:numRef>
              <c:f>Monte_Carlo_Analysis!$AF$3:$AF$22</c:f>
              <c:numCache>
                <c:formatCode>General</c:formatCode>
                <c:ptCount val="20"/>
                <c:pt idx="0">
                  <c:v>12</c:v>
                </c:pt>
                <c:pt idx="1">
                  <c:v>50</c:v>
                </c:pt>
                <c:pt idx="2">
                  <c:v>105</c:v>
                </c:pt>
                <c:pt idx="3">
                  <c:v>190</c:v>
                </c:pt>
                <c:pt idx="4">
                  <c:v>329</c:v>
                </c:pt>
                <c:pt idx="5">
                  <c:v>520</c:v>
                </c:pt>
                <c:pt idx="6">
                  <c:v>662</c:v>
                </c:pt>
                <c:pt idx="7">
                  <c:v>869</c:v>
                </c:pt>
                <c:pt idx="8">
                  <c:v>927</c:v>
                </c:pt>
                <c:pt idx="9">
                  <c:v>1042</c:v>
                </c:pt>
                <c:pt idx="10">
                  <c:v>1082</c:v>
                </c:pt>
                <c:pt idx="11">
                  <c:v>986</c:v>
                </c:pt>
                <c:pt idx="12">
                  <c:v>943</c:v>
                </c:pt>
                <c:pt idx="13">
                  <c:v>755</c:v>
                </c:pt>
                <c:pt idx="14">
                  <c:v>615</c:v>
                </c:pt>
                <c:pt idx="15">
                  <c:v>421</c:v>
                </c:pt>
                <c:pt idx="16">
                  <c:v>271</c:v>
                </c:pt>
                <c:pt idx="17">
                  <c:v>158</c:v>
                </c:pt>
                <c:pt idx="18">
                  <c:v>50</c:v>
                </c:pt>
                <c:pt idx="19">
                  <c:v>13</c:v>
                </c:pt>
              </c:numCache>
            </c:numRef>
          </c:val>
          <c:extLst>
            <c:ext xmlns:c16="http://schemas.microsoft.com/office/drawing/2014/chart" uri="{C3380CC4-5D6E-409C-BE32-E72D297353CC}">
              <c16:uniqueId val="{00000000-ED26-4736-BD9D-1AA29875C0CD}"/>
            </c:ext>
          </c:extLst>
        </c:ser>
        <c:dLbls>
          <c:showLegendKey val="0"/>
          <c:showVal val="0"/>
          <c:showCatName val="0"/>
          <c:showSerName val="0"/>
          <c:showPercent val="0"/>
          <c:showBubbleSize val="0"/>
        </c:dLbls>
        <c:gapWidth val="150"/>
        <c:axId val="1092467344"/>
        <c:axId val="1092464944"/>
      </c:barChart>
      <c:catAx>
        <c:axId val="1092467344"/>
        <c:scaling>
          <c:orientation val="minMax"/>
        </c:scaling>
        <c:delete val="0"/>
        <c:axPos val="b"/>
        <c:title>
          <c:tx>
            <c:rich>
              <a:bodyPr/>
              <a:lstStyle/>
              <a:p>
                <a:pPr>
                  <a:defRPr sz="900"/>
                </a:pPr>
                <a:r>
                  <a:rPr lang="en-US"/>
                  <a:t>Probabilidad</a:t>
                </a:r>
              </a:p>
            </c:rich>
          </c:tx>
          <c:overlay val="0"/>
        </c:title>
        <c:numFmt formatCode="0.0%" sourceLinked="0"/>
        <c:majorTickMark val="out"/>
        <c:minorTickMark val="none"/>
        <c:tickLblPos val="nextTo"/>
        <c:txPr>
          <a:bodyPr/>
          <a:lstStyle/>
          <a:p>
            <a:pPr>
              <a:defRPr sz="800"/>
            </a:pPr>
            <a:endParaRPr lang="en-US"/>
          </a:p>
        </c:txPr>
        <c:crossAx val="1092464944"/>
        <c:crosses val="autoZero"/>
        <c:auto val="1"/>
        <c:lblAlgn val="ctr"/>
        <c:lblOffset val="100"/>
        <c:tickLblSkip val="4"/>
        <c:noMultiLvlLbl val="0"/>
      </c:catAx>
      <c:valAx>
        <c:axId val="1092464944"/>
        <c:scaling>
          <c:orientation val="minMax"/>
        </c:scaling>
        <c:delete val="0"/>
        <c:axPos val="l"/>
        <c:majorGridlines>
          <c:spPr>
            <a:ln w="6350">
              <a:solidFill>
                <a:srgbClr val="DCDCDC"/>
              </a:solidFill>
            </a:ln>
          </c:spPr>
        </c:majorGridlines>
        <c:title>
          <c:tx>
            <c:rich>
              <a:bodyPr/>
              <a:lstStyle/>
              <a:p>
                <a:pPr>
                  <a:defRPr sz="900"/>
                </a:pPr>
                <a:r>
                  <a:rPr lang="en-US"/>
                  <a:t>Frecuencia</a:t>
                </a:r>
              </a:p>
            </c:rich>
          </c:tx>
          <c:overlay val="0"/>
        </c:title>
        <c:numFmt formatCode="#,##0" sourceLinked="0"/>
        <c:majorTickMark val="out"/>
        <c:minorTickMark val="none"/>
        <c:tickLblPos val="nextTo"/>
        <c:txPr>
          <a:bodyPr/>
          <a:lstStyle/>
          <a:p>
            <a:pPr>
              <a:defRPr sz="800"/>
            </a:pPr>
            <a:endParaRPr lang="en-US"/>
          </a:p>
        </c:txPr>
        <c:crossAx val="1092467344"/>
        <c:crosses val="autoZero"/>
        <c:crossBetween val="between"/>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1"/>
            </a:pPr>
            <a:r>
              <a:rPr lang="en-US"/>
              <a:t>Distribución - Singularidad</a:t>
            </a:r>
          </a:p>
        </c:rich>
      </c:tx>
      <c:overlay val="0"/>
    </c:title>
    <c:autoTitleDeleted val="0"/>
    <c:plotArea>
      <c:layout/>
      <c:barChart>
        <c:barDir val="col"/>
        <c:grouping val="clustered"/>
        <c:varyColors val="0"/>
        <c:ser>
          <c:idx val="0"/>
          <c:order val="0"/>
          <c:spPr>
            <a:solidFill>
              <a:srgbClr val="5050C8"/>
            </a:solidFill>
            <a:ln>
              <a:noFill/>
            </a:ln>
            <a:effectLst/>
            <a:extLst>
              <a:ext uri="{91240B29-F687-4F45-9708-019B960494DF}">
                <a14:hiddenLine xmlns:a14="http://schemas.microsoft.com/office/drawing/2010/main">
                  <a:noFill/>
                </a14:hiddenLine>
              </a:ext>
            </a:extLst>
          </c:spPr>
          <c:invertIfNegative val="0"/>
          <c:cat>
            <c:numRef>
              <c:f>Monte_Carlo_Analysis!$AG$3:$AG$22</c:f>
              <c:numCache>
                <c:formatCode>0.0%</c:formatCode>
                <c:ptCount val="20"/>
                <c:pt idx="0">
                  <c:v>0.2275641224194381</c:v>
                </c:pt>
                <c:pt idx="1">
                  <c:v>0.23126251607707932</c:v>
                </c:pt>
                <c:pt idx="2">
                  <c:v>0.2349609097347205</c:v>
                </c:pt>
                <c:pt idx="3">
                  <c:v>0.23865930339236169</c:v>
                </c:pt>
                <c:pt idx="4">
                  <c:v>0.2423576970500029</c:v>
                </c:pt>
                <c:pt idx="5">
                  <c:v>0.24605609070764409</c:v>
                </c:pt>
                <c:pt idx="6">
                  <c:v>0.2497544843652853</c:v>
                </c:pt>
                <c:pt idx="7">
                  <c:v>0.25345287802292649</c:v>
                </c:pt>
                <c:pt idx="8">
                  <c:v>0.25715127168056767</c:v>
                </c:pt>
                <c:pt idx="9">
                  <c:v>0.26084966533820886</c:v>
                </c:pt>
                <c:pt idx="10">
                  <c:v>0.2645480589958501</c:v>
                </c:pt>
                <c:pt idx="11">
                  <c:v>0.26824645265349129</c:v>
                </c:pt>
                <c:pt idx="12">
                  <c:v>0.27194484631113247</c:v>
                </c:pt>
                <c:pt idx="13">
                  <c:v>0.27564323996877366</c:v>
                </c:pt>
                <c:pt idx="14">
                  <c:v>0.27934163362641484</c:v>
                </c:pt>
                <c:pt idx="15">
                  <c:v>0.28304002728405608</c:v>
                </c:pt>
                <c:pt idx="16">
                  <c:v>0.28673842094169727</c:v>
                </c:pt>
                <c:pt idx="17">
                  <c:v>0.29043681459933846</c:v>
                </c:pt>
                <c:pt idx="18">
                  <c:v>0.29413520825697964</c:v>
                </c:pt>
                <c:pt idx="19">
                  <c:v>0.29783360191462083</c:v>
                </c:pt>
              </c:numCache>
            </c:numRef>
          </c:cat>
          <c:val>
            <c:numRef>
              <c:f>Monte_Carlo_Analysis!$AH$3:$AH$22</c:f>
              <c:numCache>
                <c:formatCode>General</c:formatCode>
                <c:ptCount val="20"/>
                <c:pt idx="0">
                  <c:v>4</c:v>
                </c:pt>
                <c:pt idx="1">
                  <c:v>9</c:v>
                </c:pt>
                <c:pt idx="2">
                  <c:v>33</c:v>
                </c:pt>
                <c:pt idx="3">
                  <c:v>106</c:v>
                </c:pt>
                <c:pt idx="4">
                  <c:v>218</c:v>
                </c:pt>
                <c:pt idx="5">
                  <c:v>389</c:v>
                </c:pt>
                <c:pt idx="6">
                  <c:v>621</c:v>
                </c:pt>
                <c:pt idx="7">
                  <c:v>903</c:v>
                </c:pt>
                <c:pt idx="8">
                  <c:v>1200</c:v>
                </c:pt>
                <c:pt idx="9">
                  <c:v>1223</c:v>
                </c:pt>
                <c:pt idx="10">
                  <c:v>1266</c:v>
                </c:pt>
                <c:pt idx="11">
                  <c:v>1217</c:v>
                </c:pt>
                <c:pt idx="12">
                  <c:v>1015</c:v>
                </c:pt>
                <c:pt idx="13">
                  <c:v>685</c:v>
                </c:pt>
                <c:pt idx="14">
                  <c:v>520</c:v>
                </c:pt>
                <c:pt idx="15">
                  <c:v>309</c:v>
                </c:pt>
                <c:pt idx="16">
                  <c:v>169</c:v>
                </c:pt>
                <c:pt idx="17">
                  <c:v>71</c:v>
                </c:pt>
                <c:pt idx="18">
                  <c:v>31</c:v>
                </c:pt>
                <c:pt idx="19">
                  <c:v>11</c:v>
                </c:pt>
              </c:numCache>
            </c:numRef>
          </c:val>
          <c:extLst>
            <c:ext xmlns:c16="http://schemas.microsoft.com/office/drawing/2014/chart" uri="{C3380CC4-5D6E-409C-BE32-E72D297353CC}">
              <c16:uniqueId val="{00000000-5326-4BD8-BDC2-8D2A301816D2}"/>
            </c:ext>
          </c:extLst>
        </c:ser>
        <c:dLbls>
          <c:showLegendKey val="0"/>
          <c:showVal val="0"/>
          <c:showCatName val="0"/>
          <c:showSerName val="0"/>
          <c:showPercent val="0"/>
          <c:showBubbleSize val="0"/>
        </c:dLbls>
        <c:gapWidth val="150"/>
        <c:axId val="1198087152"/>
        <c:axId val="1090093168"/>
      </c:barChart>
      <c:catAx>
        <c:axId val="1198087152"/>
        <c:scaling>
          <c:orientation val="minMax"/>
        </c:scaling>
        <c:delete val="0"/>
        <c:axPos val="b"/>
        <c:title>
          <c:tx>
            <c:rich>
              <a:bodyPr/>
              <a:lstStyle/>
              <a:p>
                <a:pPr>
                  <a:defRPr sz="900"/>
                </a:pPr>
                <a:r>
                  <a:rPr lang="en-US"/>
                  <a:t>Probabilidad</a:t>
                </a:r>
              </a:p>
            </c:rich>
          </c:tx>
          <c:overlay val="0"/>
        </c:title>
        <c:numFmt formatCode="0.0%" sourceLinked="0"/>
        <c:majorTickMark val="out"/>
        <c:minorTickMark val="none"/>
        <c:tickLblPos val="nextTo"/>
        <c:txPr>
          <a:bodyPr/>
          <a:lstStyle/>
          <a:p>
            <a:pPr>
              <a:defRPr sz="800"/>
            </a:pPr>
            <a:endParaRPr lang="en-US"/>
          </a:p>
        </c:txPr>
        <c:crossAx val="1090093168"/>
        <c:crosses val="autoZero"/>
        <c:auto val="1"/>
        <c:lblAlgn val="ctr"/>
        <c:lblOffset val="100"/>
        <c:tickLblSkip val="4"/>
        <c:noMultiLvlLbl val="0"/>
      </c:catAx>
      <c:valAx>
        <c:axId val="1090093168"/>
        <c:scaling>
          <c:orientation val="minMax"/>
        </c:scaling>
        <c:delete val="0"/>
        <c:axPos val="l"/>
        <c:majorGridlines>
          <c:spPr>
            <a:ln w="6350">
              <a:solidFill>
                <a:srgbClr val="DCDCDC"/>
              </a:solidFill>
            </a:ln>
          </c:spPr>
        </c:majorGridlines>
        <c:title>
          <c:tx>
            <c:rich>
              <a:bodyPr/>
              <a:lstStyle/>
              <a:p>
                <a:pPr>
                  <a:defRPr sz="900"/>
                </a:pPr>
                <a:r>
                  <a:rPr lang="en-US"/>
                  <a:t>Frecuencia</a:t>
                </a:r>
              </a:p>
            </c:rich>
          </c:tx>
          <c:overlay val="0"/>
        </c:title>
        <c:numFmt formatCode="#,##0" sourceLinked="0"/>
        <c:majorTickMark val="out"/>
        <c:minorTickMark val="none"/>
        <c:tickLblPos val="nextTo"/>
        <c:txPr>
          <a:bodyPr/>
          <a:lstStyle/>
          <a:p>
            <a:pPr>
              <a:defRPr sz="800"/>
            </a:pPr>
            <a:endParaRPr lang="en-US"/>
          </a:p>
        </c:txPr>
        <c:crossAx val="1198087152"/>
        <c:crosses val="autoZero"/>
        <c:crossBetween val="between"/>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10"/>
  <c:chart>
    <c:title>
      <c:tx>
        <c:rich>
          <a:bodyPr/>
          <a:lstStyle/>
          <a:p>
            <a:pPr>
              <a:defRPr/>
            </a:pPr>
            <a:r>
              <a:rPr lang="en-US"/>
              <a:t>Probabilidades Base vs Ajustadas</a:t>
            </a:r>
          </a:p>
        </c:rich>
      </c:tx>
      <c:overlay val="1"/>
    </c:title>
    <c:autoTitleDeleted val="0"/>
    <c:plotArea>
      <c:layout/>
      <c:barChart>
        <c:barDir val="col"/>
        <c:grouping val="clustered"/>
        <c:varyColors val="1"/>
        <c:ser>
          <c:idx val="0"/>
          <c:order val="0"/>
          <c:tx>
            <c:strRef>
              <c:f>'Ajustes Bayesianos'!$C$83</c:f>
              <c:strCache>
                <c:ptCount val="1"/>
                <c:pt idx="0">
                  <c:v>P(Base)</c:v>
                </c:pt>
              </c:strCache>
            </c:strRef>
          </c:tx>
          <c:spPr>
            <a:ln>
              <a:prstDash val="solid"/>
            </a:ln>
          </c:spPr>
          <c:invertIfNegative val="1"/>
          <c:cat>
            <c:strRef>
              <c:f>'Ajustes Bayesianos'!$B$84:$B$87</c:f>
              <c:strCache>
                <c:ptCount val="4"/>
                <c:pt idx="0">
                  <c:v>Declive</c:v>
                </c:pt>
                <c:pt idx="1">
                  <c:v>Renovación</c:v>
                </c:pt>
                <c:pt idx="2">
                  <c:v>Fragmentación</c:v>
                </c:pt>
                <c:pt idx="3">
                  <c:v>Singularidad</c:v>
                </c:pt>
              </c:strCache>
            </c:strRef>
          </c:cat>
          <c:val>
            <c:numRef>
              <c:f>'Ajustes Bayesianos'!$C$84:$C$87</c:f>
              <c:numCache>
                <c:formatCode>0.0%</c:formatCode>
                <c:ptCount val="4"/>
                <c:pt idx="0">
                  <c:v>0.27955960907591187</c:v>
                </c:pt>
                <c:pt idx="1">
                  <c:v>0.18713941235066781</c:v>
                </c:pt>
                <c:pt idx="2">
                  <c:v>0.27342825729106157</c:v>
                </c:pt>
                <c:pt idx="3">
                  <c:v>0.25987272128235872</c:v>
                </c:pt>
              </c:numCache>
            </c:numRef>
          </c:val>
          <c:extLst>
            <c:ext xmlns:c16="http://schemas.microsoft.com/office/drawing/2014/chart" uri="{C3380CC4-5D6E-409C-BE32-E72D297353CC}">
              <c16:uniqueId val="{00000000-187B-4CF5-86B5-6EC1B3C32B97}"/>
            </c:ext>
          </c:extLst>
        </c:ser>
        <c:ser>
          <c:idx val="1"/>
          <c:order val="1"/>
          <c:tx>
            <c:strRef>
              <c:f>'Ajustes Bayesianos'!$D$83</c:f>
              <c:strCache>
                <c:ptCount val="1"/>
                <c:pt idx="0">
                  <c:v>P(Ajustada)</c:v>
                </c:pt>
              </c:strCache>
            </c:strRef>
          </c:tx>
          <c:spPr>
            <a:ln>
              <a:prstDash val="solid"/>
            </a:ln>
          </c:spPr>
          <c:invertIfNegative val="1"/>
          <c:cat>
            <c:strRef>
              <c:f>'Ajustes Bayesianos'!$B$84:$B$87</c:f>
              <c:strCache>
                <c:ptCount val="4"/>
                <c:pt idx="0">
                  <c:v>Declive</c:v>
                </c:pt>
                <c:pt idx="1">
                  <c:v>Renovación</c:v>
                </c:pt>
                <c:pt idx="2">
                  <c:v>Fragmentación</c:v>
                </c:pt>
                <c:pt idx="3">
                  <c:v>Singularidad</c:v>
                </c:pt>
              </c:strCache>
            </c:strRef>
          </c:cat>
          <c:val>
            <c:numRef>
              <c:f>'Ajustes Bayesianos'!$D$84:$D$87</c:f>
              <c:numCache>
                <c:formatCode>0.0%</c:formatCode>
                <c:ptCount val="4"/>
                <c:pt idx="0">
                  <c:v>0.27955960907591187</c:v>
                </c:pt>
                <c:pt idx="1">
                  <c:v>0.18713941235066781</c:v>
                </c:pt>
                <c:pt idx="2">
                  <c:v>0.27342825729106157</c:v>
                </c:pt>
                <c:pt idx="3">
                  <c:v>0.25987272128235872</c:v>
                </c:pt>
              </c:numCache>
            </c:numRef>
          </c:val>
          <c:extLst>
            <c:ext xmlns:c16="http://schemas.microsoft.com/office/drawing/2014/chart" uri="{C3380CC4-5D6E-409C-BE32-E72D297353CC}">
              <c16:uniqueId val="{00000001-187B-4CF5-86B5-6EC1B3C32B97}"/>
            </c:ext>
          </c:extLst>
        </c:ser>
        <c:dLbls>
          <c:showLegendKey val="0"/>
          <c:showVal val="0"/>
          <c:showCatName val="0"/>
          <c:showSerName val="0"/>
          <c:showPercent val="0"/>
          <c:showBubbleSize val="0"/>
        </c:dLbls>
        <c:gapWidth val="150"/>
        <c:axId val="10"/>
        <c:axId val="100"/>
      </c:barChart>
      <c:catAx>
        <c:axId val="10"/>
        <c:scaling>
          <c:orientation val="minMax"/>
        </c:scaling>
        <c:delete val="1"/>
        <c:axPos val="b"/>
        <c:title>
          <c:tx>
            <c:rich>
              <a:bodyPr/>
              <a:lstStyle/>
              <a:p>
                <a:pPr>
                  <a:defRPr/>
                </a:pPr>
                <a:r>
                  <a:rPr lang="en-US"/>
                  <a:t>Escenario</a:t>
                </a:r>
              </a:p>
            </c:rich>
          </c:tx>
          <c:layout>
            <c:manualLayout>
              <c:xMode val="edge"/>
              <c:yMode val="edge"/>
              <c:x val="0.44617185185185188"/>
              <c:y val="0.94635999999999998"/>
            </c:manualLayout>
          </c:layout>
          <c:overlay val="1"/>
        </c:title>
        <c:numFmt formatCode="General" sourceLinked="1"/>
        <c:majorTickMark val="none"/>
        <c:minorTickMark val="none"/>
        <c:tickLblPos val="nextTo"/>
        <c:crossAx val="100"/>
        <c:crosses val="autoZero"/>
        <c:auto val="1"/>
        <c:lblAlgn val="ctr"/>
        <c:lblOffset val="100"/>
        <c:noMultiLvlLbl val="1"/>
      </c:catAx>
      <c:valAx>
        <c:axId val="100"/>
        <c:scaling>
          <c:orientation val="minMax"/>
        </c:scaling>
        <c:delete val="1"/>
        <c:axPos val="l"/>
        <c:majorGridlines/>
        <c:title>
          <c:tx>
            <c:rich>
              <a:bodyPr/>
              <a:lstStyle/>
              <a:p>
                <a:pPr>
                  <a:defRPr/>
                </a:pPr>
                <a:r>
                  <a:rPr lang="en-US"/>
                  <a:t>Probabilidad</a:t>
                </a:r>
              </a:p>
            </c:rich>
          </c:tx>
          <c:overlay val="1"/>
        </c:title>
        <c:numFmt formatCode="0.0%" sourceLinked="1"/>
        <c:majorTickMark val="none"/>
        <c:minorTickMark val="none"/>
        <c:tickLblPos val="nextTo"/>
        <c:crossAx val="10"/>
        <c:crosses val="autoZero"/>
        <c:crossBetween val="between"/>
      </c:valAx>
    </c:plotArea>
    <c:legend>
      <c:legendPos val="r"/>
      <c:layout>
        <c:manualLayout>
          <c:xMode val="edge"/>
          <c:yMode val="edge"/>
          <c:x val="0.83598259259259255"/>
          <c:y val="1.6401944444444459E-2"/>
          <c:w val="0.14990629629629629"/>
          <c:h val="0.127585"/>
        </c:manualLayout>
      </c:layout>
      <c:overlay val="1"/>
    </c:legend>
    <c:plotVisOnly val="1"/>
    <c:dispBlanksAs val="gap"/>
    <c:showDLblsOverMax val="1"/>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0</xdr:col>
      <xdr:colOff>0</xdr:colOff>
      <xdr:row>69</xdr:row>
      <xdr:rowOff>0</xdr:rowOff>
    </xdr:from>
    <xdr:to>
      <xdr:col>2</xdr:col>
      <xdr:colOff>688975</xdr:colOff>
      <xdr:row>81</xdr:row>
      <xdr:rowOff>0</xdr:rowOff>
    </xdr:to>
    <xdr:graphicFrame macro="">
      <xdr:nvGraphicFramePr>
        <xdr:cNvPr id="43" name="Chart 42">
          <a:extLst>
            <a:ext uri="{FF2B5EF4-FFF2-40B4-BE49-F238E27FC236}">
              <a16:creationId xmlns:a16="http://schemas.microsoft.com/office/drawing/2014/main" id="{B1581CFC-05AD-0AD4-68C8-5A34AA70BF7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0</xdr:colOff>
      <xdr:row>69</xdr:row>
      <xdr:rowOff>0</xdr:rowOff>
    </xdr:from>
    <xdr:to>
      <xdr:col>11</xdr:col>
      <xdr:colOff>698500</xdr:colOff>
      <xdr:row>81</xdr:row>
      <xdr:rowOff>0</xdr:rowOff>
    </xdr:to>
    <xdr:graphicFrame macro="">
      <xdr:nvGraphicFramePr>
        <xdr:cNvPr id="44" name="Chart 43">
          <a:extLst>
            <a:ext uri="{FF2B5EF4-FFF2-40B4-BE49-F238E27FC236}">
              <a16:creationId xmlns:a16="http://schemas.microsoft.com/office/drawing/2014/main" id="{27F2DCB6-CDA6-2366-2841-C225E4A1C93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94</xdr:row>
      <xdr:rowOff>0</xdr:rowOff>
    </xdr:from>
    <xdr:to>
      <xdr:col>2</xdr:col>
      <xdr:colOff>688975</xdr:colOff>
      <xdr:row>106</xdr:row>
      <xdr:rowOff>0</xdr:rowOff>
    </xdr:to>
    <xdr:graphicFrame macro="">
      <xdr:nvGraphicFramePr>
        <xdr:cNvPr id="45" name="Chart 44">
          <a:extLst>
            <a:ext uri="{FF2B5EF4-FFF2-40B4-BE49-F238E27FC236}">
              <a16:creationId xmlns:a16="http://schemas.microsoft.com/office/drawing/2014/main" id="{ADE4AA76-BA28-317D-56A7-19AF8AC1E93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0</xdr:colOff>
      <xdr:row>94</xdr:row>
      <xdr:rowOff>0</xdr:rowOff>
    </xdr:from>
    <xdr:to>
      <xdr:col>11</xdr:col>
      <xdr:colOff>698500</xdr:colOff>
      <xdr:row>106</xdr:row>
      <xdr:rowOff>0</xdr:rowOff>
    </xdr:to>
    <xdr:graphicFrame macro="">
      <xdr:nvGraphicFramePr>
        <xdr:cNvPr id="46" name="Chart 45">
          <a:extLst>
            <a:ext uri="{FF2B5EF4-FFF2-40B4-BE49-F238E27FC236}">
              <a16:creationId xmlns:a16="http://schemas.microsoft.com/office/drawing/2014/main" id="{56BE934F-2EAB-E448-209F-6E0F74BCFB6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oneCellAnchor>
    <xdr:from>
      <xdr:col>1</xdr:col>
      <xdr:colOff>1543050</xdr:colOff>
      <xdr:row>91</xdr:row>
      <xdr:rowOff>95250</xdr:rowOff>
    </xdr:from>
    <xdr:ext cx="5400000" cy="3600000"/>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xdr:wsDr>
</file>

<file path=xl/theme/theme1.xml><?xml version="1.0" encoding="utf-8"?>
<a:theme xmlns:a="http://schemas.openxmlformats.org/drawingml/2006/main"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majorFont>
      <a:minorFont>
        <a:latin typeface="Calibri"/>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a:gradFill>
        <a:gradFill>
          <a:gsLst>
            <a:gs pos="0">
              <a:schemeClr val="phClr">
                <a:shade val="51000"/>
              </a:schemeClr>
            </a:gs>
            <a:gs pos="80000">
              <a:schemeClr val="phClr">
                <a:shade val="93000"/>
              </a:schemeClr>
            </a:gs>
            <a:gs pos="100000">
              <a:schemeClr val="phClr">
                <a:shade val="94000"/>
              </a:schemeClr>
            </a:gs>
          </a:gsLst>
          <a:lin ang="16200000" scaled="0"/>
          <a:tileRect/>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a:gradFill>
        <a:gradFill>
          <a:gsLst>
            <a:gs pos="0">
              <a:schemeClr val="phClr">
                <a:tint val="80000"/>
              </a:schemeClr>
            </a:gs>
            <a:gs pos="100000">
              <a:schemeClr val="phClr">
                <a:shade val="30000"/>
              </a:schemeClr>
            </a:gs>
          </a:gsLst>
          <a:path path="circle">
            <a:fillToRect l="50000" t="50000" r="50000" b="50000"/>
          </a:path>
          <a:tileRect/>
        </a:gradFill>
      </a:bgFillStyleLst>
    </a:fmtScheme>
  </a:themeElements>
  <a:objectDefaults/>
  <a:extraClrSchemeLst/>
</a:theme>
</file>

<file path=xl/worksheets/_rels/sheet2.xml.rels><?xml version="1.0" encoding="UTF-8" standalone="yes"?>
<Relationships xmlns="http://schemas.openxmlformats.org/package/2006/relationships"><Relationship Id="rId13" Type="http://schemas.openxmlformats.org/officeDocument/2006/relationships/hyperlink" Target="https://ballotpedia.org/Ballotpedia%27s_Polling_Index%3A_Congressional_approval_rating" TargetMode="External"/><Relationship Id="rId18" Type="http://schemas.openxmlformats.org/officeDocument/2006/relationships/hyperlink" Target="https://fred.stlouisfed.org/series/SIPOVGINIUSA" TargetMode="External"/><Relationship Id="rId26" Type="http://schemas.openxmlformats.org/officeDocument/2006/relationships/hyperlink" Target="https://euaa.europa.eu/news-events/eu-received-over-1-million-asylum-applications-2023" TargetMode="External"/><Relationship Id="rId39" Type="http://schemas.openxmlformats.org/officeDocument/2006/relationships/hyperlink" Target="https://files.emdat.be/reports/2024_EMDAT_report.pdf" TargetMode="External"/><Relationship Id="rId21" Type="http://schemas.openxmlformats.org/officeDocument/2006/relationships/hyperlink" Target="https://ec.europa.eu/eurostat/web/products-euro-indicators/w/2-21072025-ap" TargetMode="External"/><Relationship Id="rId34" Type="http://schemas.openxmlformats.org/officeDocument/2006/relationships/hyperlink" Target="https://indianexpress.com/article/business/india-oil-natural-gas-reliance-energy-demand-domestic-production-sluggish-9954570/" TargetMode="External"/><Relationship Id="rId42" Type="http://schemas.openxmlformats.org/officeDocument/2006/relationships/hyperlink" Target="https://tradingeconomics.com/commodity/baltic" TargetMode="External"/><Relationship Id="rId47" Type="http://schemas.openxmlformats.org/officeDocument/2006/relationships/hyperlink" Target="https://hai.stanford.edu/ai-index/2025-ai-index-report" TargetMode="External"/><Relationship Id="rId50" Type="http://schemas.openxmlformats.org/officeDocument/2006/relationships/printerSettings" Target="../printerSettings/printerSettings1.bin"/><Relationship Id="rId7" Type="http://schemas.openxmlformats.org/officeDocument/2006/relationships/hyperlink" Target="https://www.wipo.int/web-publications/world-intellectual-property-indicators-2024-highlights/en/patents-highlights.html" TargetMode="External"/><Relationship Id="rId2" Type="http://schemas.openxmlformats.org/officeDocument/2006/relationships/hyperlink" Target="https://www.stats.gov.cn/english/PressRelease/202507/t20250715_1960408.html" TargetMode="External"/><Relationship Id="rId16" Type="http://schemas.openxmlformats.org/officeDocument/2006/relationships/hyperlink" Target="https://data.worldbank.org/indicator/NE.RSB.GNFS.ZS" TargetMode="External"/><Relationship Id="rId29" Type="http://schemas.openxmlformats.org/officeDocument/2006/relationships/hyperlink" Target="https://www.pib.gov.in/PressReleasePage.aspx?PRID=2131716" TargetMode="External"/><Relationship Id="rId11" Type="http://schemas.openxmlformats.org/officeDocument/2006/relationships/hyperlink" Target="https://fred.stlouisfed.org/series/GFDEGDQ188S" TargetMode="External"/><Relationship Id="rId24" Type="http://schemas.openxmlformats.org/officeDocument/2006/relationships/hyperlink" Target="https://ec.europa.eu/eurostat/statistics-explained/index.php/Renewable_energy_statistics" TargetMode="External"/><Relationship Id="rId32" Type="http://schemas.openxmlformats.org/officeDocument/2006/relationships/hyperlink" Target="https://www.imf.org/external/datamapper/GGXWDG_NGDP@WEO/IND" TargetMode="External"/><Relationship Id="rId37" Type="http://schemas.openxmlformats.org/officeDocument/2006/relationships/hyperlink" Target="https://www.bis.org/statistics/rppb2504.htm" TargetMode="External"/><Relationship Id="rId40" Type="http://schemas.openxmlformats.org/officeDocument/2006/relationships/hyperlink" Target="https://data.giss.nasa.gov/gistemp/" TargetMode="External"/><Relationship Id="rId45" Type="http://schemas.openxmlformats.org/officeDocument/2006/relationships/hyperlink" Target="https://hai.stanford.edu/ai-index/2025-ai-index-report/economy" TargetMode="External"/><Relationship Id="rId5" Type="http://schemas.openxmlformats.org/officeDocument/2006/relationships/hyperlink" Target="https://www.reuters.com/markets/asia/china-youth-jobless-rate-rises-178-july-2025-08-19/" TargetMode="External"/><Relationship Id="rId15" Type="http://schemas.openxmlformats.org/officeDocument/2006/relationships/hyperlink" Target="https://data.worldbank.org/indicator/MS.MIL.XPND.GD.ZS?locations=US" TargetMode="External"/><Relationship Id="rId23" Type="http://schemas.openxmlformats.org/officeDocument/2006/relationships/hyperlink" Target="https://eda.europa.eu/docs/default-source/brochures/2025-eda_defencedata_web.pdf" TargetMode="External"/><Relationship Id="rId28" Type="http://schemas.openxmlformats.org/officeDocument/2006/relationships/hyperlink" Target="https://tradingeconomics.com/india/manufacturing-pmi" TargetMode="External"/><Relationship Id="rId36" Type="http://schemas.openxmlformats.org/officeDocument/2006/relationships/hyperlink" Target="https://www.wto.org/english/res_e/booksp_e/trade_outlook25_e.pdf" TargetMode="External"/><Relationship Id="rId49" Type="http://schemas.openxmlformats.org/officeDocument/2006/relationships/hyperlink" Target="https://www.sipri.org/publications/2025/sipri-fact-sheets/trends-world-military-expenditure-2024" TargetMode="External"/><Relationship Id="rId10" Type="http://schemas.openxmlformats.org/officeDocument/2006/relationships/hyperlink" Target="https://fred.stlouisfed.org/series/A191RO1Q156NBEA" TargetMode="External"/><Relationship Id="rId19" Type="http://schemas.openxmlformats.org/officeDocument/2006/relationships/hyperlink" Target="https://www.reuters.com/business/aerospace-defense/world-military-spending-hits-27-trillion-record-2024-surge-2025-04-27/" TargetMode="External"/><Relationship Id="rId31" Type="http://schemas.openxmlformats.org/officeDocument/2006/relationships/hyperlink" Target="https://nasscom.in/knowledge-center/publications/technology-sector-india-strategic-review-2025" TargetMode="External"/><Relationship Id="rId44" Type="http://schemas.openxmlformats.org/officeDocument/2006/relationships/hyperlink" Target="https://hai.stanford.edu/ai-index/2025-ai-index-report/technical-performance" TargetMode="External"/><Relationship Id="rId4" Type="http://schemas.openxmlformats.org/officeDocument/2006/relationships/hyperlink" Target="https://www.stats.gov.cn/english/PressRelease/202502/t20250228_1958822.html" TargetMode="External"/><Relationship Id="rId9" Type="http://schemas.openxmlformats.org/officeDocument/2006/relationships/hyperlink" Target="https://www.pmi.spglobal.com/Public/Release/PressReleases" TargetMode="External"/><Relationship Id="rId14" Type="http://schemas.openxmlformats.org/officeDocument/2006/relationships/hyperlink" Target="https://news.gallup.com/poll/694370/trump-ratings-mood-stay-tepid-august.aspx" TargetMode="External"/><Relationship Id="rId22" Type="http://schemas.openxmlformats.org/officeDocument/2006/relationships/hyperlink" Target="https://data.ecb.europa.eu/data/datasets/CISS" TargetMode="External"/><Relationship Id="rId27" Type="http://schemas.openxmlformats.org/officeDocument/2006/relationships/hyperlink" Target="https://www.mospi.gov.in/sites/default/files/press_release/GDP_PR_Q1_2025-26_29082025.pdf" TargetMode="External"/><Relationship Id="rId30" Type="http://schemas.openxmlformats.org/officeDocument/2006/relationships/hyperlink" Target="https://www.pib.gov.in/PressReleasePage.aspx?PRID=2144849" TargetMode="External"/><Relationship Id="rId35" Type="http://schemas.openxmlformats.org/officeDocument/2006/relationships/hyperlink" Target="https://www.eia.gov/outlooks/steo/" TargetMode="External"/><Relationship Id="rId43" Type="http://schemas.openxmlformats.org/officeDocument/2006/relationships/hyperlink" Target="https://www.gold.org/goldhub/data/gold-prices" TargetMode="External"/><Relationship Id="rId48" Type="http://schemas.openxmlformats.org/officeDocument/2006/relationships/hyperlink" Target="https://hai.stanford.edu/ai-index/2025-ai-index-report/economy" TargetMode="External"/><Relationship Id="rId8" Type="http://schemas.openxmlformats.org/officeDocument/2006/relationships/hyperlink" Target="https://www.sipri.org/sites/default/files/2025-04/2504_fs_milex_2024.pdf" TargetMode="External"/><Relationship Id="rId3" Type="http://schemas.openxmlformats.org/officeDocument/2006/relationships/hyperlink" Target="https://www.imf.org/external/datamapper/GDD/2024%20Global%20Debt%20Monitor.pdf" TargetMode="External"/><Relationship Id="rId12" Type="http://schemas.openxmlformats.org/officeDocument/2006/relationships/hyperlink" Target="https://www.bls.gov/news.release/pdf/prod2.pdf" TargetMode="External"/><Relationship Id="rId17" Type="http://schemas.openxmlformats.org/officeDocument/2006/relationships/hyperlink" Target="https://archive.ourworldindata.org/20250717-100343/grapher/political-polarization-score.html?tab=line&amp;country=~USA&amp;mapSelect=~USA" TargetMode="External"/><Relationship Id="rId25" Type="http://schemas.openxmlformats.org/officeDocument/2006/relationships/hyperlink" Target="https://www.europarl.europa.eu/RegData/etudes/ATAG/2024/762357/EPRS_ATA%282024%29762357_EN.pdf" TargetMode="External"/><Relationship Id="rId33" Type="http://schemas.openxmlformats.org/officeDocument/2006/relationships/hyperlink" Target="https://www.reuters.com/world/india/india-posts-first-current-account-surplus-four-quarters-central-bank-says-2025-06-27/" TargetMode="External"/><Relationship Id="rId38" Type="http://schemas.openxmlformats.org/officeDocument/2006/relationships/hyperlink" Target="https://www.reuters.com/world/china/global-debt-hits-record-over-324-trillion-says-iif-2025-05-06/" TargetMode="External"/><Relationship Id="rId46" Type="http://schemas.openxmlformats.org/officeDocument/2006/relationships/hyperlink" Target="https://hai.stanford.edu/ai-index/2025-ai-index-report/research-and-development" TargetMode="External"/><Relationship Id="rId20" Type="http://schemas.openxmlformats.org/officeDocument/2006/relationships/hyperlink" Target="https://ec.europa.eu/eurostat/web/products-euro-indicators/w/2-05092025-ap" TargetMode="External"/><Relationship Id="rId41" Type="http://schemas.openxmlformats.org/officeDocument/2006/relationships/hyperlink" Target="https://en.macromicro.me/charts/47849/global-wait-times-for-semiconductor-deliveries" TargetMode="External"/><Relationship Id="rId1" Type="http://schemas.openxmlformats.org/officeDocument/2006/relationships/hyperlink" Target="https://www.stats.gov.cn/english/PressRelease/202509/t20250903_1960997.html" TargetMode="External"/><Relationship Id="rId6" Type="http://schemas.openxmlformats.org/officeDocument/2006/relationships/hyperlink" Target="https://data.worldbank.org/indicator/NV.IND.MANF.ZS?locations=CN"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B82"/>
  <sheetViews>
    <sheetView tabSelected="1" topLeftCell="A3" workbookViewId="0">
      <selection activeCell="B3" sqref="B3"/>
    </sheetView>
  </sheetViews>
  <sheetFormatPr defaultRowHeight="15"/>
  <cols>
    <col min="2" max="2" width="59.28515625" customWidth="1"/>
  </cols>
  <sheetData>
    <row r="1" spans="2:2" ht="18">
      <c r="B1" s="15" t="s">
        <v>1261</v>
      </c>
    </row>
    <row r="3" spans="2:2" ht="321.75" customHeight="1">
      <c r="B3" s="55" t="s">
        <v>1286</v>
      </c>
    </row>
    <row r="4" spans="2:2" ht="18" customHeight="1">
      <c r="B4" s="55"/>
    </row>
    <row r="5" spans="2:2" ht="15.75">
      <c r="B5" s="26" t="s">
        <v>1262</v>
      </c>
    </row>
    <row r="6" spans="2:2" ht="15.75" customHeight="1"/>
    <row r="7" spans="2:2" ht="75">
      <c r="B7" s="127" t="s">
        <v>1263</v>
      </c>
    </row>
    <row r="8" spans="2:2">
      <c r="B8" s="55"/>
    </row>
    <row r="9" spans="2:2" ht="15.75">
      <c r="B9" s="26" t="s">
        <v>1264</v>
      </c>
    </row>
    <row r="11" spans="2:2" ht="90">
      <c r="B11" s="127" t="s">
        <v>1265</v>
      </c>
    </row>
    <row r="12" spans="2:2">
      <c r="B12" s="55"/>
    </row>
    <row r="13" spans="2:2" ht="15.75">
      <c r="B13" s="26" t="s">
        <v>1266</v>
      </c>
    </row>
    <row r="15" spans="2:2" ht="75">
      <c r="B15" s="127" t="s">
        <v>1267</v>
      </c>
    </row>
    <row r="16" spans="2:2">
      <c r="B16" s="55"/>
    </row>
    <row r="17" spans="2:2" ht="15.75">
      <c r="B17" s="26" t="s">
        <v>1268</v>
      </c>
    </row>
    <row r="19" spans="2:2" ht="75">
      <c r="B19" s="127" t="s">
        <v>1269</v>
      </c>
    </row>
    <row r="22" spans="2:2" ht="18">
      <c r="B22" s="15" t="s">
        <v>1270</v>
      </c>
    </row>
    <row r="24" spans="2:2" ht="15.75">
      <c r="B24" s="26" t="s">
        <v>1271</v>
      </c>
    </row>
    <row r="26" spans="2:2" ht="114.75">
      <c r="B26" s="135" t="s">
        <v>1272</v>
      </c>
    </row>
    <row r="28" spans="2:2" ht="15.75">
      <c r="B28" s="26" t="s">
        <v>1273</v>
      </c>
    </row>
    <row r="30" spans="2:2" ht="114.75">
      <c r="B30" s="135" t="s">
        <v>1274</v>
      </c>
    </row>
    <row r="32" spans="2:2" ht="15.75" customHeight="1">
      <c r="B32" s="26" t="s">
        <v>1275</v>
      </c>
    </row>
    <row r="34" spans="2:2" ht="153">
      <c r="B34" s="135" t="s">
        <v>1276</v>
      </c>
    </row>
    <row r="36" spans="2:2" ht="15.75">
      <c r="B36" s="26" t="s">
        <v>1277</v>
      </c>
    </row>
    <row r="37" spans="2:2" ht="15.75" customHeight="1"/>
    <row r="38" spans="2:2" ht="102">
      <c r="B38" s="135" t="s">
        <v>1278</v>
      </c>
    </row>
    <row r="40" spans="2:2" ht="15.75">
      <c r="B40" s="26" t="s">
        <v>1279</v>
      </c>
    </row>
    <row r="42" spans="2:2" ht="63.75">
      <c r="B42" s="135" t="s">
        <v>1280</v>
      </c>
    </row>
    <row r="44" spans="2:2" ht="18">
      <c r="B44" s="15" t="s">
        <v>1281</v>
      </c>
    </row>
    <row r="46" spans="2:2" ht="63.75">
      <c r="B46" s="135" t="s">
        <v>1282</v>
      </c>
    </row>
    <row r="60" ht="15.75" customHeight="1"/>
    <row r="66" ht="18" customHeight="1"/>
    <row r="74" ht="18" customHeight="1"/>
    <row r="76" ht="30" customHeight="1"/>
    <row r="78" ht="30" customHeight="1"/>
    <row r="79" ht="30" customHeight="1"/>
    <row r="80" ht="30" customHeight="1"/>
    <row r="82" ht="18" customHeight="1"/>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X93"/>
  <sheetViews>
    <sheetView zoomScaleNormal="100" workbookViewId="0">
      <pane xSplit="2" ySplit="1" topLeftCell="C41" activePane="bottomRight" state="frozen"/>
      <selection pane="topRight" activeCell="C1" sqref="C1"/>
      <selection pane="bottomLeft" activeCell="A2" sqref="A2"/>
      <selection pane="bottomRight" activeCell="C48" sqref="C48"/>
    </sheetView>
  </sheetViews>
  <sheetFormatPr defaultColWidth="8.7109375" defaultRowHeight="15"/>
  <cols>
    <col min="1" max="1" width="10" customWidth="1"/>
    <col min="2" max="2" width="73.28515625" customWidth="1"/>
    <col min="3" max="3" width="8" style="22" bestFit="1" customWidth="1"/>
    <col min="4" max="4" width="21.140625" bestFit="1" customWidth="1"/>
    <col min="5" max="7" width="8" style="22" customWidth="1"/>
    <col min="8" max="8" width="11.5703125" style="22" customWidth="1"/>
    <col min="9" max="9" width="12" style="22" customWidth="1"/>
    <col min="10" max="10" width="11.5703125" style="22" bestFit="1" customWidth="1"/>
    <col min="11" max="11" width="12.28515625" style="22" customWidth="1"/>
    <col min="12" max="12" width="6.5703125" style="22" customWidth="1"/>
    <col min="13" max="14" width="12" style="22" customWidth="1"/>
    <col min="15" max="15" width="25.5703125" customWidth="1"/>
    <col min="16" max="16" width="8" style="22" customWidth="1"/>
    <col min="17" max="20" width="8" style="45" customWidth="1"/>
    <col min="21" max="21" width="55.28515625" customWidth="1"/>
    <col min="22" max="22" width="60.28515625" customWidth="1"/>
    <col min="23" max="23" width="94" customWidth="1"/>
    <col min="24" max="24" width="66.28515625" customWidth="1"/>
  </cols>
  <sheetData>
    <row r="1" spans="1:24" ht="15" customHeight="1">
      <c r="A1" s="2" t="s">
        <v>68</v>
      </c>
      <c r="B1" s="54" t="s">
        <v>69</v>
      </c>
      <c r="C1" s="2" t="s">
        <v>70</v>
      </c>
      <c r="D1" s="2" t="s">
        <v>71</v>
      </c>
      <c r="E1" s="2" t="s">
        <v>72</v>
      </c>
      <c r="F1" s="2" t="s">
        <v>73</v>
      </c>
      <c r="G1" s="2" t="s">
        <v>74</v>
      </c>
      <c r="H1" s="2" t="s">
        <v>75</v>
      </c>
      <c r="I1" s="2" t="s">
        <v>76</v>
      </c>
      <c r="J1" s="2" t="s">
        <v>77</v>
      </c>
      <c r="K1" s="2" t="s">
        <v>78</v>
      </c>
      <c r="L1" s="2" t="s">
        <v>79</v>
      </c>
      <c r="M1" s="2" t="s">
        <v>80</v>
      </c>
      <c r="N1" s="2" t="s">
        <v>81</v>
      </c>
      <c r="O1" s="2" t="s">
        <v>82</v>
      </c>
      <c r="P1" s="2" t="s">
        <v>83</v>
      </c>
      <c r="Q1" s="3" t="s">
        <v>84</v>
      </c>
      <c r="R1" s="3" t="s">
        <v>85</v>
      </c>
      <c r="S1" s="3" t="s">
        <v>86</v>
      </c>
      <c r="T1" s="3" t="s">
        <v>87</v>
      </c>
      <c r="U1" s="2" t="s">
        <v>88</v>
      </c>
      <c r="V1" s="2" t="s">
        <v>89</v>
      </c>
      <c r="W1" s="2" t="s">
        <v>90</v>
      </c>
      <c r="X1" s="4" t="s">
        <v>91</v>
      </c>
    </row>
    <row r="2" spans="1:24" ht="18.75" customHeight="1">
      <c r="A2" s="5" t="s">
        <v>92</v>
      </c>
      <c r="B2" s="5" t="s">
        <v>93</v>
      </c>
      <c r="C2" s="119">
        <v>50.5</v>
      </c>
      <c r="D2" s="5" t="s">
        <v>94</v>
      </c>
      <c r="E2" s="44">
        <v>45</v>
      </c>
      <c r="F2" s="44">
        <v>55</v>
      </c>
      <c r="G2" s="44">
        <v>50</v>
      </c>
      <c r="H2" s="37" t="s">
        <v>95</v>
      </c>
      <c r="I2" s="38">
        <f t="shared" ref="I2:I33" si="0">1 - (ABS(C2 - G2) / MAX(ABS(F2 - G2), ABS(E2 - G2)))</f>
        <v>0.9</v>
      </c>
      <c r="J2" s="39">
        <v>1.5</v>
      </c>
      <c r="K2" s="43">
        <f t="shared" ref="K2:K33" si="1">MAX(0,MIN(1,(C2-E2)/(F2-E2)))</f>
        <v>0.55000000000000004</v>
      </c>
      <c r="L2" s="43">
        <f t="shared" ref="L2:L33" si="2">MAX(0,MIN(1,1-(C2-E2)/(F2-E2)))</f>
        <v>0.44999999999999996</v>
      </c>
      <c r="M2" s="43">
        <f t="shared" ref="M2:M33" si="3">IF(C2&gt;=G2, 0.5+0.5*(C2-G2)/(F2-G2), 0.5*(C2-E2)/(G2-E2))</f>
        <v>0.55000000000000004</v>
      </c>
      <c r="N2" s="43">
        <f t="shared" ref="N2:N33" si="4">IF(C2&gt;=G2, 0.5*(1-(C2-G2)/(F2-G2)), 0.5+0.5*(1-(C2-E2)/(G2-E2)))</f>
        <v>0.45</v>
      </c>
      <c r="O2" s="9" t="s">
        <v>96</v>
      </c>
      <c r="P2" s="44" t="s">
        <v>51</v>
      </c>
      <c r="Q2" s="43">
        <f t="shared" ref="Q2:Q33" si="5">IFERROR(IF(VALUE(TRIM(MID($O2,2,SEARCH(",",$O2)-2)))&gt;=0,ABS(VALUE(TRIM(MID($O2,2,SEARCH(",",$O2)-2))))*$J2*$M2,ABS(VALUE(TRIM(MID($O2,2,SEARCH(",",$O2)-2))))*$J2*$N2),0)</f>
        <v>0.5774999999999999</v>
      </c>
      <c r="R2" s="43">
        <f t="shared" ref="R2:R33" si="6">IFERROR(IF(VALUE(TRIM(MID($O2,SEARCH(",",$O2)+2,SEARCH(",",$O2,SEARCH(",",$O2)+1)-SEARCH(",",$O2)-2)))&gt;=0,ABS(VALUE(TRIM(MID($O2,SEARCH(",",$O2)+2,SEARCH(",",$O2,SEARCH(",",$O2)+1)-SEARCH(",",$O2)-2))))*$J2*$M2,ABS(VALUE(TRIM(MID($O2,SEARCH(",",$O2)+2,SEARCH(",",$O2,SEARCH(",",$O2)+1)-SEARCH(",",$O2)-2))))*$J2*$N2),0)</f>
        <v>0.33750000000000002</v>
      </c>
      <c r="S2" s="43">
        <f t="shared" ref="S2:S33" si="7">IFERROR(IF(VALUE(TRIM(MID($O2,SEARCH(",",$O2,SEARCH(",",$O2)+1)+2,SEARCH(",",$O2,SEARCH(",",$O2,SEARCH(",",$O2)+1)+1)-SEARCH(",",$O2,SEARCH(",",$O2)+1)-2)))&gt;=0,ABS(VALUE(TRIM(MID($O2,SEARCH(",",$O2,SEARCH(",",$O2)+1)+2,SEARCH(",",$O2,SEARCH(",",$O2,SEARCH(",",$O2)+1)+1)-SEARCH(",",$O2,SEARCH(",",$O2)+1)-2))))*$J2*$M2,ABS(VALUE(TRIM(MID($O2,SEARCH(",",$O2,SEARCH(",",$O2)+1)+2,SEARCH(",",$O2,SEARCH(",",$O2,SEARCH(",",$O2)+1)+1)-SEARCH(",",$O2,SEARCH(",",$O2)+1)-2))))*$J2*$N2),0)</f>
        <v>0.2475</v>
      </c>
      <c r="T2" s="43">
        <f t="shared" ref="T2:T33" si="8">IFERROR(IF(VALUE(TRIM(MID($O2,SEARCH(",",$O2,SEARCH(",",$O2,SEARCH(",",$O2)+1)+1)+2,SEARCH("]",$O2)-SEARCH(",",$O2,SEARCH(",",$O2,SEARCH(",",$O2)+1)+1)-2)))&gt;=0,ABS(VALUE(TRIM(MID($O2,SEARCH(",",$O2,SEARCH(",",$O2,SEARCH(",",$O2)+1)+1)+2,SEARCH("]",$O2)-SEARCH(",",$O2,SEARCH(",",$O2,SEARCH(",",$O2)+1)+1)-2))))*$J2*$M2,ABS(VALUE(TRIM(MID($O2,SEARCH(",",$O2,SEARCH(",",$O2,SEARCH(",",$O2)+1)+1)+2,SEARCH("]",$O2)-SEARCH(",",$O2,SEARCH(",",$O2,SEARCH(",",$O2)+1)+1)-2))))*$J2*$N2),0)</f>
        <v>0</v>
      </c>
      <c r="U2" s="5" t="s">
        <v>97</v>
      </c>
      <c r="V2" s="10" t="s">
        <v>98</v>
      </c>
      <c r="W2" s="5" t="s">
        <v>99</v>
      </c>
      <c r="X2" s="11" t="s">
        <v>100</v>
      </c>
    </row>
    <row r="3" spans="1:24" ht="18.75" customHeight="1">
      <c r="A3" s="5" t="s">
        <v>92</v>
      </c>
      <c r="B3" s="33" t="s">
        <v>101</v>
      </c>
      <c r="C3" s="120">
        <v>5.2</v>
      </c>
      <c r="D3" s="5" t="s">
        <v>102</v>
      </c>
      <c r="E3" s="44">
        <v>2</v>
      </c>
      <c r="F3" s="44">
        <v>12</v>
      </c>
      <c r="G3" s="44">
        <v>5</v>
      </c>
      <c r="H3" s="37" t="s">
        <v>95</v>
      </c>
      <c r="I3" s="38">
        <f t="shared" si="0"/>
        <v>0.97142857142857142</v>
      </c>
      <c r="J3" s="39">
        <v>1.5</v>
      </c>
      <c r="K3" s="43">
        <f t="shared" si="1"/>
        <v>0.32</v>
      </c>
      <c r="L3" s="43">
        <f t="shared" si="2"/>
        <v>0.67999999999999994</v>
      </c>
      <c r="M3" s="43">
        <f t="shared" si="3"/>
        <v>0.51428571428571435</v>
      </c>
      <c r="N3" s="43">
        <f t="shared" si="4"/>
        <v>0.48571428571428571</v>
      </c>
      <c r="O3" s="12" t="s">
        <v>103</v>
      </c>
      <c r="P3" s="44" t="s">
        <v>51</v>
      </c>
      <c r="Q3" s="43">
        <f t="shared" si="5"/>
        <v>0.46285714285714286</v>
      </c>
      <c r="R3" s="43">
        <f t="shared" si="6"/>
        <v>0.5099999999999999</v>
      </c>
      <c r="S3" s="43">
        <f t="shared" si="7"/>
        <v>0.15428571428571433</v>
      </c>
      <c r="T3" s="43">
        <f t="shared" si="8"/>
        <v>7.7142857142857166E-2</v>
      </c>
      <c r="U3" s="5" t="s">
        <v>104</v>
      </c>
      <c r="V3" s="10" t="s">
        <v>105</v>
      </c>
      <c r="W3" s="5" t="s">
        <v>106</v>
      </c>
      <c r="X3" s="11" t="s">
        <v>107</v>
      </c>
    </row>
    <row r="4" spans="1:24" ht="18.75" customHeight="1">
      <c r="A4" s="5" t="s">
        <v>92</v>
      </c>
      <c r="B4" s="5" t="s">
        <v>108</v>
      </c>
      <c r="C4" s="120">
        <v>289</v>
      </c>
      <c r="D4" s="5" t="s">
        <v>102</v>
      </c>
      <c r="E4" s="44">
        <v>150</v>
      </c>
      <c r="F4" s="44">
        <v>320</v>
      </c>
      <c r="G4" s="44">
        <v>300</v>
      </c>
      <c r="H4" s="37" t="s">
        <v>109</v>
      </c>
      <c r="I4" s="38">
        <f t="shared" si="0"/>
        <v>0.92666666666666664</v>
      </c>
      <c r="J4" s="40">
        <v>2</v>
      </c>
      <c r="K4" s="43">
        <f t="shared" si="1"/>
        <v>0.81764705882352939</v>
      </c>
      <c r="L4" s="43">
        <f t="shared" si="2"/>
        <v>0.18235294117647061</v>
      </c>
      <c r="M4" s="43">
        <f t="shared" si="3"/>
        <v>0.46333333333333332</v>
      </c>
      <c r="N4" s="43">
        <f t="shared" si="4"/>
        <v>0.53666666666666663</v>
      </c>
      <c r="O4" s="12" t="s">
        <v>110</v>
      </c>
      <c r="P4" s="44" t="s">
        <v>52</v>
      </c>
      <c r="Q4" s="43">
        <f t="shared" si="5"/>
        <v>0.42933333333333334</v>
      </c>
      <c r="R4" s="43">
        <f t="shared" si="6"/>
        <v>0.27799999999999997</v>
      </c>
      <c r="S4" s="43">
        <f t="shared" si="7"/>
        <v>0.64866666666666661</v>
      </c>
      <c r="T4" s="43">
        <f t="shared" si="8"/>
        <v>0.10733333333333334</v>
      </c>
      <c r="U4" s="5" t="s">
        <v>111</v>
      </c>
      <c r="V4" s="10" t="s">
        <v>112</v>
      </c>
      <c r="W4" s="5" t="s">
        <v>113</v>
      </c>
      <c r="X4" s="11" t="s">
        <v>114</v>
      </c>
    </row>
    <row r="5" spans="1:24" ht="18.75" customHeight="1">
      <c r="A5" s="5" t="s">
        <v>92</v>
      </c>
      <c r="B5" s="5" t="s">
        <v>115</v>
      </c>
      <c r="C5" s="120">
        <v>-0.1</v>
      </c>
      <c r="D5" s="5" t="s">
        <v>102</v>
      </c>
      <c r="E5" s="44">
        <v>-0.6</v>
      </c>
      <c r="F5" s="44">
        <v>0.6</v>
      </c>
      <c r="G5" s="44">
        <v>0</v>
      </c>
      <c r="H5" s="37" t="s">
        <v>95</v>
      </c>
      <c r="I5" s="38">
        <f t="shared" si="0"/>
        <v>0.83333333333333326</v>
      </c>
      <c r="J5" s="40">
        <v>2</v>
      </c>
      <c r="K5" s="43">
        <f t="shared" si="1"/>
        <v>0.41666666666666669</v>
      </c>
      <c r="L5" s="43">
        <f t="shared" si="2"/>
        <v>0.58333333333333326</v>
      </c>
      <c r="M5" s="43">
        <f t="shared" si="3"/>
        <v>0.41666666666666669</v>
      </c>
      <c r="N5" s="43">
        <f t="shared" si="4"/>
        <v>0.58333333333333326</v>
      </c>
      <c r="O5" s="12" t="s">
        <v>116</v>
      </c>
      <c r="P5" s="44" t="s">
        <v>117</v>
      </c>
      <c r="Q5" s="43">
        <f t="shared" si="5"/>
        <v>0.58333333333333326</v>
      </c>
      <c r="R5" s="43">
        <f t="shared" si="6"/>
        <v>0.5</v>
      </c>
      <c r="S5" s="43">
        <f t="shared" si="7"/>
        <v>0.25</v>
      </c>
      <c r="T5" s="43">
        <f t="shared" si="8"/>
        <v>0.11666666666666665</v>
      </c>
      <c r="U5" s="5" t="s">
        <v>104</v>
      </c>
      <c r="V5" s="10" t="s">
        <v>118</v>
      </c>
      <c r="W5" s="5" t="s">
        <v>119</v>
      </c>
      <c r="X5" s="11" t="s">
        <v>120</v>
      </c>
    </row>
    <row r="6" spans="1:24" ht="18.75" customHeight="1">
      <c r="A6" s="5" t="s">
        <v>92</v>
      </c>
      <c r="B6" s="5" t="s">
        <v>121</v>
      </c>
      <c r="C6" s="120">
        <v>17.8</v>
      </c>
      <c r="D6" s="5" t="s">
        <v>102</v>
      </c>
      <c r="E6" s="44">
        <v>10</v>
      </c>
      <c r="F6" s="44">
        <v>25</v>
      </c>
      <c r="G6" s="44">
        <v>16</v>
      </c>
      <c r="H6" s="37" t="s">
        <v>109</v>
      </c>
      <c r="I6" s="38">
        <f t="shared" si="0"/>
        <v>0.79999999999999993</v>
      </c>
      <c r="J6" s="39">
        <v>1.5</v>
      </c>
      <c r="K6" s="43">
        <f t="shared" si="1"/>
        <v>0.52</v>
      </c>
      <c r="L6" s="43">
        <f t="shared" si="2"/>
        <v>0.48</v>
      </c>
      <c r="M6" s="43">
        <f t="shared" si="3"/>
        <v>0.60000000000000009</v>
      </c>
      <c r="N6" s="43">
        <f t="shared" si="4"/>
        <v>0.39999999999999997</v>
      </c>
      <c r="O6" s="12" t="s">
        <v>122</v>
      </c>
      <c r="P6" s="44" t="s">
        <v>123</v>
      </c>
      <c r="Q6" s="43">
        <f t="shared" si="5"/>
        <v>0.17999999999999997</v>
      </c>
      <c r="R6" s="43">
        <f t="shared" si="6"/>
        <v>0.54</v>
      </c>
      <c r="S6" s="43">
        <f t="shared" si="7"/>
        <v>0.7200000000000002</v>
      </c>
      <c r="T6" s="43">
        <f t="shared" si="8"/>
        <v>6.0000000000000005E-2</v>
      </c>
      <c r="U6" s="5" t="s">
        <v>104</v>
      </c>
      <c r="V6" s="10" t="s">
        <v>124</v>
      </c>
      <c r="W6" s="5" t="s">
        <v>125</v>
      </c>
      <c r="X6" s="11" t="s">
        <v>126</v>
      </c>
    </row>
    <row r="7" spans="1:24" ht="18.75" customHeight="1">
      <c r="A7" s="5" t="s">
        <v>92</v>
      </c>
      <c r="B7" s="5" t="s">
        <v>127</v>
      </c>
      <c r="C7" s="120">
        <v>24.9</v>
      </c>
      <c r="D7" s="5" t="s">
        <v>128</v>
      </c>
      <c r="E7" s="44">
        <v>22</v>
      </c>
      <c r="F7" s="44">
        <v>33</v>
      </c>
      <c r="G7" s="44">
        <v>25</v>
      </c>
      <c r="H7" s="37" t="s">
        <v>95</v>
      </c>
      <c r="I7" s="38">
        <f t="shared" si="0"/>
        <v>0.98749999999999982</v>
      </c>
      <c r="J7" s="41">
        <v>1</v>
      </c>
      <c r="K7" s="43">
        <f t="shared" si="1"/>
        <v>0.2636363636363635</v>
      </c>
      <c r="L7" s="43">
        <f t="shared" si="2"/>
        <v>0.73636363636363655</v>
      </c>
      <c r="M7" s="43">
        <f t="shared" si="3"/>
        <v>0.48333333333333311</v>
      </c>
      <c r="N7" s="43">
        <f t="shared" si="4"/>
        <v>0.51666666666666683</v>
      </c>
      <c r="O7" s="12" t="s">
        <v>129</v>
      </c>
      <c r="P7" s="44" t="s">
        <v>123</v>
      </c>
      <c r="Q7" s="43">
        <f t="shared" si="5"/>
        <v>0.28999999999999987</v>
      </c>
      <c r="R7" s="43">
        <f t="shared" si="6"/>
        <v>0.20666666666666675</v>
      </c>
      <c r="S7" s="43">
        <f t="shared" si="7"/>
        <v>4.8333333333333311E-2</v>
      </c>
      <c r="T7" s="43">
        <f t="shared" si="8"/>
        <v>9.6666666666666623E-2</v>
      </c>
      <c r="U7" s="5" t="s">
        <v>104</v>
      </c>
      <c r="V7" s="10" t="s">
        <v>130</v>
      </c>
      <c r="W7" s="5" t="s">
        <v>131</v>
      </c>
      <c r="X7" s="11" t="s">
        <v>132</v>
      </c>
    </row>
    <row r="8" spans="1:24" ht="18.75" customHeight="1">
      <c r="A8" s="5" t="s">
        <v>92</v>
      </c>
      <c r="B8" s="5" t="s">
        <v>133</v>
      </c>
      <c r="C8" s="120">
        <v>1640000</v>
      </c>
      <c r="D8" s="5" t="s">
        <v>134</v>
      </c>
      <c r="E8" s="44">
        <v>1000000</v>
      </c>
      <c r="F8" s="44">
        <v>2000000</v>
      </c>
      <c r="G8" s="44">
        <v>1500000</v>
      </c>
      <c r="H8" s="37" t="s">
        <v>95</v>
      </c>
      <c r="I8" s="38">
        <f t="shared" si="0"/>
        <v>0.72</v>
      </c>
      <c r="J8" s="39">
        <v>1.5</v>
      </c>
      <c r="K8" s="43">
        <f t="shared" si="1"/>
        <v>0.64</v>
      </c>
      <c r="L8" s="43">
        <f t="shared" si="2"/>
        <v>0.36</v>
      </c>
      <c r="M8" s="43">
        <f t="shared" si="3"/>
        <v>0.64</v>
      </c>
      <c r="N8" s="43">
        <f t="shared" si="4"/>
        <v>0.36</v>
      </c>
      <c r="O8" s="12" t="s">
        <v>135</v>
      </c>
      <c r="P8" s="44" t="s">
        <v>54</v>
      </c>
      <c r="Q8" s="43">
        <f t="shared" si="5"/>
        <v>0.48</v>
      </c>
      <c r="R8" s="43">
        <f t="shared" si="6"/>
        <v>0.21600000000000003</v>
      </c>
      <c r="S8" s="43">
        <f t="shared" si="7"/>
        <v>9.6000000000000016E-2</v>
      </c>
      <c r="T8" s="43">
        <f t="shared" si="8"/>
        <v>0.38400000000000006</v>
      </c>
      <c r="U8" s="5" t="s">
        <v>136</v>
      </c>
      <c r="V8" s="10" t="s">
        <v>137</v>
      </c>
      <c r="W8" s="5" t="s">
        <v>138</v>
      </c>
      <c r="X8" s="11" t="s">
        <v>139</v>
      </c>
    </row>
    <row r="9" spans="1:24" ht="18.75" customHeight="1">
      <c r="A9" s="5" t="s">
        <v>92</v>
      </c>
      <c r="B9" s="5" t="s">
        <v>140</v>
      </c>
      <c r="C9" s="120">
        <v>7</v>
      </c>
      <c r="D9" s="5" t="s">
        <v>102</v>
      </c>
      <c r="E9" s="44">
        <v>0</v>
      </c>
      <c r="F9" s="44">
        <v>15</v>
      </c>
      <c r="G9" s="44">
        <v>10</v>
      </c>
      <c r="H9" s="37" t="s">
        <v>109</v>
      </c>
      <c r="I9" s="38">
        <f t="shared" si="0"/>
        <v>0.7</v>
      </c>
      <c r="J9" s="39">
        <v>1.5</v>
      </c>
      <c r="K9" s="43">
        <f t="shared" si="1"/>
        <v>0.46666666666666667</v>
      </c>
      <c r="L9" s="43">
        <f t="shared" si="2"/>
        <v>0.53333333333333333</v>
      </c>
      <c r="M9" s="43">
        <f t="shared" si="3"/>
        <v>0.35</v>
      </c>
      <c r="N9" s="43">
        <f t="shared" si="4"/>
        <v>0.65</v>
      </c>
      <c r="O9" s="12" t="s">
        <v>141</v>
      </c>
      <c r="P9" s="44" t="s">
        <v>53</v>
      </c>
      <c r="Q9" s="43">
        <f t="shared" si="5"/>
        <v>0.21000000000000002</v>
      </c>
      <c r="R9" s="43">
        <f t="shared" si="6"/>
        <v>0.29249999999999998</v>
      </c>
      <c r="S9" s="43">
        <f t="shared" si="7"/>
        <v>0.31499999999999995</v>
      </c>
      <c r="T9" s="43">
        <f t="shared" si="8"/>
        <v>0</v>
      </c>
      <c r="U9" s="5" t="s">
        <v>142</v>
      </c>
      <c r="V9" s="10" t="s">
        <v>143</v>
      </c>
      <c r="W9" s="5" t="s">
        <v>144</v>
      </c>
      <c r="X9" s="11" t="s">
        <v>145</v>
      </c>
    </row>
    <row r="10" spans="1:24" ht="18.75" customHeight="1">
      <c r="A10" s="5" t="s">
        <v>146</v>
      </c>
      <c r="B10" s="5" t="s">
        <v>93</v>
      </c>
      <c r="C10" s="120">
        <v>55.4</v>
      </c>
      <c r="D10" s="5" t="s">
        <v>94</v>
      </c>
      <c r="E10" s="44">
        <v>45</v>
      </c>
      <c r="F10" s="44">
        <v>58</v>
      </c>
      <c r="G10" s="44">
        <v>50</v>
      </c>
      <c r="H10" s="37" t="s">
        <v>95</v>
      </c>
      <c r="I10" s="38">
        <f t="shared" si="0"/>
        <v>0.32500000000000018</v>
      </c>
      <c r="J10" s="39">
        <v>1.5</v>
      </c>
      <c r="K10" s="43">
        <f t="shared" si="1"/>
        <v>0.79999999999999993</v>
      </c>
      <c r="L10" s="43">
        <f t="shared" si="2"/>
        <v>0.20000000000000007</v>
      </c>
      <c r="M10" s="43">
        <f t="shared" si="3"/>
        <v>0.83749999999999991</v>
      </c>
      <c r="N10" s="43">
        <f t="shared" si="4"/>
        <v>0.16250000000000009</v>
      </c>
      <c r="O10" s="12" t="s">
        <v>147</v>
      </c>
      <c r="P10" s="44" t="s">
        <v>51</v>
      </c>
      <c r="Q10" s="43">
        <f t="shared" si="5"/>
        <v>0.14625000000000007</v>
      </c>
      <c r="R10" s="43">
        <f t="shared" si="6"/>
        <v>0.8793749999999998</v>
      </c>
      <c r="S10" s="43">
        <f t="shared" si="7"/>
        <v>7.3125000000000037E-2</v>
      </c>
      <c r="T10" s="43">
        <f t="shared" si="8"/>
        <v>0.12562500000000001</v>
      </c>
      <c r="U10" s="5" t="s">
        <v>148</v>
      </c>
      <c r="V10" s="10" t="s">
        <v>149</v>
      </c>
      <c r="W10" s="5" t="s">
        <v>150</v>
      </c>
      <c r="X10" s="11" t="s">
        <v>151</v>
      </c>
    </row>
    <row r="11" spans="1:24" ht="18.75" customHeight="1">
      <c r="A11" s="5" t="s">
        <v>146</v>
      </c>
      <c r="B11" s="5" t="s">
        <v>101</v>
      </c>
      <c r="C11" s="120">
        <v>2.1</v>
      </c>
      <c r="D11" s="5" t="s">
        <v>102</v>
      </c>
      <c r="E11" s="44">
        <v>-4</v>
      </c>
      <c r="F11" s="44">
        <v>6</v>
      </c>
      <c r="G11" s="44">
        <v>0</v>
      </c>
      <c r="H11" s="37" t="s">
        <v>95</v>
      </c>
      <c r="I11" s="38">
        <f t="shared" si="0"/>
        <v>0.64999999999999991</v>
      </c>
      <c r="J11" s="39">
        <v>1.5</v>
      </c>
      <c r="K11" s="43">
        <f t="shared" si="1"/>
        <v>0.61</v>
      </c>
      <c r="L11" s="43">
        <f t="shared" si="2"/>
        <v>0.39</v>
      </c>
      <c r="M11" s="43">
        <f t="shared" si="3"/>
        <v>0.67500000000000004</v>
      </c>
      <c r="N11" s="43">
        <f t="shared" si="4"/>
        <v>0.32499999999999996</v>
      </c>
      <c r="O11" s="12" t="s">
        <v>152</v>
      </c>
      <c r="P11" s="44" t="s">
        <v>51</v>
      </c>
      <c r="Q11" s="43">
        <f t="shared" si="5"/>
        <v>0.24374999999999997</v>
      </c>
      <c r="R11" s="43">
        <f t="shared" si="6"/>
        <v>0.60749999999999993</v>
      </c>
      <c r="S11" s="43">
        <f t="shared" si="7"/>
        <v>9.7500000000000003E-2</v>
      </c>
      <c r="T11" s="43">
        <f t="shared" si="8"/>
        <v>0.10125000000000002</v>
      </c>
      <c r="U11" s="5" t="s">
        <v>153</v>
      </c>
      <c r="V11" s="10" t="s">
        <v>154</v>
      </c>
      <c r="W11" s="5" t="s">
        <v>155</v>
      </c>
      <c r="X11" s="11" t="s">
        <v>156</v>
      </c>
    </row>
    <row r="12" spans="1:24" ht="18.75" customHeight="1">
      <c r="A12" s="5" t="s">
        <v>146</v>
      </c>
      <c r="B12" s="5" t="s">
        <v>157</v>
      </c>
      <c r="C12" s="120">
        <v>119.3</v>
      </c>
      <c r="D12" s="5" t="s">
        <v>102</v>
      </c>
      <c r="E12" s="44">
        <v>60</v>
      </c>
      <c r="F12" s="44">
        <v>125</v>
      </c>
      <c r="G12" s="44">
        <v>100</v>
      </c>
      <c r="H12" s="37" t="s">
        <v>109</v>
      </c>
      <c r="I12" s="38">
        <f t="shared" si="0"/>
        <v>0.51750000000000007</v>
      </c>
      <c r="J12" s="40">
        <v>2</v>
      </c>
      <c r="K12" s="43">
        <f t="shared" si="1"/>
        <v>0.91230769230769226</v>
      </c>
      <c r="L12" s="43">
        <f t="shared" si="2"/>
        <v>8.7692307692307736E-2</v>
      </c>
      <c r="M12" s="43">
        <f t="shared" si="3"/>
        <v>0.8859999999999999</v>
      </c>
      <c r="N12" s="43">
        <f t="shared" si="4"/>
        <v>0.11400000000000005</v>
      </c>
      <c r="O12" s="12" t="s">
        <v>158</v>
      </c>
      <c r="P12" s="44" t="s">
        <v>159</v>
      </c>
      <c r="Q12" s="43">
        <f t="shared" si="5"/>
        <v>1.0631999999999999</v>
      </c>
      <c r="R12" s="43">
        <f t="shared" si="6"/>
        <v>0.15960000000000005</v>
      </c>
      <c r="S12" s="43">
        <f t="shared" si="7"/>
        <v>0.8859999999999999</v>
      </c>
      <c r="T12" s="43">
        <f t="shared" si="8"/>
        <v>2.2800000000000011E-2</v>
      </c>
      <c r="U12" s="5" t="s">
        <v>160</v>
      </c>
      <c r="V12" s="10" t="s">
        <v>161</v>
      </c>
      <c r="W12" s="5" t="s">
        <v>162</v>
      </c>
      <c r="X12" s="11" t="s">
        <v>163</v>
      </c>
    </row>
    <row r="13" spans="1:24" ht="18.75" customHeight="1">
      <c r="A13" s="5" t="s">
        <v>146</v>
      </c>
      <c r="B13" s="5" t="s">
        <v>164</v>
      </c>
      <c r="C13" s="120">
        <v>3.3</v>
      </c>
      <c r="D13" s="5" t="s">
        <v>102</v>
      </c>
      <c r="E13" s="44">
        <v>-4</v>
      </c>
      <c r="F13" s="44">
        <v>6</v>
      </c>
      <c r="G13" s="44">
        <v>0</v>
      </c>
      <c r="H13" s="37" t="s">
        <v>95</v>
      </c>
      <c r="I13" s="38">
        <f t="shared" si="0"/>
        <v>0.45000000000000007</v>
      </c>
      <c r="J13" s="41">
        <v>1</v>
      </c>
      <c r="K13" s="43">
        <f t="shared" si="1"/>
        <v>0.73</v>
      </c>
      <c r="L13" s="43">
        <f t="shared" si="2"/>
        <v>0.27</v>
      </c>
      <c r="M13" s="43">
        <f t="shared" si="3"/>
        <v>0.77499999999999991</v>
      </c>
      <c r="N13" s="43">
        <f t="shared" si="4"/>
        <v>0.22500000000000003</v>
      </c>
      <c r="O13" s="12" t="s">
        <v>165</v>
      </c>
      <c r="P13" s="44" t="s">
        <v>51</v>
      </c>
      <c r="Q13" s="43">
        <f t="shared" si="5"/>
        <v>9.0000000000000024E-2</v>
      </c>
      <c r="R13" s="43">
        <f t="shared" si="6"/>
        <v>0.38749999999999996</v>
      </c>
      <c r="S13" s="43">
        <f t="shared" si="7"/>
        <v>6.7500000000000004E-2</v>
      </c>
      <c r="T13" s="43">
        <f t="shared" si="8"/>
        <v>0.155</v>
      </c>
      <c r="U13" s="5" t="s">
        <v>166</v>
      </c>
      <c r="V13" s="10" t="s">
        <v>167</v>
      </c>
      <c r="W13" s="5" t="s">
        <v>168</v>
      </c>
      <c r="X13" s="11" t="s">
        <v>169</v>
      </c>
    </row>
    <row r="14" spans="1:24" ht="18.75" customHeight="1">
      <c r="A14" s="5" t="s">
        <v>146</v>
      </c>
      <c r="B14" s="5" t="s">
        <v>170</v>
      </c>
      <c r="C14" s="120">
        <v>29</v>
      </c>
      <c r="D14" s="5" t="s">
        <v>102</v>
      </c>
      <c r="E14" s="44">
        <v>10</v>
      </c>
      <c r="F14" s="44">
        <v>40</v>
      </c>
      <c r="G14" s="44">
        <v>20</v>
      </c>
      <c r="H14" s="37" t="s">
        <v>95</v>
      </c>
      <c r="I14" s="38">
        <f t="shared" si="0"/>
        <v>0.55000000000000004</v>
      </c>
      <c r="J14" s="40">
        <v>2</v>
      </c>
      <c r="K14" s="43">
        <f t="shared" si="1"/>
        <v>0.6333333333333333</v>
      </c>
      <c r="L14" s="43">
        <f t="shared" si="2"/>
        <v>0.3666666666666667</v>
      </c>
      <c r="M14" s="43">
        <f t="shared" si="3"/>
        <v>0.72499999999999998</v>
      </c>
      <c r="N14" s="43">
        <f t="shared" si="4"/>
        <v>0.27500000000000002</v>
      </c>
      <c r="O14" s="12" t="s">
        <v>171</v>
      </c>
      <c r="P14" s="44" t="s">
        <v>53</v>
      </c>
      <c r="Q14" s="43">
        <f t="shared" si="5"/>
        <v>0.22000000000000003</v>
      </c>
      <c r="R14" s="43">
        <f t="shared" si="6"/>
        <v>1.0149999999999999</v>
      </c>
      <c r="S14" s="43">
        <f t="shared" si="7"/>
        <v>0.49500000000000005</v>
      </c>
      <c r="T14" s="43">
        <f t="shared" si="8"/>
        <v>0.14499999999999999</v>
      </c>
      <c r="U14" s="5" t="s">
        <v>172</v>
      </c>
      <c r="V14" s="10" t="s">
        <v>173</v>
      </c>
      <c r="W14" s="5" t="s">
        <v>174</v>
      </c>
      <c r="X14" s="11" t="s">
        <v>175</v>
      </c>
    </row>
    <row r="15" spans="1:24" ht="18.75" customHeight="1">
      <c r="A15" s="5" t="s">
        <v>146</v>
      </c>
      <c r="B15" s="5" t="s">
        <v>176</v>
      </c>
      <c r="C15" s="120">
        <v>40</v>
      </c>
      <c r="D15" s="5" t="s">
        <v>102</v>
      </c>
      <c r="E15" s="44">
        <v>30</v>
      </c>
      <c r="F15" s="44">
        <v>60</v>
      </c>
      <c r="G15" s="44">
        <v>40</v>
      </c>
      <c r="H15" s="37" t="s">
        <v>95</v>
      </c>
      <c r="I15" s="38">
        <f t="shared" si="0"/>
        <v>1</v>
      </c>
      <c r="J15" s="41">
        <v>1</v>
      </c>
      <c r="K15" s="43">
        <f t="shared" si="1"/>
        <v>0.33333333333333331</v>
      </c>
      <c r="L15" s="43">
        <f t="shared" si="2"/>
        <v>0.66666666666666674</v>
      </c>
      <c r="M15" s="43">
        <f t="shared" si="3"/>
        <v>0.5</v>
      </c>
      <c r="N15" s="43">
        <f t="shared" si="4"/>
        <v>0.5</v>
      </c>
      <c r="O15" s="12" t="s">
        <v>177</v>
      </c>
      <c r="P15" s="44" t="s">
        <v>53</v>
      </c>
      <c r="Q15" s="43">
        <f t="shared" si="5"/>
        <v>0.15</v>
      </c>
      <c r="R15" s="43">
        <f t="shared" si="6"/>
        <v>0.2</v>
      </c>
      <c r="S15" s="43">
        <f t="shared" si="7"/>
        <v>0.25</v>
      </c>
      <c r="T15" s="43">
        <f t="shared" si="8"/>
        <v>0</v>
      </c>
      <c r="U15" s="5" t="s">
        <v>172</v>
      </c>
      <c r="V15" s="10" t="s">
        <v>178</v>
      </c>
      <c r="W15" s="5" t="s">
        <v>179</v>
      </c>
      <c r="X15" s="11" t="s">
        <v>180</v>
      </c>
    </row>
    <row r="16" spans="1:24" ht="18.75" customHeight="1">
      <c r="A16" s="5" t="s">
        <v>146</v>
      </c>
      <c r="B16" s="5" t="s">
        <v>181</v>
      </c>
      <c r="C16" s="120">
        <v>3.4</v>
      </c>
      <c r="D16" s="5" t="s">
        <v>102</v>
      </c>
      <c r="E16" s="44">
        <v>3</v>
      </c>
      <c r="F16" s="44">
        <v>6</v>
      </c>
      <c r="G16" s="44">
        <v>4</v>
      </c>
      <c r="H16" s="37" t="s">
        <v>109</v>
      </c>
      <c r="I16" s="38">
        <f t="shared" si="0"/>
        <v>0.7</v>
      </c>
      <c r="J16" s="41">
        <v>1</v>
      </c>
      <c r="K16" s="43">
        <f t="shared" si="1"/>
        <v>0.1333333333333333</v>
      </c>
      <c r="L16" s="43">
        <f t="shared" si="2"/>
        <v>0.8666666666666667</v>
      </c>
      <c r="M16" s="43">
        <f t="shared" si="3"/>
        <v>0.19999999999999996</v>
      </c>
      <c r="N16" s="43">
        <f t="shared" si="4"/>
        <v>0.8</v>
      </c>
      <c r="O16" s="12" t="s">
        <v>182</v>
      </c>
      <c r="P16" s="44" t="s">
        <v>53</v>
      </c>
      <c r="Q16" s="43">
        <f t="shared" si="5"/>
        <v>0.16000000000000003</v>
      </c>
      <c r="R16" s="43">
        <f t="shared" si="6"/>
        <v>0.24</v>
      </c>
      <c r="S16" s="43">
        <f t="shared" si="7"/>
        <v>7.9999999999999988E-2</v>
      </c>
      <c r="T16" s="43">
        <f t="shared" si="8"/>
        <v>8.0000000000000016E-2</v>
      </c>
      <c r="U16" s="5" t="s">
        <v>142</v>
      </c>
      <c r="V16" s="10" t="s">
        <v>183</v>
      </c>
      <c r="W16" s="5" t="s">
        <v>184</v>
      </c>
      <c r="X16" s="11" t="s">
        <v>185</v>
      </c>
    </row>
    <row r="17" spans="1:24" ht="18.75" customHeight="1">
      <c r="A17" s="5" t="s">
        <v>146</v>
      </c>
      <c r="B17" s="5" t="s">
        <v>186</v>
      </c>
      <c r="C17" s="120">
        <v>-3.1</v>
      </c>
      <c r="D17" s="5" t="s">
        <v>102</v>
      </c>
      <c r="E17" s="44">
        <v>-6</v>
      </c>
      <c r="F17" s="44">
        <v>0</v>
      </c>
      <c r="G17" s="44">
        <v>-3</v>
      </c>
      <c r="H17" s="37" t="s">
        <v>95</v>
      </c>
      <c r="I17" s="38">
        <f t="shared" si="0"/>
        <v>0.96666666666666667</v>
      </c>
      <c r="J17" s="41">
        <v>1</v>
      </c>
      <c r="K17" s="43">
        <f t="shared" si="1"/>
        <v>0.48333333333333334</v>
      </c>
      <c r="L17" s="43">
        <f t="shared" si="2"/>
        <v>0.51666666666666661</v>
      </c>
      <c r="M17" s="43">
        <f t="shared" si="3"/>
        <v>0.48333333333333334</v>
      </c>
      <c r="N17" s="43">
        <f t="shared" si="4"/>
        <v>0.51666666666666661</v>
      </c>
      <c r="O17" s="12" t="s">
        <v>187</v>
      </c>
      <c r="P17" s="44" t="s">
        <v>51</v>
      </c>
      <c r="Q17" s="43">
        <f t="shared" si="5"/>
        <v>0.24166666666666667</v>
      </c>
      <c r="R17" s="43">
        <f t="shared" si="6"/>
        <v>0.20666666666666667</v>
      </c>
      <c r="S17" s="43">
        <f t="shared" si="7"/>
        <v>9.6666666666666679E-2</v>
      </c>
      <c r="T17" s="43">
        <f t="shared" si="8"/>
        <v>5.1666666666666666E-2</v>
      </c>
      <c r="U17" s="5" t="s">
        <v>153</v>
      </c>
      <c r="V17" s="10" t="s">
        <v>188</v>
      </c>
      <c r="W17" s="5" t="s">
        <v>189</v>
      </c>
      <c r="X17" s="11" t="s">
        <v>190</v>
      </c>
    </row>
    <row r="18" spans="1:24" ht="18.75" customHeight="1">
      <c r="A18" s="5" t="s">
        <v>146</v>
      </c>
      <c r="B18" s="5" t="s">
        <v>191</v>
      </c>
      <c r="C18" s="120">
        <v>1.79</v>
      </c>
      <c r="D18" s="5" t="s">
        <v>192</v>
      </c>
      <c r="E18" s="44">
        <v>-4</v>
      </c>
      <c r="F18" s="44">
        <v>4</v>
      </c>
      <c r="G18" s="44">
        <v>1.8</v>
      </c>
      <c r="H18" s="37" t="s">
        <v>109</v>
      </c>
      <c r="I18" s="38">
        <f t="shared" si="0"/>
        <v>0.99827586206896557</v>
      </c>
      <c r="J18" s="40">
        <v>2</v>
      </c>
      <c r="K18" s="43">
        <f t="shared" si="1"/>
        <v>0.72375</v>
      </c>
      <c r="L18" s="43">
        <f t="shared" si="2"/>
        <v>0.27625</v>
      </c>
      <c r="M18" s="43">
        <f t="shared" si="3"/>
        <v>0.49913793103448278</v>
      </c>
      <c r="N18" s="43">
        <f t="shared" si="4"/>
        <v>0.50086206896551722</v>
      </c>
      <c r="O18" s="12" t="s">
        <v>193</v>
      </c>
      <c r="P18" s="44" t="s">
        <v>53</v>
      </c>
      <c r="Q18" s="43">
        <f t="shared" si="5"/>
        <v>0.39931034482758626</v>
      </c>
      <c r="R18" s="43">
        <f t="shared" si="6"/>
        <v>0.60103448275862059</v>
      </c>
      <c r="S18" s="43">
        <f t="shared" si="7"/>
        <v>0.79862068965517252</v>
      </c>
      <c r="T18" s="43">
        <f t="shared" si="8"/>
        <v>0.10017241379310345</v>
      </c>
      <c r="U18" s="5" t="s">
        <v>194</v>
      </c>
      <c r="V18" s="10" t="s">
        <v>195</v>
      </c>
      <c r="W18" s="5" t="s">
        <v>196</v>
      </c>
      <c r="X18" s="11" t="s">
        <v>197</v>
      </c>
    </row>
    <row r="19" spans="1:24" ht="18.75" customHeight="1">
      <c r="A19" s="5" t="s">
        <v>146</v>
      </c>
      <c r="B19" s="5" t="s">
        <v>198</v>
      </c>
      <c r="C19" s="120">
        <v>41.8</v>
      </c>
      <c r="D19" s="5" t="s">
        <v>102</v>
      </c>
      <c r="E19" s="44">
        <v>38</v>
      </c>
      <c r="F19" s="44">
        <v>43</v>
      </c>
      <c r="G19" s="44">
        <v>41</v>
      </c>
      <c r="H19" s="37" t="s">
        <v>109</v>
      </c>
      <c r="I19" s="38">
        <f t="shared" si="0"/>
        <v>0.73333333333333428</v>
      </c>
      <c r="J19" s="41">
        <v>1</v>
      </c>
      <c r="K19" s="43">
        <f t="shared" si="1"/>
        <v>0.75999999999999945</v>
      </c>
      <c r="L19" s="43">
        <f t="shared" si="2"/>
        <v>0.24000000000000055</v>
      </c>
      <c r="M19" s="43">
        <f t="shared" si="3"/>
        <v>0.69999999999999929</v>
      </c>
      <c r="N19" s="43">
        <f t="shared" si="4"/>
        <v>0.30000000000000071</v>
      </c>
      <c r="O19" s="12" t="s">
        <v>199</v>
      </c>
      <c r="P19" s="44" t="s">
        <v>52</v>
      </c>
      <c r="Q19" s="43">
        <f t="shared" si="5"/>
        <v>0.20999999999999977</v>
      </c>
      <c r="R19" s="43">
        <f t="shared" si="6"/>
        <v>9.0000000000000205E-2</v>
      </c>
      <c r="S19" s="43">
        <f t="shared" si="7"/>
        <v>0.41999999999999954</v>
      </c>
      <c r="T19" s="43">
        <f t="shared" si="8"/>
        <v>0</v>
      </c>
      <c r="U19" s="5" t="s">
        <v>200</v>
      </c>
      <c r="V19" s="10" t="s">
        <v>201</v>
      </c>
      <c r="W19" s="5" t="s">
        <v>202</v>
      </c>
      <c r="X19" s="11" t="s">
        <v>203</v>
      </c>
    </row>
    <row r="20" spans="1:24" ht="18.75" customHeight="1">
      <c r="A20" s="5" t="s">
        <v>146</v>
      </c>
      <c r="B20" s="5" t="s">
        <v>140</v>
      </c>
      <c r="C20" s="120">
        <v>5.7</v>
      </c>
      <c r="D20" s="5" t="s">
        <v>102</v>
      </c>
      <c r="E20" s="44">
        <v>-5</v>
      </c>
      <c r="F20" s="44">
        <v>10</v>
      </c>
      <c r="G20" s="44">
        <v>5</v>
      </c>
      <c r="H20" s="37" t="s">
        <v>109</v>
      </c>
      <c r="I20" s="38">
        <f t="shared" si="0"/>
        <v>0.92999999999999994</v>
      </c>
      <c r="J20" s="39">
        <v>1.5</v>
      </c>
      <c r="K20" s="43">
        <f t="shared" si="1"/>
        <v>0.71333333333333326</v>
      </c>
      <c r="L20" s="43">
        <f t="shared" si="2"/>
        <v>0.28666666666666674</v>
      </c>
      <c r="M20" s="43">
        <f t="shared" si="3"/>
        <v>0.57000000000000006</v>
      </c>
      <c r="N20" s="43">
        <f t="shared" si="4"/>
        <v>0.43</v>
      </c>
      <c r="O20" s="12" t="s">
        <v>204</v>
      </c>
      <c r="P20" s="44" t="s">
        <v>53</v>
      </c>
      <c r="Q20" s="43">
        <f t="shared" si="5"/>
        <v>0.129</v>
      </c>
      <c r="R20" s="43">
        <f t="shared" si="6"/>
        <v>0.19349999999999998</v>
      </c>
      <c r="S20" s="43">
        <f t="shared" si="7"/>
        <v>0.42750000000000005</v>
      </c>
      <c r="T20" s="43">
        <f t="shared" si="8"/>
        <v>6.4500000000000002E-2</v>
      </c>
      <c r="U20" s="5" t="s">
        <v>142</v>
      </c>
      <c r="V20" s="10" t="s">
        <v>205</v>
      </c>
      <c r="W20" s="5" t="s">
        <v>206</v>
      </c>
      <c r="X20" s="11" t="s">
        <v>207</v>
      </c>
    </row>
    <row r="21" spans="1:24" ht="18.75" customHeight="1">
      <c r="A21" s="5" t="s">
        <v>208</v>
      </c>
      <c r="B21" s="5" t="s">
        <v>209</v>
      </c>
      <c r="C21" s="120">
        <v>0.6</v>
      </c>
      <c r="D21" s="5" t="s">
        <v>102</v>
      </c>
      <c r="E21" s="44">
        <v>-6</v>
      </c>
      <c r="F21" s="44">
        <v>6</v>
      </c>
      <c r="G21" s="44">
        <v>0</v>
      </c>
      <c r="H21" s="37" t="s">
        <v>95</v>
      </c>
      <c r="I21" s="38">
        <f t="shared" si="0"/>
        <v>0.9</v>
      </c>
      <c r="J21" s="39">
        <v>1.5</v>
      </c>
      <c r="K21" s="43">
        <f t="shared" si="1"/>
        <v>0.54999999999999993</v>
      </c>
      <c r="L21" s="43">
        <f t="shared" si="2"/>
        <v>0.45000000000000007</v>
      </c>
      <c r="M21" s="43">
        <f t="shared" si="3"/>
        <v>0.55000000000000004</v>
      </c>
      <c r="N21" s="43">
        <f t="shared" si="4"/>
        <v>0.45</v>
      </c>
      <c r="O21" s="12" t="s">
        <v>210</v>
      </c>
      <c r="P21" s="44" t="s">
        <v>51</v>
      </c>
      <c r="Q21" s="43">
        <f t="shared" si="5"/>
        <v>0.33750000000000002</v>
      </c>
      <c r="R21" s="43">
        <f t="shared" si="6"/>
        <v>0.495</v>
      </c>
      <c r="S21" s="43">
        <f t="shared" si="7"/>
        <v>0.20249999999999999</v>
      </c>
      <c r="T21" s="43">
        <f t="shared" si="8"/>
        <v>8.2500000000000018E-2</v>
      </c>
      <c r="U21" s="5" t="s">
        <v>211</v>
      </c>
      <c r="V21" s="10" t="s">
        <v>212</v>
      </c>
      <c r="W21" s="5" t="s">
        <v>213</v>
      </c>
      <c r="X21" s="11" t="s">
        <v>214</v>
      </c>
    </row>
    <row r="22" spans="1:24" ht="18.75" customHeight="1">
      <c r="A22" s="5" t="s">
        <v>208</v>
      </c>
      <c r="B22" s="5" t="s">
        <v>215</v>
      </c>
      <c r="C22" s="120">
        <v>81.8</v>
      </c>
      <c r="D22" s="5" t="s">
        <v>102</v>
      </c>
      <c r="E22" s="44">
        <v>70</v>
      </c>
      <c r="F22" s="44">
        <v>95</v>
      </c>
      <c r="G22" s="44">
        <v>85</v>
      </c>
      <c r="H22" s="37" t="s">
        <v>109</v>
      </c>
      <c r="I22" s="38">
        <f t="shared" si="0"/>
        <v>0.78666666666666651</v>
      </c>
      <c r="J22" s="41">
        <v>1</v>
      </c>
      <c r="K22" s="43">
        <f t="shared" si="1"/>
        <v>0.47199999999999986</v>
      </c>
      <c r="L22" s="43">
        <f t="shared" si="2"/>
        <v>0.52800000000000014</v>
      </c>
      <c r="M22" s="43">
        <f t="shared" si="3"/>
        <v>0.39333333333333326</v>
      </c>
      <c r="N22" s="43">
        <f t="shared" si="4"/>
        <v>0.60666666666666669</v>
      </c>
      <c r="O22" s="12" t="s">
        <v>216</v>
      </c>
      <c r="P22" s="44" t="s">
        <v>52</v>
      </c>
      <c r="Q22" s="43">
        <f t="shared" si="5"/>
        <v>0.15733333333333333</v>
      </c>
      <c r="R22" s="43">
        <f t="shared" si="6"/>
        <v>0.30333333333333334</v>
      </c>
      <c r="S22" s="43">
        <f t="shared" si="7"/>
        <v>0.15733333333333333</v>
      </c>
      <c r="T22" s="43">
        <f t="shared" si="8"/>
        <v>6.0666666666666674E-2</v>
      </c>
      <c r="U22" s="5" t="s">
        <v>217</v>
      </c>
      <c r="V22" s="10" t="s">
        <v>218</v>
      </c>
      <c r="W22" s="5" t="s">
        <v>219</v>
      </c>
      <c r="X22" s="11" t="s">
        <v>220</v>
      </c>
    </row>
    <row r="23" spans="1:24" ht="18.75" customHeight="1">
      <c r="A23" s="5" t="s">
        <v>208</v>
      </c>
      <c r="B23" s="5" t="s">
        <v>221</v>
      </c>
      <c r="C23" s="120">
        <v>2.3E-2</v>
      </c>
      <c r="D23" s="5" t="s">
        <v>222</v>
      </c>
      <c r="E23" s="44">
        <v>0</v>
      </c>
      <c r="F23" s="44">
        <v>1</v>
      </c>
      <c r="G23" s="44">
        <v>0.4</v>
      </c>
      <c r="H23" s="37" t="s">
        <v>109</v>
      </c>
      <c r="I23" s="38">
        <f t="shared" si="0"/>
        <v>0.37166666666666659</v>
      </c>
      <c r="J23" s="41">
        <v>1</v>
      </c>
      <c r="K23" s="43">
        <f t="shared" si="1"/>
        <v>2.3E-2</v>
      </c>
      <c r="L23" s="43">
        <f t="shared" si="2"/>
        <v>0.97699999999999998</v>
      </c>
      <c r="M23" s="43">
        <f t="shared" si="3"/>
        <v>2.8749999999999998E-2</v>
      </c>
      <c r="N23" s="43">
        <f t="shared" si="4"/>
        <v>0.97124999999999995</v>
      </c>
      <c r="O23" s="12" t="s">
        <v>223</v>
      </c>
      <c r="P23" s="44" t="s">
        <v>159</v>
      </c>
      <c r="Q23" s="43">
        <f t="shared" si="5"/>
        <v>5.7499999999999999E-3</v>
      </c>
      <c r="R23" s="43">
        <f t="shared" si="6"/>
        <v>0.291375</v>
      </c>
      <c r="S23" s="43">
        <f t="shared" si="7"/>
        <v>1.4374999999999999E-2</v>
      </c>
      <c r="T23" s="43">
        <f t="shared" si="8"/>
        <v>9.7125000000000003E-2</v>
      </c>
      <c r="U23" s="5" t="s">
        <v>224</v>
      </c>
      <c r="V23" s="10" t="s">
        <v>225</v>
      </c>
      <c r="W23" s="5" t="s">
        <v>226</v>
      </c>
      <c r="X23" s="11" t="s">
        <v>227</v>
      </c>
    </row>
    <row r="24" spans="1:24" ht="18.75" customHeight="1">
      <c r="A24" s="5" t="s">
        <v>208</v>
      </c>
      <c r="B24" s="5" t="s">
        <v>228</v>
      </c>
      <c r="C24" s="120">
        <v>19</v>
      </c>
      <c r="D24" s="5" t="s">
        <v>102</v>
      </c>
      <c r="E24" s="44">
        <v>-5</v>
      </c>
      <c r="F24" s="44">
        <v>25</v>
      </c>
      <c r="G24" s="44">
        <v>10</v>
      </c>
      <c r="H24" s="37" t="s">
        <v>95</v>
      </c>
      <c r="I24" s="38">
        <f t="shared" si="0"/>
        <v>0.4</v>
      </c>
      <c r="J24" s="41">
        <v>1</v>
      </c>
      <c r="K24" s="43">
        <f t="shared" si="1"/>
        <v>0.8</v>
      </c>
      <c r="L24" s="43">
        <f t="shared" si="2"/>
        <v>0.19999999999999996</v>
      </c>
      <c r="M24" s="43">
        <f t="shared" si="3"/>
        <v>0.8</v>
      </c>
      <c r="N24" s="43">
        <f t="shared" si="4"/>
        <v>0.2</v>
      </c>
      <c r="O24" s="12" t="s">
        <v>229</v>
      </c>
      <c r="P24" s="44" t="s">
        <v>53</v>
      </c>
      <c r="Q24" s="43">
        <f t="shared" si="5"/>
        <v>4.0000000000000008E-2</v>
      </c>
      <c r="R24" s="43">
        <f t="shared" si="6"/>
        <v>0.4</v>
      </c>
      <c r="S24" s="43">
        <f t="shared" si="7"/>
        <v>0.16000000000000003</v>
      </c>
      <c r="T24" s="43">
        <f t="shared" si="8"/>
        <v>8.0000000000000016E-2</v>
      </c>
      <c r="U24" s="5" t="s">
        <v>142</v>
      </c>
      <c r="V24" s="10" t="s">
        <v>230</v>
      </c>
      <c r="W24" s="5" t="s">
        <v>231</v>
      </c>
      <c r="X24" s="11" t="s">
        <v>232</v>
      </c>
    </row>
    <row r="25" spans="1:24" ht="18.75" customHeight="1">
      <c r="A25" s="5" t="s">
        <v>208</v>
      </c>
      <c r="B25" s="5" t="s">
        <v>233</v>
      </c>
      <c r="C25" s="120">
        <v>24.5</v>
      </c>
      <c r="D25" s="5" t="s">
        <v>102</v>
      </c>
      <c r="E25" s="44">
        <v>15</v>
      </c>
      <c r="F25" s="44">
        <v>40</v>
      </c>
      <c r="G25" s="44">
        <v>30</v>
      </c>
      <c r="H25" s="37" t="s">
        <v>95</v>
      </c>
      <c r="I25" s="38">
        <f t="shared" si="0"/>
        <v>0.6333333333333333</v>
      </c>
      <c r="J25" s="42">
        <v>0.5</v>
      </c>
      <c r="K25" s="43">
        <f t="shared" si="1"/>
        <v>0.38</v>
      </c>
      <c r="L25" s="43">
        <f t="shared" si="2"/>
        <v>0.62</v>
      </c>
      <c r="M25" s="43">
        <f t="shared" si="3"/>
        <v>0.31666666666666665</v>
      </c>
      <c r="N25" s="43">
        <f t="shared" si="4"/>
        <v>0.68333333333333335</v>
      </c>
      <c r="O25" s="12" t="s">
        <v>234</v>
      </c>
      <c r="P25" s="44" t="s">
        <v>54</v>
      </c>
      <c r="Q25" s="43">
        <f t="shared" si="5"/>
        <v>3.4166666666666672E-2</v>
      </c>
      <c r="R25" s="43">
        <f t="shared" si="6"/>
        <v>4.7499999999999994E-2</v>
      </c>
      <c r="S25" s="43">
        <f t="shared" si="7"/>
        <v>3.4166666666666672E-2</v>
      </c>
      <c r="T25" s="43">
        <f t="shared" si="8"/>
        <v>3.1666666666666669E-2</v>
      </c>
      <c r="U25" s="5" t="s">
        <v>211</v>
      </c>
      <c r="V25" s="10" t="s">
        <v>235</v>
      </c>
      <c r="W25" s="5" t="s">
        <v>236</v>
      </c>
      <c r="X25" s="11" t="s">
        <v>237</v>
      </c>
    </row>
    <row r="26" spans="1:24" ht="18.75" customHeight="1">
      <c r="A26" s="5" t="s">
        <v>208</v>
      </c>
      <c r="B26" s="5" t="s">
        <v>238</v>
      </c>
      <c r="C26" s="120">
        <v>6.52</v>
      </c>
      <c r="D26" s="5" t="s">
        <v>239</v>
      </c>
      <c r="E26" s="44">
        <v>2.5</v>
      </c>
      <c r="F26" s="44">
        <v>7</v>
      </c>
      <c r="G26" s="44">
        <v>4</v>
      </c>
      <c r="H26" s="37" t="s">
        <v>109</v>
      </c>
      <c r="I26" s="38">
        <f t="shared" si="0"/>
        <v>0.16000000000000014</v>
      </c>
      <c r="J26" s="41">
        <v>1</v>
      </c>
      <c r="K26" s="43">
        <f t="shared" si="1"/>
        <v>0.8933333333333332</v>
      </c>
      <c r="L26" s="43">
        <f t="shared" si="2"/>
        <v>0.1066666666666668</v>
      </c>
      <c r="M26" s="43">
        <f t="shared" si="3"/>
        <v>0.91999999999999993</v>
      </c>
      <c r="N26" s="43">
        <f t="shared" si="4"/>
        <v>8.0000000000000071E-2</v>
      </c>
      <c r="O26" s="12" t="s">
        <v>240</v>
      </c>
      <c r="P26" s="44" t="s">
        <v>53</v>
      </c>
      <c r="Q26" s="43">
        <f t="shared" si="5"/>
        <v>0.27599999999999997</v>
      </c>
      <c r="R26" s="43">
        <f t="shared" si="6"/>
        <v>4.0000000000000036E-2</v>
      </c>
      <c r="S26" s="43">
        <f t="shared" si="7"/>
        <v>0.55199999999999994</v>
      </c>
      <c r="T26" s="43">
        <f t="shared" si="8"/>
        <v>8.0000000000000071E-3</v>
      </c>
      <c r="U26" s="5" t="s">
        <v>241</v>
      </c>
      <c r="V26" s="10" t="s">
        <v>242</v>
      </c>
      <c r="W26" s="5" t="s">
        <v>243</v>
      </c>
      <c r="X26" s="11" t="s">
        <v>244</v>
      </c>
    </row>
    <row r="27" spans="1:24" ht="18.75" customHeight="1">
      <c r="A27" s="5" t="s">
        <v>208</v>
      </c>
      <c r="B27" s="5" t="s">
        <v>245</v>
      </c>
      <c r="C27" s="120">
        <v>1140000</v>
      </c>
      <c r="D27" s="5" t="s">
        <v>134</v>
      </c>
      <c r="E27" s="44">
        <v>300000</v>
      </c>
      <c r="F27" s="44">
        <v>2500000</v>
      </c>
      <c r="G27" s="44">
        <v>1000000</v>
      </c>
      <c r="H27" s="37" t="s">
        <v>109</v>
      </c>
      <c r="I27" s="38">
        <f t="shared" si="0"/>
        <v>0.90666666666666662</v>
      </c>
      <c r="J27" s="41">
        <v>1</v>
      </c>
      <c r="K27" s="43">
        <f t="shared" si="1"/>
        <v>0.38181818181818183</v>
      </c>
      <c r="L27" s="43">
        <f t="shared" si="2"/>
        <v>0.61818181818181817</v>
      </c>
      <c r="M27" s="43">
        <f t="shared" si="3"/>
        <v>0.54666666666666663</v>
      </c>
      <c r="N27" s="43">
        <f t="shared" si="4"/>
        <v>0.45333333333333331</v>
      </c>
      <c r="O27" s="12" t="s">
        <v>246</v>
      </c>
      <c r="P27" s="44" t="s">
        <v>52</v>
      </c>
      <c r="Q27" s="43">
        <f t="shared" si="5"/>
        <v>0.10933333333333334</v>
      </c>
      <c r="R27" s="43">
        <f t="shared" si="6"/>
        <v>0.13599999999999998</v>
      </c>
      <c r="S27" s="43">
        <f t="shared" si="7"/>
        <v>0.3826666666666666</v>
      </c>
      <c r="T27" s="43">
        <f t="shared" si="8"/>
        <v>4.5333333333333337E-2</v>
      </c>
      <c r="U27" s="5" t="s">
        <v>211</v>
      </c>
      <c r="V27" s="99" t="s">
        <v>247</v>
      </c>
      <c r="W27" t="s">
        <v>248</v>
      </c>
      <c r="X27" s="11" t="s">
        <v>249</v>
      </c>
    </row>
    <row r="28" spans="1:24" ht="18.75" customHeight="1">
      <c r="A28" s="5" t="s">
        <v>250</v>
      </c>
      <c r="B28" s="5" t="s">
        <v>101</v>
      </c>
      <c r="C28" s="120">
        <v>7.8</v>
      </c>
      <c r="D28" s="5" t="s">
        <v>102</v>
      </c>
      <c r="E28" s="44">
        <v>3</v>
      </c>
      <c r="F28" s="44">
        <v>9</v>
      </c>
      <c r="G28" s="44">
        <v>6</v>
      </c>
      <c r="H28" s="37" t="s">
        <v>95</v>
      </c>
      <c r="I28" s="38">
        <f t="shared" si="0"/>
        <v>0.4</v>
      </c>
      <c r="J28" s="39">
        <v>1.5</v>
      </c>
      <c r="K28" s="43">
        <f t="shared" si="1"/>
        <v>0.79999999999999993</v>
      </c>
      <c r="L28" s="43">
        <f t="shared" si="2"/>
        <v>0.20000000000000007</v>
      </c>
      <c r="M28" s="43">
        <f t="shared" si="3"/>
        <v>0.8</v>
      </c>
      <c r="N28" s="43">
        <f t="shared" si="4"/>
        <v>0.2</v>
      </c>
      <c r="O28" s="12" t="s">
        <v>251</v>
      </c>
      <c r="P28" s="44" t="s">
        <v>123</v>
      </c>
      <c r="Q28" s="43">
        <f t="shared" si="5"/>
        <v>0.36</v>
      </c>
      <c r="R28" s="43">
        <f t="shared" si="6"/>
        <v>6.0000000000000012E-2</v>
      </c>
      <c r="S28" s="43">
        <f t="shared" si="7"/>
        <v>0.12000000000000002</v>
      </c>
      <c r="T28" s="43">
        <f t="shared" si="8"/>
        <v>0.24000000000000005</v>
      </c>
      <c r="U28" s="5" t="s">
        <v>252</v>
      </c>
      <c r="V28" s="10" t="s">
        <v>253</v>
      </c>
      <c r="W28" s="5" t="s">
        <v>254</v>
      </c>
      <c r="X28" s="11" t="s">
        <v>255</v>
      </c>
    </row>
    <row r="29" spans="1:24" ht="18.75" customHeight="1">
      <c r="A29" s="5" t="s">
        <v>250</v>
      </c>
      <c r="B29" s="5" t="s">
        <v>256</v>
      </c>
      <c r="C29" s="120">
        <v>59.8</v>
      </c>
      <c r="D29" s="5" t="s">
        <v>128</v>
      </c>
      <c r="E29" s="44">
        <v>45</v>
      </c>
      <c r="F29" s="44">
        <v>65</v>
      </c>
      <c r="G29" s="44">
        <v>50</v>
      </c>
      <c r="H29" s="37" t="s">
        <v>95</v>
      </c>
      <c r="I29" s="38">
        <f t="shared" si="0"/>
        <v>0.3466666666666669</v>
      </c>
      <c r="J29" s="41">
        <v>1</v>
      </c>
      <c r="K29" s="43">
        <f t="shared" si="1"/>
        <v>0.73999999999999988</v>
      </c>
      <c r="L29" s="43">
        <f t="shared" si="2"/>
        <v>0.26000000000000012</v>
      </c>
      <c r="M29" s="43">
        <f t="shared" si="3"/>
        <v>0.82666666666666655</v>
      </c>
      <c r="N29" s="43">
        <f t="shared" si="4"/>
        <v>0.17333333333333345</v>
      </c>
      <c r="O29" s="12" t="s">
        <v>257</v>
      </c>
      <c r="P29" s="44" t="s">
        <v>123</v>
      </c>
      <c r="Q29" s="43">
        <f t="shared" si="5"/>
        <v>0.16533333333333333</v>
      </c>
      <c r="R29" s="43">
        <f t="shared" si="6"/>
        <v>1.7333333333333346E-2</v>
      </c>
      <c r="S29" s="43">
        <f t="shared" si="7"/>
        <v>8.2666666666666666E-2</v>
      </c>
      <c r="T29" s="43">
        <f t="shared" si="8"/>
        <v>8.2666666666666666E-2</v>
      </c>
      <c r="U29" s="5" t="s">
        <v>258</v>
      </c>
      <c r="V29" s="10" t="s">
        <v>259</v>
      </c>
      <c r="W29" s="5" t="s">
        <v>260</v>
      </c>
      <c r="X29" s="11" t="s">
        <v>261</v>
      </c>
    </row>
    <row r="30" spans="1:24" ht="18.75" customHeight="1">
      <c r="A30" s="5" t="s">
        <v>250</v>
      </c>
      <c r="B30" s="5" t="s">
        <v>262</v>
      </c>
      <c r="C30" s="120">
        <v>81.040000000000006</v>
      </c>
      <c r="D30" s="5" t="s">
        <v>263</v>
      </c>
      <c r="E30" s="44">
        <v>50</v>
      </c>
      <c r="F30" s="44">
        <v>100</v>
      </c>
      <c r="G30" s="44">
        <v>75</v>
      </c>
      <c r="H30" s="37" t="s">
        <v>95</v>
      </c>
      <c r="I30" s="38">
        <f t="shared" si="0"/>
        <v>0.75839999999999974</v>
      </c>
      <c r="J30" s="42">
        <v>0.5</v>
      </c>
      <c r="K30" s="43">
        <f t="shared" si="1"/>
        <v>0.62080000000000013</v>
      </c>
      <c r="L30" s="43">
        <f t="shared" si="2"/>
        <v>0.37919999999999987</v>
      </c>
      <c r="M30" s="43">
        <f t="shared" si="3"/>
        <v>0.62080000000000013</v>
      </c>
      <c r="N30" s="43">
        <f t="shared" si="4"/>
        <v>0.37919999999999987</v>
      </c>
      <c r="O30" s="12" t="s">
        <v>264</v>
      </c>
      <c r="P30" s="44" t="s">
        <v>123</v>
      </c>
      <c r="Q30" s="43">
        <f t="shared" si="5"/>
        <v>3.1040000000000009E-2</v>
      </c>
      <c r="R30" s="43">
        <f t="shared" si="6"/>
        <v>1.8959999999999994E-2</v>
      </c>
      <c r="S30" s="43">
        <f t="shared" si="7"/>
        <v>0</v>
      </c>
      <c r="T30" s="43">
        <f t="shared" si="8"/>
        <v>3.1040000000000009E-2</v>
      </c>
      <c r="U30" s="5" t="s">
        <v>265</v>
      </c>
      <c r="V30" s="10" t="s">
        <v>266</v>
      </c>
      <c r="W30" s="5" t="s">
        <v>267</v>
      </c>
      <c r="X30" s="11" t="s">
        <v>268</v>
      </c>
    </row>
    <row r="31" spans="1:24" ht="18.75" customHeight="1">
      <c r="A31" s="5" t="s">
        <v>250</v>
      </c>
      <c r="B31" s="5" t="s">
        <v>269</v>
      </c>
      <c r="C31" s="120">
        <v>1</v>
      </c>
      <c r="D31" s="5" t="s">
        <v>128</v>
      </c>
      <c r="E31" s="44">
        <v>-1</v>
      </c>
      <c r="F31" s="44">
        <v>3</v>
      </c>
      <c r="G31" s="44">
        <v>0</v>
      </c>
      <c r="H31" s="37" t="s">
        <v>95</v>
      </c>
      <c r="I31" s="38">
        <f t="shared" si="0"/>
        <v>0.66666666666666674</v>
      </c>
      <c r="J31" s="41">
        <v>1</v>
      </c>
      <c r="K31" s="43">
        <f t="shared" si="1"/>
        <v>0.5</v>
      </c>
      <c r="L31" s="43">
        <f t="shared" si="2"/>
        <v>0.5</v>
      </c>
      <c r="M31" s="43">
        <f t="shared" si="3"/>
        <v>0.66666666666666663</v>
      </c>
      <c r="N31" s="43">
        <f t="shared" si="4"/>
        <v>0.33333333333333337</v>
      </c>
      <c r="O31" s="12" t="s">
        <v>257</v>
      </c>
      <c r="P31" s="44" t="s">
        <v>51</v>
      </c>
      <c r="Q31" s="43">
        <f t="shared" si="5"/>
        <v>0.13333333333333333</v>
      </c>
      <c r="R31" s="43">
        <f t="shared" si="6"/>
        <v>3.333333333333334E-2</v>
      </c>
      <c r="S31" s="43">
        <f t="shared" si="7"/>
        <v>6.6666666666666666E-2</v>
      </c>
      <c r="T31" s="43">
        <f t="shared" si="8"/>
        <v>6.6666666666666666E-2</v>
      </c>
      <c r="U31" s="5" t="s">
        <v>252</v>
      </c>
      <c r="V31" s="10" t="s">
        <v>270</v>
      </c>
      <c r="W31" s="5" t="s">
        <v>271</v>
      </c>
      <c r="X31" s="11" t="s">
        <v>272</v>
      </c>
    </row>
    <row r="32" spans="1:24" ht="18.75" customHeight="1">
      <c r="A32" s="5" t="s">
        <v>250</v>
      </c>
      <c r="B32" s="5" t="s">
        <v>273</v>
      </c>
      <c r="C32" s="120">
        <v>5.8</v>
      </c>
      <c r="D32" s="5" t="s">
        <v>274</v>
      </c>
      <c r="E32" s="44">
        <v>5</v>
      </c>
      <c r="F32" s="44">
        <v>6.5</v>
      </c>
      <c r="G32" s="44">
        <v>6</v>
      </c>
      <c r="H32" s="37" t="s">
        <v>95</v>
      </c>
      <c r="I32" s="38">
        <f t="shared" si="0"/>
        <v>0.79999999999999982</v>
      </c>
      <c r="J32" s="42">
        <v>0.5</v>
      </c>
      <c r="K32" s="43">
        <f t="shared" si="1"/>
        <v>0.53333333333333321</v>
      </c>
      <c r="L32" s="43">
        <f t="shared" si="2"/>
        <v>0.46666666666666679</v>
      </c>
      <c r="M32" s="43">
        <f t="shared" si="3"/>
        <v>0.39999999999999991</v>
      </c>
      <c r="N32" s="43">
        <f t="shared" si="4"/>
        <v>0.60000000000000009</v>
      </c>
      <c r="O32" s="12" t="s">
        <v>275</v>
      </c>
      <c r="P32" s="44" t="s">
        <v>54</v>
      </c>
      <c r="Q32" s="43">
        <f t="shared" si="5"/>
        <v>1.9999999999999997E-2</v>
      </c>
      <c r="R32" s="43">
        <f t="shared" si="6"/>
        <v>3.0000000000000006E-2</v>
      </c>
      <c r="S32" s="43">
        <f t="shared" si="7"/>
        <v>0</v>
      </c>
      <c r="T32" s="43">
        <f t="shared" si="8"/>
        <v>5.9999999999999984E-2</v>
      </c>
      <c r="U32" s="5" t="s">
        <v>276</v>
      </c>
      <c r="V32" s="10" t="s">
        <v>277</v>
      </c>
      <c r="W32" s="5" t="s">
        <v>278</v>
      </c>
      <c r="X32" s="11" t="s">
        <v>279</v>
      </c>
    </row>
    <row r="33" spans="1:24" ht="18.75" customHeight="1">
      <c r="A33" s="5" t="s">
        <v>250</v>
      </c>
      <c r="B33" s="5" t="s">
        <v>157</v>
      </c>
      <c r="C33" s="120">
        <v>81</v>
      </c>
      <c r="D33" s="5" t="s">
        <v>102</v>
      </c>
      <c r="E33" s="44">
        <v>70</v>
      </c>
      <c r="F33" s="44">
        <v>90</v>
      </c>
      <c r="G33" s="44">
        <v>85</v>
      </c>
      <c r="H33" s="37" t="s">
        <v>109</v>
      </c>
      <c r="I33" s="38">
        <f t="shared" si="0"/>
        <v>0.73333333333333339</v>
      </c>
      <c r="J33" s="42">
        <v>0.5</v>
      </c>
      <c r="K33" s="43">
        <f t="shared" si="1"/>
        <v>0.55000000000000004</v>
      </c>
      <c r="L33" s="43">
        <f t="shared" si="2"/>
        <v>0.44999999999999996</v>
      </c>
      <c r="M33" s="43">
        <f t="shared" si="3"/>
        <v>0.36666666666666664</v>
      </c>
      <c r="N33" s="43">
        <f t="shared" si="4"/>
        <v>0.6333333333333333</v>
      </c>
      <c r="O33" s="12" t="s">
        <v>280</v>
      </c>
      <c r="P33" s="44" t="s">
        <v>159</v>
      </c>
      <c r="Q33" s="43">
        <f t="shared" si="5"/>
        <v>1.8333333333333333E-2</v>
      </c>
      <c r="R33" s="43">
        <f t="shared" si="6"/>
        <v>3.1666666666666669E-2</v>
      </c>
      <c r="S33" s="43">
        <f t="shared" si="7"/>
        <v>1.8333333333333333E-2</v>
      </c>
      <c r="T33" s="43">
        <f t="shared" si="8"/>
        <v>3.1666666666666669E-2</v>
      </c>
      <c r="U33" s="5" t="s">
        <v>281</v>
      </c>
      <c r="V33" s="10" t="s">
        <v>282</v>
      </c>
      <c r="W33" s="5" t="s">
        <v>283</v>
      </c>
      <c r="X33" s="11" t="s">
        <v>284</v>
      </c>
    </row>
    <row r="34" spans="1:24" ht="18.75" customHeight="1">
      <c r="A34" s="5" t="s">
        <v>250</v>
      </c>
      <c r="B34" s="5" t="s">
        <v>285</v>
      </c>
      <c r="C34" s="120">
        <v>-0.6</v>
      </c>
      <c r="D34" s="5" t="s">
        <v>128</v>
      </c>
      <c r="E34" s="44">
        <v>-3</v>
      </c>
      <c r="F34" s="44">
        <v>1</v>
      </c>
      <c r="G34" s="44">
        <v>-2</v>
      </c>
      <c r="H34" s="37" t="s">
        <v>95</v>
      </c>
      <c r="I34" s="38">
        <f t="shared" ref="I34:I50" si="9">1 - (ABS(C34 - G34) / MAX(ABS(F34 - G34), ABS(E34 - G34)))</f>
        <v>0.53333333333333344</v>
      </c>
      <c r="J34" s="42">
        <v>0.5</v>
      </c>
      <c r="K34" s="43">
        <f t="shared" ref="K34:K50" si="10">MAX(0,MIN(1,(C34-E34)/(F34-E34)))</f>
        <v>0.6</v>
      </c>
      <c r="L34" s="43">
        <f t="shared" ref="L34:L50" si="11">MAX(0,MIN(1,1-(C34-E34)/(F34-E34)))</f>
        <v>0.4</v>
      </c>
      <c r="M34" s="43">
        <f t="shared" ref="M34:M50" si="12">IF(C34&gt;=G34, 0.5+0.5*(C34-G34)/(F34-G34), 0.5*(C34-E34)/(G34-E34))</f>
        <v>0.73333333333333328</v>
      </c>
      <c r="N34" s="43">
        <f t="shared" ref="N34:N50" si="13">IF(C34&gt;=G34, 0.5*(1-(C34-G34)/(F34-G34)), 0.5+0.5*(1-(C34-E34)/(G34-E34)))</f>
        <v>0.26666666666666672</v>
      </c>
      <c r="O34" s="12" t="s">
        <v>286</v>
      </c>
      <c r="P34" s="44" t="s">
        <v>52</v>
      </c>
      <c r="Q34" s="43">
        <f t="shared" ref="Q34:Q50" si="14">IFERROR(IF(VALUE(TRIM(MID($O34,2,SEARCH(",",$O34)-2)))&gt;=0,ABS(VALUE(TRIM(MID($O34,2,SEARCH(",",$O34)-2))))*$J34*$M34,ABS(VALUE(TRIM(MID($O34,2,SEARCH(",",$O34)-2))))*$J34*$N34),0)</f>
        <v>0</v>
      </c>
      <c r="R34" s="43">
        <f t="shared" ref="R34:R50" si="15">IFERROR(IF(VALUE(TRIM(MID($O34,SEARCH(",",$O34)+2,SEARCH(",",$O34,SEARCH(",",$O34)+1)-SEARCH(",",$O34)-2)))&gt;=0,ABS(VALUE(TRIM(MID($O34,SEARCH(",",$O34)+2,SEARCH(",",$O34,SEARCH(",",$O34)+1)-SEARCH(",",$O34)-2))))*$J34*$M34,ABS(VALUE(TRIM(MID($O34,SEARCH(",",$O34)+2,SEARCH(",",$O34,SEARCH(",",$O34)+1)-SEARCH(",",$O34)-2))))*$J34*$N34),0)</f>
        <v>0</v>
      </c>
      <c r="S34" s="43">
        <f t="shared" ref="S34:S50" si="16">IFERROR(IF(VALUE(TRIM(MID($O34,SEARCH(",",$O34,SEARCH(",",$O34)+1)+2,SEARCH(",",$O34,SEARCH(",",$O34,SEARCH(",",$O34)+1)+1)-SEARCH(",",$O34,SEARCH(",",$O34)+1)-2)))&gt;=0,ABS(VALUE(TRIM(MID($O34,SEARCH(",",$O34,SEARCH(",",$O34)+1)+2,SEARCH(",",$O34,SEARCH(",",$O34,SEARCH(",",$O34)+1)+1)-SEARCH(",",$O34,SEARCH(",",$O34)+1)-2))))*$J34*$M34,ABS(VALUE(TRIM(MID($O34,SEARCH(",",$O34,SEARCH(",",$O34)+1)+2,SEARCH(",",$O34,SEARCH(",",$O34,SEARCH(",",$O34)+1)+1)-SEARCH(",",$O34,SEARCH(",",$O34)+1)-2))))*$J34*$N34),0)</f>
        <v>7.3333333333333334E-2</v>
      </c>
      <c r="T34" s="43">
        <f t="shared" ref="T34:T50" si="17">IFERROR(IF(VALUE(TRIM(MID($O34,SEARCH(",",$O34,SEARCH(",",$O34,SEARCH(",",$O34)+1)+1)+2,SEARCH("]",$O34)-SEARCH(",",$O34,SEARCH(",",$O34,SEARCH(",",$O34)+1)+1)-2)))&gt;=0,ABS(VALUE(TRIM(MID($O34,SEARCH(",",$O34,SEARCH(",",$O34,SEARCH(",",$O34)+1)+1)+2,SEARCH("]",$O34)-SEARCH(",",$O34,SEARCH(",",$O34,SEARCH(",",$O34)+1)+1)-2))))*$J34*$M34,ABS(VALUE(TRIM(MID($O34,SEARCH(",",$O34,SEARCH(",",$O34,SEARCH(",",$O34)+1)+1)+2,SEARCH("]",$O34)-SEARCH(",",$O34,SEARCH(",",$O34,SEARCH(",",$O34)+1)+1)-2))))*$J34*$N34),0)</f>
        <v>0</v>
      </c>
      <c r="U34" s="5" t="s">
        <v>281</v>
      </c>
      <c r="V34" s="10" t="s">
        <v>287</v>
      </c>
      <c r="W34" s="5" t="s">
        <v>288</v>
      </c>
      <c r="X34" s="11" t="s">
        <v>289</v>
      </c>
    </row>
    <row r="35" spans="1:24" ht="18.75" customHeight="1">
      <c r="A35" s="5" t="s">
        <v>250</v>
      </c>
      <c r="B35" s="5" t="s">
        <v>290</v>
      </c>
      <c r="C35" s="120">
        <v>88.2</v>
      </c>
      <c r="D35" s="5" t="s">
        <v>102</v>
      </c>
      <c r="E35" s="44">
        <v>80</v>
      </c>
      <c r="F35" s="44">
        <v>92</v>
      </c>
      <c r="G35" s="44">
        <v>85</v>
      </c>
      <c r="H35" s="37" t="s">
        <v>109</v>
      </c>
      <c r="I35" s="38">
        <f t="shared" si="9"/>
        <v>0.54285714285714248</v>
      </c>
      <c r="J35" s="41">
        <v>1</v>
      </c>
      <c r="K35" s="43">
        <f t="shared" si="10"/>
        <v>0.68333333333333357</v>
      </c>
      <c r="L35" s="43">
        <f t="shared" si="11"/>
        <v>0.31666666666666643</v>
      </c>
      <c r="M35" s="43">
        <f t="shared" si="12"/>
        <v>0.72857142857142876</v>
      </c>
      <c r="N35" s="43">
        <f t="shared" si="13"/>
        <v>0.27142857142857124</v>
      </c>
      <c r="O35" s="12" t="s">
        <v>291</v>
      </c>
      <c r="P35" s="44" t="s">
        <v>52</v>
      </c>
      <c r="Q35" s="43">
        <f t="shared" si="14"/>
        <v>7.2857142857142884E-2</v>
      </c>
      <c r="R35" s="43">
        <f t="shared" si="15"/>
        <v>5.428571428571425E-2</v>
      </c>
      <c r="S35" s="43">
        <f t="shared" si="16"/>
        <v>0.29142857142857154</v>
      </c>
      <c r="T35" s="43">
        <f t="shared" si="17"/>
        <v>2.7142857142857125E-2</v>
      </c>
      <c r="U35" s="5" t="s">
        <v>292</v>
      </c>
      <c r="V35" s="10" t="s">
        <v>293</v>
      </c>
      <c r="W35" s="5" t="s">
        <v>294</v>
      </c>
      <c r="X35" s="11" t="s">
        <v>295</v>
      </c>
    </row>
    <row r="36" spans="1:24" ht="18.75" customHeight="1">
      <c r="A36" s="5" t="s">
        <v>296</v>
      </c>
      <c r="B36" s="5" t="s">
        <v>297</v>
      </c>
      <c r="C36" s="120">
        <v>68</v>
      </c>
      <c r="D36" s="5" t="s">
        <v>298</v>
      </c>
      <c r="E36" s="44">
        <v>20</v>
      </c>
      <c r="F36" s="44">
        <v>150</v>
      </c>
      <c r="G36" s="44">
        <v>85</v>
      </c>
      <c r="H36" s="37" t="s">
        <v>109</v>
      </c>
      <c r="I36" s="38">
        <f t="shared" si="9"/>
        <v>0.7384615384615385</v>
      </c>
      <c r="J36" s="41">
        <v>1</v>
      </c>
      <c r="K36" s="43">
        <f t="shared" si="10"/>
        <v>0.36923076923076925</v>
      </c>
      <c r="L36" s="43">
        <f t="shared" si="11"/>
        <v>0.63076923076923075</v>
      </c>
      <c r="M36" s="43">
        <f t="shared" si="12"/>
        <v>0.36923076923076925</v>
      </c>
      <c r="N36" s="43">
        <f t="shared" si="13"/>
        <v>0.63076923076923075</v>
      </c>
      <c r="O36" s="12" t="s">
        <v>299</v>
      </c>
      <c r="P36" s="44" t="s">
        <v>51</v>
      </c>
      <c r="Q36" s="43">
        <f t="shared" si="14"/>
        <v>0.11076923076923077</v>
      </c>
      <c r="R36" s="43">
        <f t="shared" si="15"/>
        <v>0.25230769230769229</v>
      </c>
      <c r="S36" s="43">
        <f t="shared" si="16"/>
        <v>0.18461538461538463</v>
      </c>
      <c r="T36" s="43">
        <f t="shared" si="17"/>
        <v>6.3076923076923072E-2</v>
      </c>
      <c r="U36" s="5" t="s">
        <v>300</v>
      </c>
      <c r="V36" s="10" t="s">
        <v>301</v>
      </c>
      <c r="W36" s="5" t="s">
        <v>302</v>
      </c>
      <c r="X36" s="11" t="s">
        <v>303</v>
      </c>
    </row>
    <row r="37" spans="1:24" ht="18.75" customHeight="1">
      <c r="A37" s="5" t="s">
        <v>296</v>
      </c>
      <c r="B37" s="5" t="s">
        <v>304</v>
      </c>
      <c r="C37" s="120">
        <v>3.3</v>
      </c>
      <c r="D37" s="5" t="s">
        <v>128</v>
      </c>
      <c r="E37" s="44">
        <v>-2</v>
      </c>
      <c r="F37" s="44">
        <v>6</v>
      </c>
      <c r="G37" s="44">
        <v>2</v>
      </c>
      <c r="H37" s="37" t="s">
        <v>95</v>
      </c>
      <c r="I37" s="38">
        <f t="shared" si="9"/>
        <v>0.67500000000000004</v>
      </c>
      <c r="J37" s="41">
        <v>1</v>
      </c>
      <c r="K37" s="43">
        <f t="shared" si="10"/>
        <v>0.66249999999999998</v>
      </c>
      <c r="L37" s="43">
        <f t="shared" si="11"/>
        <v>0.33750000000000002</v>
      </c>
      <c r="M37" s="43">
        <f t="shared" si="12"/>
        <v>0.66249999999999998</v>
      </c>
      <c r="N37" s="43">
        <f t="shared" si="13"/>
        <v>0.33750000000000002</v>
      </c>
      <c r="O37" s="12" t="s">
        <v>305</v>
      </c>
      <c r="P37" s="44" t="s">
        <v>51</v>
      </c>
      <c r="Q37" s="43">
        <f t="shared" si="14"/>
        <v>6.7500000000000004E-2</v>
      </c>
      <c r="R37" s="43">
        <f t="shared" si="15"/>
        <v>0.19874999999999998</v>
      </c>
      <c r="S37" s="43">
        <f t="shared" si="16"/>
        <v>0.10125000000000001</v>
      </c>
      <c r="T37" s="43">
        <f t="shared" si="17"/>
        <v>6.6250000000000003E-2</v>
      </c>
      <c r="U37" s="5" t="s">
        <v>306</v>
      </c>
      <c r="V37" s="10" t="s">
        <v>307</v>
      </c>
      <c r="W37" s="5" t="s">
        <v>308</v>
      </c>
      <c r="X37" s="11" t="s">
        <v>309</v>
      </c>
    </row>
    <row r="38" spans="1:24" ht="18.75" customHeight="1">
      <c r="A38" s="5" t="s">
        <v>296</v>
      </c>
      <c r="B38" s="5" t="s">
        <v>310</v>
      </c>
      <c r="C38" s="120">
        <v>32.6</v>
      </c>
      <c r="D38" s="5" t="s">
        <v>311</v>
      </c>
      <c r="E38" s="44">
        <v>28</v>
      </c>
      <c r="F38" s="44">
        <v>40</v>
      </c>
      <c r="G38" s="44">
        <v>35</v>
      </c>
      <c r="H38" s="37" t="s">
        <v>95</v>
      </c>
      <c r="I38" s="38">
        <f t="shared" si="9"/>
        <v>0.65714285714285736</v>
      </c>
      <c r="J38" s="42">
        <v>0.5</v>
      </c>
      <c r="K38" s="43">
        <f t="shared" si="10"/>
        <v>0.38333333333333347</v>
      </c>
      <c r="L38" s="43">
        <f t="shared" si="11"/>
        <v>0.61666666666666647</v>
      </c>
      <c r="M38" s="43">
        <f t="shared" si="12"/>
        <v>0.32857142857142868</v>
      </c>
      <c r="N38" s="43">
        <f t="shared" si="13"/>
        <v>0.67142857142857126</v>
      </c>
      <c r="O38" s="12" t="s">
        <v>312</v>
      </c>
      <c r="P38" s="44" t="s">
        <v>51</v>
      </c>
      <c r="Q38" s="43">
        <f t="shared" si="14"/>
        <v>3.3571428571428565E-2</v>
      </c>
      <c r="R38" s="43">
        <f t="shared" si="15"/>
        <v>3.2857142857142869E-2</v>
      </c>
      <c r="S38" s="43">
        <f t="shared" si="16"/>
        <v>6.7142857142857129E-2</v>
      </c>
      <c r="T38" s="43">
        <f t="shared" si="17"/>
        <v>1.6428571428571435E-2</v>
      </c>
      <c r="U38" s="5" t="s">
        <v>111</v>
      </c>
      <c r="V38" s="10" t="s">
        <v>313</v>
      </c>
      <c r="W38" s="5" t="s">
        <v>314</v>
      </c>
      <c r="X38" s="11" t="s">
        <v>315</v>
      </c>
    </row>
    <row r="39" spans="1:24" ht="18.75" customHeight="1">
      <c r="A39" s="5" t="s">
        <v>296</v>
      </c>
      <c r="B39" s="5" t="s">
        <v>316</v>
      </c>
      <c r="C39" s="120">
        <v>325</v>
      </c>
      <c r="D39" s="5" t="s">
        <v>102</v>
      </c>
      <c r="E39" s="44">
        <v>300</v>
      </c>
      <c r="F39" s="44">
        <v>340</v>
      </c>
      <c r="G39" s="44">
        <v>330</v>
      </c>
      <c r="H39" s="37" t="s">
        <v>109</v>
      </c>
      <c r="I39" s="38">
        <f t="shared" si="9"/>
        <v>0.83333333333333337</v>
      </c>
      <c r="J39" s="39">
        <v>1.5</v>
      </c>
      <c r="K39" s="43">
        <f t="shared" si="10"/>
        <v>0.625</v>
      </c>
      <c r="L39" s="43">
        <f t="shared" si="11"/>
        <v>0.375</v>
      </c>
      <c r="M39" s="43">
        <f t="shared" si="12"/>
        <v>0.41666666666666669</v>
      </c>
      <c r="N39" s="43">
        <f t="shared" si="13"/>
        <v>0.58333333333333326</v>
      </c>
      <c r="O39" s="12" t="s">
        <v>317</v>
      </c>
      <c r="P39" s="44" t="s">
        <v>52</v>
      </c>
      <c r="Q39" s="43">
        <f t="shared" si="14"/>
        <v>0.25000000000000006</v>
      </c>
      <c r="R39" s="43">
        <f t="shared" si="15"/>
        <v>0.43749999999999994</v>
      </c>
      <c r="S39" s="43">
        <f t="shared" si="16"/>
        <v>0.375</v>
      </c>
      <c r="T39" s="43">
        <f t="shared" si="17"/>
        <v>0.17500000000000002</v>
      </c>
      <c r="U39" s="5" t="s">
        <v>111</v>
      </c>
      <c r="V39" s="10" t="s">
        <v>318</v>
      </c>
      <c r="W39" s="5" t="s">
        <v>319</v>
      </c>
      <c r="X39" s="11" t="s">
        <v>320</v>
      </c>
    </row>
    <row r="40" spans="1:24" ht="18.75" customHeight="1">
      <c r="A40" s="5" t="s">
        <v>296</v>
      </c>
      <c r="B40" s="5" t="s">
        <v>321</v>
      </c>
      <c r="C40" s="120">
        <v>393</v>
      </c>
      <c r="D40" s="5" t="s">
        <v>322</v>
      </c>
      <c r="E40" s="44">
        <v>250</v>
      </c>
      <c r="F40" s="44">
        <v>450</v>
      </c>
      <c r="G40" s="44">
        <v>400</v>
      </c>
      <c r="H40" s="37" t="s">
        <v>109</v>
      </c>
      <c r="I40" s="38">
        <f t="shared" si="9"/>
        <v>0.95333333333333337</v>
      </c>
      <c r="J40" s="39">
        <v>1.5</v>
      </c>
      <c r="K40" s="43">
        <f t="shared" si="10"/>
        <v>0.71499999999999997</v>
      </c>
      <c r="L40" s="43">
        <f t="shared" si="11"/>
        <v>0.28500000000000003</v>
      </c>
      <c r="M40" s="43">
        <f t="shared" si="12"/>
        <v>0.47666666666666668</v>
      </c>
      <c r="N40" s="43">
        <f t="shared" si="13"/>
        <v>0.52333333333333332</v>
      </c>
      <c r="O40" s="12" t="s">
        <v>323</v>
      </c>
      <c r="P40" s="44" t="s">
        <v>52</v>
      </c>
      <c r="Q40" s="43">
        <f t="shared" si="14"/>
        <v>0.14300000000000002</v>
      </c>
      <c r="R40" s="43">
        <f t="shared" si="15"/>
        <v>0.23549999999999996</v>
      </c>
      <c r="S40" s="43">
        <f t="shared" si="16"/>
        <v>0.50049999999999994</v>
      </c>
      <c r="T40" s="43">
        <f t="shared" si="17"/>
        <v>7.1500000000000008E-2</v>
      </c>
      <c r="U40" s="5" t="s">
        <v>324</v>
      </c>
      <c r="V40" s="10" t="s">
        <v>325</v>
      </c>
      <c r="W40" s="5" t="s">
        <v>326</v>
      </c>
      <c r="X40" s="11" t="s">
        <v>327</v>
      </c>
    </row>
    <row r="41" spans="1:24" ht="18.75" customHeight="1">
      <c r="A41" s="5" t="s">
        <v>296</v>
      </c>
      <c r="B41" s="5" t="s">
        <v>328</v>
      </c>
      <c r="C41" s="120">
        <v>1.5</v>
      </c>
      <c r="D41" s="5" t="s">
        <v>329</v>
      </c>
      <c r="E41" s="44">
        <v>0.2</v>
      </c>
      <c r="F41" s="44">
        <v>1.7</v>
      </c>
      <c r="G41" s="44">
        <v>1.5</v>
      </c>
      <c r="H41" s="37" t="s">
        <v>109</v>
      </c>
      <c r="I41" s="38">
        <f t="shared" si="9"/>
        <v>1</v>
      </c>
      <c r="J41" s="40">
        <v>2</v>
      </c>
      <c r="K41" s="43">
        <f t="shared" si="10"/>
        <v>0.8666666666666667</v>
      </c>
      <c r="L41" s="43">
        <f t="shared" si="11"/>
        <v>0.1333333333333333</v>
      </c>
      <c r="M41" s="43">
        <f t="shared" si="12"/>
        <v>0.5</v>
      </c>
      <c r="N41" s="43">
        <f t="shared" si="13"/>
        <v>0.5</v>
      </c>
      <c r="O41" s="12" t="s">
        <v>330</v>
      </c>
      <c r="P41" s="44" t="s">
        <v>52</v>
      </c>
      <c r="Q41" s="43">
        <f t="shared" si="14"/>
        <v>0.2</v>
      </c>
      <c r="R41" s="43">
        <f t="shared" si="15"/>
        <v>0.4</v>
      </c>
      <c r="S41" s="43">
        <f t="shared" si="16"/>
        <v>0.8</v>
      </c>
      <c r="T41" s="43">
        <f t="shared" si="17"/>
        <v>0.1</v>
      </c>
      <c r="U41" s="5" t="s">
        <v>331</v>
      </c>
      <c r="V41" s="10" t="s">
        <v>332</v>
      </c>
      <c r="W41" s="5" t="s">
        <v>333</v>
      </c>
      <c r="X41" s="11" t="s">
        <v>334</v>
      </c>
    </row>
    <row r="42" spans="1:24" ht="18.75" customHeight="1">
      <c r="A42" s="5" t="s">
        <v>296</v>
      </c>
      <c r="B42" s="5" t="s">
        <v>335</v>
      </c>
      <c r="C42" s="120">
        <v>19</v>
      </c>
      <c r="D42" s="5" t="s">
        <v>336</v>
      </c>
      <c r="E42" s="44">
        <v>10</v>
      </c>
      <c r="F42" s="44">
        <v>30</v>
      </c>
      <c r="G42" s="44">
        <v>22</v>
      </c>
      <c r="H42" s="37" t="s">
        <v>109</v>
      </c>
      <c r="I42" s="38">
        <f t="shared" si="9"/>
        <v>0.75</v>
      </c>
      <c r="J42" s="41">
        <v>1</v>
      </c>
      <c r="K42" s="43">
        <f t="shared" si="10"/>
        <v>0.45</v>
      </c>
      <c r="L42" s="43">
        <f t="shared" si="11"/>
        <v>0.55000000000000004</v>
      </c>
      <c r="M42" s="43">
        <f t="shared" si="12"/>
        <v>0.375</v>
      </c>
      <c r="N42" s="43">
        <f t="shared" si="13"/>
        <v>0.625</v>
      </c>
      <c r="O42" s="12" t="s">
        <v>337</v>
      </c>
      <c r="P42" s="44" t="s">
        <v>52</v>
      </c>
      <c r="Q42" s="43">
        <f t="shared" si="14"/>
        <v>7.5000000000000011E-2</v>
      </c>
      <c r="R42" s="43">
        <f t="shared" si="15"/>
        <v>0.1875</v>
      </c>
      <c r="S42" s="43">
        <f t="shared" si="16"/>
        <v>0.15000000000000002</v>
      </c>
      <c r="T42" s="43">
        <f t="shared" si="17"/>
        <v>0.125</v>
      </c>
      <c r="U42" s="5" t="s">
        <v>338</v>
      </c>
      <c r="V42" s="10" t="s">
        <v>339</v>
      </c>
      <c r="W42" s="5" t="s">
        <v>340</v>
      </c>
      <c r="X42" s="11" t="s">
        <v>341</v>
      </c>
    </row>
    <row r="43" spans="1:24" ht="18.75" customHeight="1">
      <c r="A43" s="5" t="s">
        <v>296</v>
      </c>
      <c r="B43" s="5" t="s">
        <v>342</v>
      </c>
      <c r="C43" s="120">
        <v>2126</v>
      </c>
      <c r="D43" s="5" t="s">
        <v>343</v>
      </c>
      <c r="E43" s="44">
        <v>300</v>
      </c>
      <c r="F43" s="44">
        <v>5500</v>
      </c>
      <c r="G43" s="44">
        <v>2000</v>
      </c>
      <c r="H43" s="37" t="s">
        <v>109</v>
      </c>
      <c r="I43" s="38">
        <f t="shared" si="9"/>
        <v>0.96399999999999997</v>
      </c>
      <c r="J43" s="42">
        <v>0.5</v>
      </c>
      <c r="K43" s="43">
        <f t="shared" si="10"/>
        <v>0.35115384615384615</v>
      </c>
      <c r="L43" s="43">
        <f t="shared" si="11"/>
        <v>0.64884615384615385</v>
      </c>
      <c r="M43" s="43">
        <f t="shared" si="12"/>
        <v>0.51800000000000002</v>
      </c>
      <c r="N43" s="43">
        <f t="shared" si="13"/>
        <v>0.48199999999999998</v>
      </c>
      <c r="O43" s="12" t="s">
        <v>344</v>
      </c>
      <c r="P43" s="44" t="s">
        <v>51</v>
      </c>
      <c r="Q43" s="43">
        <f t="shared" si="14"/>
        <v>2.5900000000000003E-2</v>
      </c>
      <c r="R43" s="43">
        <f t="shared" si="15"/>
        <v>2.41E-2</v>
      </c>
      <c r="S43" s="43">
        <f t="shared" si="16"/>
        <v>5.1800000000000006E-2</v>
      </c>
      <c r="T43" s="43">
        <f t="shared" si="17"/>
        <v>0</v>
      </c>
      <c r="U43" s="5" t="s">
        <v>345</v>
      </c>
      <c r="V43" s="10" t="s">
        <v>346</v>
      </c>
      <c r="W43" s="5" t="s">
        <v>347</v>
      </c>
      <c r="X43" s="11" t="s">
        <v>348</v>
      </c>
    </row>
    <row r="44" spans="1:24" ht="18.75" customHeight="1">
      <c r="A44" s="5" t="s">
        <v>296</v>
      </c>
      <c r="B44" s="5" t="s">
        <v>349</v>
      </c>
      <c r="C44" s="120">
        <v>3640</v>
      </c>
      <c r="D44" s="5" t="s">
        <v>350</v>
      </c>
      <c r="E44" s="44">
        <v>400</v>
      </c>
      <c r="F44" s="44">
        <v>4000</v>
      </c>
      <c r="G44" s="44">
        <v>2200</v>
      </c>
      <c r="H44" s="37" t="s">
        <v>109</v>
      </c>
      <c r="I44" s="38">
        <f t="shared" si="9"/>
        <v>0.19999999999999996</v>
      </c>
      <c r="J44" s="41">
        <v>1</v>
      </c>
      <c r="K44" s="43">
        <f t="shared" si="10"/>
        <v>0.9</v>
      </c>
      <c r="L44" s="43">
        <f t="shared" si="11"/>
        <v>9.9999999999999978E-2</v>
      </c>
      <c r="M44" s="43">
        <f t="shared" si="12"/>
        <v>0.9</v>
      </c>
      <c r="N44" s="43">
        <f t="shared" si="13"/>
        <v>9.9999999999999978E-2</v>
      </c>
      <c r="O44" s="12" t="s">
        <v>351</v>
      </c>
      <c r="P44" s="44" t="s">
        <v>51</v>
      </c>
      <c r="Q44" s="43">
        <f t="shared" si="14"/>
        <v>0.27</v>
      </c>
      <c r="R44" s="43">
        <f t="shared" si="15"/>
        <v>1.9999999999999997E-2</v>
      </c>
      <c r="S44" s="43">
        <f t="shared" si="16"/>
        <v>0.36000000000000004</v>
      </c>
      <c r="T44" s="43">
        <f t="shared" si="17"/>
        <v>0</v>
      </c>
      <c r="U44" s="5" t="s">
        <v>352</v>
      </c>
      <c r="V44" s="10" t="s">
        <v>353</v>
      </c>
      <c r="W44" s="5" t="s">
        <v>354</v>
      </c>
      <c r="X44" s="11" t="s">
        <v>355</v>
      </c>
    </row>
    <row r="45" spans="1:24" ht="18.75" customHeight="1">
      <c r="A45" s="5" t="s">
        <v>296</v>
      </c>
      <c r="B45" s="5" t="s">
        <v>356</v>
      </c>
      <c r="C45" s="120">
        <v>0.89</v>
      </c>
      <c r="D45" s="5" t="s">
        <v>222</v>
      </c>
      <c r="E45" s="44">
        <v>0.6</v>
      </c>
      <c r="F45" s="44">
        <v>1</v>
      </c>
      <c r="G45" s="44">
        <v>0.95</v>
      </c>
      <c r="H45" s="37" t="s">
        <v>95</v>
      </c>
      <c r="I45" s="38">
        <f t="shared" si="9"/>
        <v>0.82857142857142874</v>
      </c>
      <c r="J45" s="39">
        <v>1.5</v>
      </c>
      <c r="K45" s="43">
        <f t="shared" si="10"/>
        <v>0.72500000000000009</v>
      </c>
      <c r="L45" s="43">
        <f t="shared" si="11"/>
        <v>0.27499999999999991</v>
      </c>
      <c r="M45" s="43">
        <f t="shared" si="12"/>
        <v>0.41428571428571437</v>
      </c>
      <c r="N45" s="43">
        <f t="shared" si="13"/>
        <v>0.58571428571428563</v>
      </c>
      <c r="O45" s="12" t="s">
        <v>357</v>
      </c>
      <c r="P45" s="44"/>
      <c r="Q45" s="43">
        <f t="shared" si="14"/>
        <v>8.7857142857142856E-2</v>
      </c>
      <c r="R45" s="43">
        <f t="shared" si="15"/>
        <v>0.12428571428571433</v>
      </c>
      <c r="S45" s="43">
        <f t="shared" si="16"/>
        <v>8.7857142857142856E-2</v>
      </c>
      <c r="T45" s="43">
        <f t="shared" si="17"/>
        <v>0.55928571428571439</v>
      </c>
      <c r="U45" s="5" t="s">
        <v>358</v>
      </c>
      <c r="V45" s="10" t="s">
        <v>359</v>
      </c>
      <c r="W45" s="5" t="s">
        <v>360</v>
      </c>
      <c r="X45" s="11"/>
    </row>
    <row r="46" spans="1:24" ht="18.75" customHeight="1">
      <c r="A46" s="5" t="s">
        <v>296</v>
      </c>
      <c r="B46" s="5" t="s">
        <v>361</v>
      </c>
      <c r="C46" s="120">
        <v>0.24</v>
      </c>
      <c r="D46" s="5" t="s">
        <v>362</v>
      </c>
      <c r="E46" s="44">
        <v>0.03</v>
      </c>
      <c r="F46" s="44">
        <v>0.2</v>
      </c>
      <c r="G46" s="44">
        <v>0.3</v>
      </c>
      <c r="H46" s="37" t="s">
        <v>95</v>
      </c>
      <c r="I46" s="38">
        <f t="shared" si="9"/>
        <v>0.77777777777777779</v>
      </c>
      <c r="J46" s="39">
        <v>1.5</v>
      </c>
      <c r="K46" s="43">
        <f t="shared" si="10"/>
        <v>1</v>
      </c>
      <c r="L46" s="43">
        <f t="shared" si="11"/>
        <v>0</v>
      </c>
      <c r="M46" s="43">
        <f t="shared" si="12"/>
        <v>0.38888888888888884</v>
      </c>
      <c r="N46" s="43">
        <f t="shared" si="13"/>
        <v>0.61111111111111116</v>
      </c>
      <c r="O46" s="12" t="s">
        <v>357</v>
      </c>
      <c r="P46" s="44"/>
      <c r="Q46" s="43">
        <f t="shared" si="14"/>
        <v>9.1666666666666688E-2</v>
      </c>
      <c r="R46" s="43">
        <f t="shared" si="15"/>
        <v>0.11666666666666667</v>
      </c>
      <c r="S46" s="43">
        <f t="shared" si="16"/>
        <v>9.1666666666666688E-2</v>
      </c>
      <c r="T46" s="43">
        <f t="shared" si="17"/>
        <v>0.52500000000000002</v>
      </c>
      <c r="U46" s="5" t="s">
        <v>363</v>
      </c>
      <c r="V46" s="10" t="s">
        <v>364</v>
      </c>
      <c r="W46" s="5" t="s">
        <v>365</v>
      </c>
      <c r="X46" s="11"/>
    </row>
    <row r="47" spans="1:24" ht="18.75" customHeight="1">
      <c r="A47" s="5" t="s">
        <v>296</v>
      </c>
      <c r="B47" s="5" t="s">
        <v>366</v>
      </c>
      <c r="C47" s="120">
        <v>7.0000000000000007E-2</v>
      </c>
      <c r="D47" s="5" t="s">
        <v>367</v>
      </c>
      <c r="E47" s="44">
        <v>0.5</v>
      </c>
      <c r="F47" s="44">
        <v>0.9</v>
      </c>
      <c r="G47" s="44">
        <v>0.1</v>
      </c>
      <c r="H47" s="37" t="s">
        <v>95</v>
      </c>
      <c r="I47" s="38">
        <f t="shared" si="9"/>
        <v>0.96250000000000002</v>
      </c>
      <c r="J47" s="41">
        <v>1.5</v>
      </c>
      <c r="K47" s="43">
        <f t="shared" si="10"/>
        <v>0</v>
      </c>
      <c r="L47" s="43">
        <f t="shared" si="11"/>
        <v>1</v>
      </c>
      <c r="M47" s="43">
        <f t="shared" si="12"/>
        <v>0.53749999999999998</v>
      </c>
      <c r="N47" s="43">
        <f t="shared" si="13"/>
        <v>0.46250000000000002</v>
      </c>
      <c r="O47" s="12" t="s">
        <v>357</v>
      </c>
      <c r="P47" s="44"/>
      <c r="Q47" s="43">
        <f t="shared" si="14"/>
        <v>6.937500000000002E-2</v>
      </c>
      <c r="R47" s="43">
        <f t="shared" si="15"/>
        <v>0.16125</v>
      </c>
      <c r="S47" s="43">
        <f t="shared" si="16"/>
        <v>6.937500000000002E-2</v>
      </c>
      <c r="T47" s="43">
        <f t="shared" si="17"/>
        <v>0.72562499999999996</v>
      </c>
      <c r="U47" s="5" t="s">
        <v>368</v>
      </c>
      <c r="V47" s="10" t="s">
        <v>369</v>
      </c>
      <c r="W47" s="5" t="s">
        <v>370</v>
      </c>
      <c r="X47" s="11"/>
    </row>
    <row r="48" spans="1:24" ht="18.75" customHeight="1">
      <c r="A48" s="5" t="s">
        <v>296</v>
      </c>
      <c r="B48" s="5" t="s">
        <v>371</v>
      </c>
      <c r="C48" s="134">
        <f>0.4*C45 + 0.3*(C46/0.3) + 0.3*C47</f>
        <v>0.6170000000000001</v>
      </c>
      <c r="D48" s="5" t="s">
        <v>222</v>
      </c>
      <c r="E48" s="44">
        <v>0.4</v>
      </c>
      <c r="F48" s="44">
        <v>0.95</v>
      </c>
      <c r="G48" s="44">
        <v>0.85</v>
      </c>
      <c r="H48" s="37" t="s">
        <v>95</v>
      </c>
      <c r="I48" s="38">
        <f t="shared" si="9"/>
        <v>0.48222222222222244</v>
      </c>
      <c r="J48" s="40">
        <v>2</v>
      </c>
      <c r="K48" s="43">
        <f t="shared" si="10"/>
        <v>0.39454545454545475</v>
      </c>
      <c r="L48" s="43">
        <f t="shared" si="11"/>
        <v>0.60545454545454525</v>
      </c>
      <c r="M48" s="43">
        <f t="shared" si="12"/>
        <v>0.24111111111111122</v>
      </c>
      <c r="N48" s="43">
        <f t="shared" si="13"/>
        <v>0.75888888888888872</v>
      </c>
      <c r="O48" s="12" t="s">
        <v>357</v>
      </c>
      <c r="P48" s="44" t="s">
        <v>54</v>
      </c>
      <c r="Q48" s="43">
        <f t="shared" si="14"/>
        <v>0.15177777777777776</v>
      </c>
      <c r="R48" s="43">
        <f t="shared" si="15"/>
        <v>9.6444444444444499E-2</v>
      </c>
      <c r="S48" s="43">
        <f t="shared" si="16"/>
        <v>0.15177777777777776</v>
      </c>
      <c r="T48" s="43">
        <f t="shared" si="17"/>
        <v>0.43400000000000022</v>
      </c>
      <c r="U48" s="5" t="s">
        <v>372</v>
      </c>
      <c r="V48" s="10" t="s">
        <v>373</v>
      </c>
      <c r="W48" s="5" t="s">
        <v>374</v>
      </c>
      <c r="X48" s="11" t="s">
        <v>375</v>
      </c>
    </row>
    <row r="49" spans="1:24" ht="18.75" customHeight="1">
      <c r="A49" s="5" t="s">
        <v>296</v>
      </c>
      <c r="B49" s="5" t="s">
        <v>376</v>
      </c>
      <c r="C49" s="120">
        <v>252.3</v>
      </c>
      <c r="D49" s="5" t="s">
        <v>263</v>
      </c>
      <c r="E49" s="44">
        <v>80</v>
      </c>
      <c r="F49" s="44">
        <v>600</v>
      </c>
      <c r="G49" s="44">
        <v>315</v>
      </c>
      <c r="H49" s="37" t="s">
        <v>95</v>
      </c>
      <c r="I49" s="38">
        <f t="shared" si="9"/>
        <v>0.78</v>
      </c>
      <c r="J49" s="39">
        <v>1.5</v>
      </c>
      <c r="K49" s="43">
        <f t="shared" si="10"/>
        <v>0.33134615384615385</v>
      </c>
      <c r="L49" s="43">
        <f t="shared" si="11"/>
        <v>0.66865384615384615</v>
      </c>
      <c r="M49" s="43">
        <f t="shared" si="12"/>
        <v>0.3665957446808511</v>
      </c>
      <c r="N49" s="43">
        <f t="shared" si="13"/>
        <v>0.6334042553191489</v>
      </c>
      <c r="O49" s="12" t="s">
        <v>377</v>
      </c>
      <c r="P49" s="44" t="s">
        <v>54</v>
      </c>
      <c r="Q49" s="43">
        <f t="shared" si="14"/>
        <v>9.5010638297872346E-2</v>
      </c>
      <c r="R49" s="43">
        <f t="shared" si="15"/>
        <v>0.16496808510638297</v>
      </c>
      <c r="S49" s="43">
        <f t="shared" si="16"/>
        <v>9.5010638297872346E-2</v>
      </c>
      <c r="T49" s="43">
        <f t="shared" si="17"/>
        <v>0.38492553191489359</v>
      </c>
      <c r="U49" s="5" t="s">
        <v>363</v>
      </c>
      <c r="V49" s="10" t="s">
        <v>364</v>
      </c>
      <c r="W49" s="5" t="s">
        <v>378</v>
      </c>
      <c r="X49" s="11" t="s">
        <v>379</v>
      </c>
    </row>
    <row r="50" spans="1:24" ht="30" customHeight="1">
      <c r="A50" s="5" t="s">
        <v>296</v>
      </c>
      <c r="B50" s="13" t="s">
        <v>380</v>
      </c>
      <c r="C50" s="120">
        <v>2.5</v>
      </c>
      <c r="D50" s="5" t="s">
        <v>102</v>
      </c>
      <c r="E50" s="44">
        <v>2</v>
      </c>
      <c r="F50" s="44">
        <v>3.5</v>
      </c>
      <c r="G50" s="44">
        <v>3</v>
      </c>
      <c r="H50" s="37" t="s">
        <v>109</v>
      </c>
      <c r="I50" s="38">
        <f t="shared" si="9"/>
        <v>0.5</v>
      </c>
      <c r="J50" s="41">
        <v>1</v>
      </c>
      <c r="K50" s="43">
        <f t="shared" si="10"/>
        <v>0.33333333333333331</v>
      </c>
      <c r="L50" s="43">
        <f t="shared" si="11"/>
        <v>0.66666666666666674</v>
      </c>
      <c r="M50" s="43">
        <f t="shared" si="12"/>
        <v>0.25</v>
      </c>
      <c r="N50" s="43">
        <f t="shared" si="13"/>
        <v>0.75</v>
      </c>
      <c r="O50" s="12" t="s">
        <v>381</v>
      </c>
      <c r="P50" s="44" t="s">
        <v>53</v>
      </c>
      <c r="Q50" s="43">
        <f t="shared" si="14"/>
        <v>7.4999999999999997E-2</v>
      </c>
      <c r="R50" s="43">
        <f t="shared" si="15"/>
        <v>0.15000000000000002</v>
      </c>
      <c r="S50" s="43">
        <f t="shared" si="16"/>
        <v>0.125</v>
      </c>
      <c r="T50" s="43">
        <f t="shared" si="17"/>
        <v>7.5000000000000011E-2</v>
      </c>
      <c r="U50" s="5" t="s">
        <v>142</v>
      </c>
      <c r="V50" s="10" t="s">
        <v>382</v>
      </c>
      <c r="W50" s="5" t="s">
        <v>383</v>
      </c>
      <c r="X50" s="11" t="s">
        <v>384</v>
      </c>
    </row>
    <row r="54" spans="1:24" ht="18" customHeight="1">
      <c r="B54" s="15" t="s">
        <v>42</v>
      </c>
    </row>
    <row r="56" spans="1:24">
      <c r="B56" s="17" t="s">
        <v>43</v>
      </c>
    </row>
    <row r="57" spans="1:24">
      <c r="B57" s="57" t="s">
        <v>385</v>
      </c>
    </row>
    <row r="58" spans="1:24">
      <c r="B58" s="57" t="s">
        <v>45</v>
      </c>
    </row>
    <row r="59" spans="1:24">
      <c r="B59" s="57" t="s">
        <v>46</v>
      </c>
    </row>
    <row r="60" spans="1:24">
      <c r="B60" s="57" t="s">
        <v>47</v>
      </c>
    </row>
    <row r="62" spans="1:24" ht="18" customHeight="1">
      <c r="B62" s="15" t="s">
        <v>386</v>
      </c>
    </row>
    <row r="63" spans="1:24" ht="15.75" customHeight="1" thickBot="1">
      <c r="B63" s="29"/>
    </row>
    <row r="64" spans="1:24" ht="15.75" customHeight="1" thickBot="1">
      <c r="B64" s="98" t="s">
        <v>49</v>
      </c>
      <c r="C64" s="91" t="s">
        <v>50</v>
      </c>
      <c r="D64" s="92" t="s">
        <v>51</v>
      </c>
      <c r="E64" s="92" t="s">
        <v>52</v>
      </c>
      <c r="F64" s="92" t="s">
        <v>53</v>
      </c>
      <c r="G64" s="92" t="s">
        <v>54</v>
      </c>
      <c r="H64" s="92" t="s">
        <v>55</v>
      </c>
      <c r="I64" s="92" t="s">
        <v>56</v>
      </c>
      <c r="J64" s="92" t="s">
        <v>57</v>
      </c>
      <c r="K64" s="93" t="s">
        <v>58</v>
      </c>
    </row>
    <row r="65" spans="2:11">
      <c r="B65" s="86" t="s">
        <v>59</v>
      </c>
      <c r="C65" s="94">
        <f>'Variables F1'!G7</f>
        <v>0.5</v>
      </c>
      <c r="D65" s="95">
        <f>'Variables F2'!U25</f>
        <v>0.16220922333409718</v>
      </c>
      <c r="E65" s="95">
        <f>'Variables F3'!U22</f>
        <v>0.57563083434387408</v>
      </c>
      <c r="F65" s="95">
        <f>'Variables F4'!Q34</f>
        <v>0.62624807650489156</v>
      </c>
      <c r="G65" s="95">
        <f>'Variables F5'!U10</f>
        <v>0.2156034366298524</v>
      </c>
      <c r="H65" s="95">
        <f t="array" ref="H65">SUMPRODUCT(C65:G65, TRANSPOSE($D$80:$D$84))</f>
        <v>0.40428648900772296</v>
      </c>
      <c r="I65" s="95">
        <v>1</v>
      </c>
      <c r="J65" s="95">
        <f>H65*I65</f>
        <v>0.40428648900772296</v>
      </c>
      <c r="K65" s="115">
        <f>J65/SUM($J$65:$J$68)</f>
        <v>0.27955960907591187</v>
      </c>
    </row>
    <row r="66" spans="2:11">
      <c r="B66" s="86" t="s">
        <v>60</v>
      </c>
      <c r="C66" s="89">
        <f>'Variables F1'!G8</f>
        <v>0.125</v>
      </c>
      <c r="D66" s="87">
        <f>'Variables F2'!V25</f>
        <v>9.620731455621848E-3</v>
      </c>
      <c r="E66" s="87">
        <f>'Variables F3'!V22</f>
        <v>0.8569502932260924</v>
      </c>
      <c r="F66" s="87">
        <f>'Variables F4'!R34</f>
        <v>0.56775234644674089</v>
      </c>
      <c r="G66" s="87">
        <f>'Variables F5'!V10</f>
        <v>0.10013727501088304</v>
      </c>
      <c r="H66" s="87">
        <f t="array" ref="H66">SUMPRODUCT(C66:G66, TRANSPOSE($D$80:$D$84))</f>
        <v>0.30070285755000448</v>
      </c>
      <c r="I66" s="87">
        <v>0.9</v>
      </c>
      <c r="J66" s="87">
        <f>H66*I66</f>
        <v>0.27063257179500405</v>
      </c>
      <c r="K66" s="116">
        <f>J66/SUM($J$65:$J$68)</f>
        <v>0.18713941235066781</v>
      </c>
    </row>
    <row r="67" spans="2:11">
      <c r="B67" s="86" t="s">
        <v>61</v>
      </c>
      <c r="C67" s="89">
        <f>'Variables F1'!G9</f>
        <v>0.3125</v>
      </c>
      <c r="D67" s="87">
        <f>'Variables F2'!W25</f>
        <v>0.17439641138347875</v>
      </c>
      <c r="E67" s="87">
        <f>'Variables F3'!W22</f>
        <v>0.56092993309403649</v>
      </c>
      <c r="F67" s="87">
        <f>'Variables F4'!S34</f>
        <v>0.60028305303967522</v>
      </c>
      <c r="G67" s="87">
        <v>0.26800000000000002</v>
      </c>
      <c r="H67" s="87">
        <f t="array" ref="H67">SUMPRODUCT(C67:G67, TRANSPOSE($D$80:$D$84))</f>
        <v>0.3594723679898022</v>
      </c>
      <c r="I67" s="87">
        <v>1.1000000000000001</v>
      </c>
      <c r="J67" s="87">
        <f>H67*I67</f>
        <v>0.39541960478878246</v>
      </c>
      <c r="K67" s="116">
        <f>J67/SUM($J$65:$J$68)</f>
        <v>0.27342825729106157</v>
      </c>
    </row>
    <row r="68" spans="2:11" ht="15.75" customHeight="1" thickBot="1">
      <c r="B68" s="86" t="s">
        <v>62</v>
      </c>
      <c r="C68" s="90">
        <f>'Variables F1'!G10</f>
        <v>6.25E-2</v>
      </c>
      <c r="D68" s="88">
        <f>'Variables F2'!X25</f>
        <v>8.0308387516221852E-2</v>
      </c>
      <c r="E68" s="88">
        <f>'Variables F3'!X22</f>
        <v>0.9432780690706698</v>
      </c>
      <c r="F68" s="88">
        <f>'Variables F4'!T34</f>
        <v>0.60281913587887559</v>
      </c>
      <c r="G68" s="88">
        <v>0.76800000000000002</v>
      </c>
      <c r="H68" s="88">
        <f t="array" ref="H68">SUMPRODUCT(C68:G68, TRANSPOSE($D$80:$D$84))</f>
        <v>0.39559600045083188</v>
      </c>
      <c r="I68" s="88">
        <v>0.95</v>
      </c>
      <c r="J68" s="88">
        <f>H68*I68</f>
        <v>0.37581620042829028</v>
      </c>
      <c r="K68" s="117">
        <f>J68/SUM($J$65:$J$68)</f>
        <v>0.25987272128235872</v>
      </c>
    </row>
    <row r="70" spans="2:11" ht="18" customHeight="1">
      <c r="B70" s="15" t="s">
        <v>63</v>
      </c>
      <c r="K70" s="45"/>
    </row>
    <row r="72" spans="2:11">
      <c r="B72" t="s">
        <v>64</v>
      </c>
    </row>
    <row r="73" spans="2:11">
      <c r="B73" s="28"/>
    </row>
    <row r="74" spans="2:11">
      <c r="B74" s="28" t="s">
        <v>65</v>
      </c>
    </row>
    <row r="75" spans="2:11">
      <c r="B75" s="56" t="s">
        <v>66</v>
      </c>
    </row>
    <row r="76" spans="2:11">
      <c r="B76" s="30" t="s">
        <v>67</v>
      </c>
    </row>
    <row r="78" spans="2:11" ht="30" customHeight="1">
      <c r="B78" s="55" t="s">
        <v>387</v>
      </c>
    </row>
    <row r="80" spans="2:11">
      <c r="B80" s="58" t="s">
        <v>388</v>
      </c>
      <c r="C80" s="96" t="s">
        <v>50</v>
      </c>
      <c r="D80" s="97">
        <v>0.25</v>
      </c>
    </row>
    <row r="81" spans="2:4">
      <c r="C81" s="96" t="s">
        <v>51</v>
      </c>
      <c r="D81" s="97">
        <v>0.3</v>
      </c>
    </row>
    <row r="82" spans="2:4">
      <c r="C82" s="96" t="s">
        <v>52</v>
      </c>
      <c r="D82" s="97">
        <v>0.2</v>
      </c>
    </row>
    <row r="83" spans="2:4">
      <c r="C83" s="96" t="s">
        <v>53</v>
      </c>
      <c r="D83" s="97">
        <v>0.15</v>
      </c>
    </row>
    <row r="84" spans="2:4">
      <c r="C84" s="96" t="s">
        <v>54</v>
      </c>
      <c r="D84" s="97">
        <v>0.1</v>
      </c>
    </row>
    <row r="86" spans="2:4" ht="18" customHeight="1">
      <c r="B86" s="15" t="s">
        <v>63</v>
      </c>
    </row>
    <row r="88" spans="2:4">
      <c r="B88" t="s">
        <v>64</v>
      </c>
    </row>
    <row r="89" spans="2:4">
      <c r="B89" s="28"/>
    </row>
    <row r="90" spans="2:4">
      <c r="B90" s="28" t="s">
        <v>389</v>
      </c>
    </row>
    <row r="91" spans="2:4">
      <c r="B91" s="28" t="s">
        <v>390</v>
      </c>
    </row>
    <row r="92" spans="2:4">
      <c r="B92" s="28" t="s">
        <v>391</v>
      </c>
    </row>
    <row r="93" spans="2:4">
      <c r="B93" s="28" t="s">
        <v>392</v>
      </c>
    </row>
  </sheetData>
  <conditionalFormatting sqref="I2:I50">
    <cfRule type="cellIs" dxfId="49" priority="5" operator="greaterThanOrEqual">
      <formula>0.9</formula>
    </cfRule>
    <cfRule type="cellIs" dxfId="48" priority="6" operator="between">
      <formula>0.75</formula>
      <formula>0.89</formula>
    </cfRule>
    <cfRule type="cellIs" dxfId="47" priority="7" operator="between">
      <formula>0.5</formula>
      <formula>0.74</formula>
    </cfRule>
    <cfRule type="cellIs" dxfId="46" priority="8" operator="between">
      <formula>0.25</formula>
      <formula>0.49</formula>
    </cfRule>
    <cfRule type="cellIs" dxfId="45" priority="9" operator="lessThan">
      <formula>0.25</formula>
    </cfRule>
  </conditionalFormatting>
  <conditionalFormatting sqref="J2:J50">
    <cfRule type="colorScale" priority="1">
      <colorScale>
        <cfvo type="num" val="0.5"/>
        <cfvo type="num" val="1"/>
        <cfvo type="num" val="2"/>
        <color theme="8" tint="-0.249977111117893"/>
        <color theme="9" tint="0.59999389629810485"/>
        <color rgb="FFC00000"/>
      </colorScale>
    </cfRule>
    <cfRule type="colorScale" priority="2">
      <colorScale>
        <cfvo type="num" val="0.5"/>
        <cfvo type="num" val="1"/>
        <cfvo type="num" val="2"/>
        <color theme="8" tint="-0.249977111117893"/>
        <color rgb="FFFFEB84"/>
        <color rgb="FFC00000"/>
      </colorScale>
    </cfRule>
    <cfRule type="colorScale" priority="3">
      <colorScale>
        <cfvo type="num" val="0.5"/>
        <cfvo type="num" val="1.5"/>
        <cfvo type="num" val="2"/>
        <color rgb="FFC00000"/>
        <color theme="9" tint="0.39997558519241921"/>
        <color theme="8"/>
      </colorScale>
    </cfRule>
  </conditionalFormatting>
  <conditionalFormatting sqref="M2:N50">
    <cfRule type="cellIs" dxfId="44" priority="10" operator="greaterThanOrEqual">
      <formula>0.9</formula>
    </cfRule>
    <cfRule type="cellIs" dxfId="43" priority="11" operator="between">
      <formula>0.75</formula>
      <formula>0.89</formula>
    </cfRule>
    <cfRule type="cellIs" dxfId="42" priority="12" operator="between">
      <formula>0.5</formula>
      <formula>0.74</formula>
    </cfRule>
    <cfRule type="cellIs" dxfId="41" priority="13" operator="between">
      <formula>0.25</formula>
      <formula>0.49</formula>
    </cfRule>
    <cfRule type="cellIs" dxfId="40" priority="14" operator="lessThan">
      <formula>0.25</formula>
    </cfRule>
  </conditionalFormatting>
  <hyperlinks>
    <hyperlink ref="V2" r:id="rId1" xr:uid="{00000000-0004-0000-0100-000000000000}"/>
    <hyperlink ref="V3" r:id="rId2" xr:uid="{00000000-0004-0000-0100-000001000000}"/>
    <hyperlink ref="V4" r:id="rId3" xr:uid="{00000000-0004-0000-0100-000002000000}"/>
    <hyperlink ref="V5" r:id="rId4" xr:uid="{00000000-0004-0000-0100-000003000000}"/>
    <hyperlink ref="V6" r:id="rId5" xr:uid="{00000000-0004-0000-0100-000004000000}"/>
    <hyperlink ref="V7" r:id="rId6" xr:uid="{00000000-0004-0000-0100-000005000000}"/>
    <hyperlink ref="V8" r:id="rId7" xr:uid="{00000000-0004-0000-0100-000006000000}"/>
    <hyperlink ref="V9" r:id="rId8" xr:uid="{00000000-0004-0000-0100-000007000000}"/>
    <hyperlink ref="V10" r:id="rId9" xr:uid="{00000000-0004-0000-0100-000008000000}"/>
    <hyperlink ref="V11" r:id="rId10" xr:uid="{00000000-0004-0000-0100-000009000000}"/>
    <hyperlink ref="V12" r:id="rId11" xr:uid="{00000000-0004-0000-0100-00000A000000}"/>
    <hyperlink ref="V13" r:id="rId12" xr:uid="{00000000-0004-0000-0100-00000B000000}"/>
    <hyperlink ref="V14" r:id="rId13" xr:uid="{00000000-0004-0000-0100-00000C000000}"/>
    <hyperlink ref="V15" r:id="rId14" xr:uid="{00000000-0004-0000-0100-00000D000000}"/>
    <hyperlink ref="V16" r:id="rId15" xr:uid="{00000000-0004-0000-0100-00000E000000}"/>
    <hyperlink ref="V17" r:id="rId16" xr:uid="{00000000-0004-0000-0100-00000F000000}"/>
    <hyperlink ref="V18" r:id="rId17" xr:uid="{00000000-0004-0000-0100-000010000000}"/>
    <hyperlink ref="V19" r:id="rId18" xr:uid="{00000000-0004-0000-0100-000011000000}"/>
    <hyperlink ref="V20" r:id="rId19" xr:uid="{00000000-0004-0000-0100-000012000000}"/>
    <hyperlink ref="V21" r:id="rId20" xr:uid="{00000000-0004-0000-0100-000013000000}"/>
    <hyperlink ref="V22" r:id="rId21" xr:uid="{00000000-0004-0000-0100-000014000000}"/>
    <hyperlink ref="V23" r:id="rId22" xr:uid="{00000000-0004-0000-0100-000015000000}"/>
    <hyperlink ref="V24" r:id="rId23" xr:uid="{00000000-0004-0000-0100-000016000000}"/>
    <hyperlink ref="V25" r:id="rId24" xr:uid="{00000000-0004-0000-0100-000017000000}"/>
    <hyperlink ref="V26" r:id="rId25" xr:uid="{00000000-0004-0000-0100-000018000000}"/>
    <hyperlink ref="V27" r:id="rId26" xr:uid="{00000000-0004-0000-0100-000019000000}"/>
    <hyperlink ref="V28" r:id="rId27" xr:uid="{00000000-0004-0000-0100-00001A000000}"/>
    <hyperlink ref="V29" r:id="rId28" xr:uid="{00000000-0004-0000-0100-00001B000000}"/>
    <hyperlink ref="V30" r:id="rId29" xr:uid="{00000000-0004-0000-0100-00001C000000}"/>
    <hyperlink ref="V31" r:id="rId30" xr:uid="{00000000-0004-0000-0100-00001D000000}"/>
    <hyperlink ref="V32" r:id="rId31" xr:uid="{00000000-0004-0000-0100-00001E000000}"/>
    <hyperlink ref="V33" r:id="rId32" xr:uid="{00000000-0004-0000-0100-00001F000000}"/>
    <hyperlink ref="V34" r:id="rId33" xr:uid="{00000000-0004-0000-0100-000020000000}"/>
    <hyperlink ref="V35" r:id="rId34" xr:uid="{00000000-0004-0000-0100-000021000000}"/>
    <hyperlink ref="V36" r:id="rId35" xr:uid="{00000000-0004-0000-0100-000022000000}"/>
    <hyperlink ref="V37" r:id="rId36" xr:uid="{00000000-0004-0000-0100-000023000000}"/>
    <hyperlink ref="V38" r:id="rId37" xr:uid="{00000000-0004-0000-0100-000024000000}"/>
    <hyperlink ref="V39" r:id="rId38" xr:uid="{00000000-0004-0000-0100-000025000000}"/>
    <hyperlink ref="V40" r:id="rId39" xr:uid="{00000000-0004-0000-0100-000026000000}"/>
    <hyperlink ref="V41" r:id="rId40" xr:uid="{00000000-0004-0000-0100-000027000000}"/>
    <hyperlink ref="V42" r:id="rId41" xr:uid="{00000000-0004-0000-0100-000028000000}"/>
    <hyperlink ref="V43" r:id="rId42" xr:uid="{00000000-0004-0000-0100-000029000000}"/>
    <hyperlink ref="V44" r:id="rId43" xr:uid="{00000000-0004-0000-0100-00002A000000}"/>
    <hyperlink ref="V45" r:id="rId44" xr:uid="{00000000-0004-0000-0100-00002B000000}"/>
    <hyperlink ref="V46" r:id="rId45" xr:uid="{00000000-0004-0000-0100-00002C000000}"/>
    <hyperlink ref="V47" r:id="rId46" xr:uid="{00000000-0004-0000-0100-00002D000000}"/>
    <hyperlink ref="V48" r:id="rId47" xr:uid="{00000000-0004-0000-0100-00002E000000}"/>
    <hyperlink ref="V49" r:id="rId48" xr:uid="{00000000-0004-0000-0100-00002F000000}"/>
    <hyperlink ref="V50" r:id="rId49" xr:uid="{00000000-0004-0000-0100-000030000000}"/>
  </hyperlinks>
  <pageMargins left="0.75" right="0.75" top="1" bottom="1" header="0.511811023622047" footer="0.511811023622047"/>
  <pageSetup paperSize="9" scale="25" fitToHeight="0" orientation="landscape" horizontalDpi="300" verticalDpi="300" r:id="rId5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C5:G10"/>
  <sheetViews>
    <sheetView zoomScaleNormal="100" workbookViewId="0">
      <selection activeCell="I31" sqref="I31"/>
    </sheetView>
  </sheetViews>
  <sheetFormatPr defaultColWidth="8.7109375" defaultRowHeight="15"/>
  <sheetData>
    <row r="5" spans="3:7" ht="18" customHeight="1">
      <c r="C5" s="15" t="s">
        <v>393</v>
      </c>
    </row>
    <row r="7" spans="3:7" ht="15.75" customHeight="1">
      <c r="C7" s="24" t="s">
        <v>394</v>
      </c>
      <c r="D7" s="19"/>
      <c r="E7" s="20" t="s">
        <v>395</v>
      </c>
      <c r="F7" s="21" t="s">
        <v>396</v>
      </c>
      <c r="G7" s="22">
        <f>8/16</f>
        <v>0.5</v>
      </c>
    </row>
    <row r="8" spans="3:7" ht="15.75" customHeight="1">
      <c r="C8" s="24" t="s">
        <v>397</v>
      </c>
      <c r="D8" s="19"/>
      <c r="E8" s="20" t="s">
        <v>395</v>
      </c>
      <c r="F8" s="21" t="s">
        <v>398</v>
      </c>
      <c r="G8" s="22">
        <f>2/16</f>
        <v>0.125</v>
      </c>
    </row>
    <row r="9" spans="3:7" ht="15.75" customHeight="1">
      <c r="C9" s="24" t="s">
        <v>399</v>
      </c>
      <c r="D9" s="19"/>
      <c r="E9" s="20" t="s">
        <v>395</v>
      </c>
      <c r="F9" s="21" t="s">
        <v>400</v>
      </c>
      <c r="G9" s="22">
        <f>5/16</f>
        <v>0.3125</v>
      </c>
    </row>
    <row r="10" spans="3:7" ht="15.75" customHeight="1">
      <c r="C10" s="24" t="s">
        <v>401</v>
      </c>
      <c r="D10" s="19"/>
      <c r="E10" s="20" t="s">
        <v>395</v>
      </c>
      <c r="F10" s="23" t="s">
        <v>402</v>
      </c>
      <c r="G10" s="22">
        <f>1/16</f>
        <v>6.25E-2</v>
      </c>
    </row>
  </sheetData>
  <pageMargins left="0.7" right="0.7" top="0.75" bottom="0.75" header="0.511811023622047" footer="0.511811023622047"/>
  <pageSetup paperSize="9" orientation="portrait" horizontalDpi="300" verticalDpi="30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X50"/>
  <sheetViews>
    <sheetView topLeftCell="A15" zoomScaleNormal="100" workbookViewId="0">
      <selection activeCell="U2" sqref="U2"/>
    </sheetView>
  </sheetViews>
  <sheetFormatPr defaultColWidth="8.7109375" defaultRowHeight="15"/>
  <cols>
    <col min="1" max="1" width="7.140625" bestFit="1" customWidth="1"/>
    <col min="2" max="2" width="26" bestFit="1" customWidth="1"/>
    <col min="3" max="3" width="6" bestFit="1" customWidth="1"/>
    <col min="4" max="4" width="21.140625" bestFit="1" customWidth="1"/>
    <col min="5" max="5" width="4.7109375" style="22" customWidth="1"/>
    <col min="6" max="6" width="5" style="22" customWidth="1"/>
    <col min="7" max="7" width="6.7109375" style="22" customWidth="1"/>
    <col min="8" max="8" width="5.140625" style="22" customWidth="1"/>
    <col min="9" max="9" width="11.5703125" style="22" customWidth="1"/>
    <col min="10" max="10" width="8.28515625" style="22" customWidth="1"/>
    <col min="11" max="11" width="7.28515625" style="22" customWidth="1"/>
    <col min="12" max="12" width="6.5703125" style="22" customWidth="1"/>
    <col min="13" max="13" width="10.42578125" style="22" customWidth="1"/>
    <col min="14" max="14" width="10.140625" style="22" customWidth="1"/>
    <col min="15" max="15" width="25.5703125" bestFit="1" customWidth="1"/>
    <col min="16" max="16" width="5.85546875" style="22" customWidth="1"/>
    <col min="17" max="17" width="6.28515625" style="22" customWidth="1"/>
    <col min="18" max="18" width="6.140625" style="22" customWidth="1"/>
    <col min="19" max="20" width="6" style="22" customWidth="1"/>
    <col min="21" max="21" width="11.7109375" style="22" bestFit="1" customWidth="1"/>
    <col min="22" max="22" width="11.5703125" style="22" bestFit="1" customWidth="1"/>
    <col min="23" max="24" width="11.42578125" style="22" bestFit="1" customWidth="1"/>
  </cols>
  <sheetData>
    <row r="1" spans="1:24" ht="15" customHeight="1">
      <c r="A1" s="2" t="s">
        <v>68</v>
      </c>
      <c r="B1" s="2" t="s">
        <v>69</v>
      </c>
      <c r="C1" s="2" t="s">
        <v>70</v>
      </c>
      <c r="D1" s="2" t="s">
        <v>71</v>
      </c>
      <c r="E1" s="2" t="s">
        <v>72</v>
      </c>
      <c r="F1" s="2" t="s">
        <v>73</v>
      </c>
      <c r="G1" s="2" t="s">
        <v>74</v>
      </c>
      <c r="H1" s="2" t="s">
        <v>75</v>
      </c>
      <c r="I1" s="2" t="s">
        <v>76</v>
      </c>
      <c r="J1" s="2" t="s">
        <v>77</v>
      </c>
      <c r="K1" s="2" t="s">
        <v>78</v>
      </c>
      <c r="L1" s="2" t="s">
        <v>79</v>
      </c>
      <c r="M1" s="2" t="s">
        <v>80</v>
      </c>
      <c r="N1" s="2" t="s">
        <v>81</v>
      </c>
      <c r="O1" s="2" t="s">
        <v>82</v>
      </c>
      <c r="P1" s="2" t="s">
        <v>83</v>
      </c>
      <c r="Q1" s="3" t="s">
        <v>84</v>
      </c>
      <c r="R1" s="3" t="s">
        <v>85</v>
      </c>
      <c r="S1" s="3" t="s">
        <v>86</v>
      </c>
      <c r="T1" s="3" t="s">
        <v>87</v>
      </c>
      <c r="U1" s="31" t="s">
        <v>403</v>
      </c>
      <c r="V1" s="31" t="s">
        <v>404</v>
      </c>
      <c r="W1" s="31" t="s">
        <v>405</v>
      </c>
      <c r="X1" s="31" t="s">
        <v>406</v>
      </c>
    </row>
    <row r="2" spans="1:24" ht="18.75" customHeight="1">
      <c r="A2" s="5" t="s">
        <v>92</v>
      </c>
      <c r="B2" s="5" t="s">
        <v>93</v>
      </c>
      <c r="C2" s="5">
        <f>'Modelo Variables V8'!C2</f>
        <v>50.5</v>
      </c>
      <c r="D2" s="5" t="str">
        <f>'Modelo Variables V8'!D2</f>
        <v>índice (nivel)</v>
      </c>
      <c r="E2" s="44">
        <f>'Modelo Variables V8'!E2</f>
        <v>45</v>
      </c>
      <c r="F2" s="44">
        <f>'Modelo Variables V8'!F2</f>
        <v>55</v>
      </c>
      <c r="G2" s="44">
        <f>'Modelo Variables V8'!G2</f>
        <v>50</v>
      </c>
      <c r="H2" s="44" t="str">
        <f>'Modelo Variables V8'!H2</f>
        <v>↑</v>
      </c>
      <c r="I2" s="38">
        <f>'Modelo Variables V8'!I2</f>
        <v>0.9</v>
      </c>
      <c r="J2" s="39">
        <f>'Modelo Variables V8'!J2</f>
        <v>1.5</v>
      </c>
      <c r="K2" s="44">
        <f>'Modelo Variables V8'!K2</f>
        <v>0.55000000000000004</v>
      </c>
      <c r="L2" s="44">
        <f>'Modelo Variables V8'!L2</f>
        <v>0.44999999999999996</v>
      </c>
      <c r="M2" s="43">
        <f>'Modelo Variables V8'!M2</f>
        <v>0.55000000000000004</v>
      </c>
      <c r="N2" s="43">
        <f>'Modelo Variables V8'!N2</f>
        <v>0.45</v>
      </c>
      <c r="O2" s="12" t="str">
        <f>'Modelo Variables V8'!O2</f>
        <v>[0.7, -0.5, +0.3, 0.0]</v>
      </c>
      <c r="P2" s="44" t="str">
        <f>'Modelo Variables V8'!P2</f>
        <v>F2</v>
      </c>
      <c r="Q2" s="43">
        <f>'Modelo Variables V8'!Q2</f>
        <v>0.5774999999999999</v>
      </c>
      <c r="R2" s="43">
        <f>'Modelo Variables V8'!R2</f>
        <v>0.33750000000000002</v>
      </c>
      <c r="S2" s="43">
        <f>'Modelo Variables V8'!S2</f>
        <v>0.2475</v>
      </c>
      <c r="T2" s="43">
        <f>'Modelo Variables V8'!T2</f>
        <v>0</v>
      </c>
      <c r="U2" s="43">
        <f>IFERROR(IF(VALUE(TRIM(MID(O2,2,SEARCH(",",O2)-2)))&gt;=0,$Q20*$K2,$Q2*$L2),0)</f>
        <v>0.14850000000000002</v>
      </c>
      <c r="V2" s="43">
        <f t="shared" ref="V2:V20" si="0">IFERROR(IF(VALUE(TRIM(MID($O2,SEARCH(",",$O2)+2,SEARCH(",",$O2,SEARCH(",",O$2)+1)-SEARCH(",",$O2)-2)))&gt;=0,$K2*$R2,$L2*$R2),0)</f>
        <v>0.15187499999999998</v>
      </c>
      <c r="W2" s="43">
        <f t="shared" ref="W2:W20" si="1">IFERROR(IF(VALUE(TRIM(MID($O2,SEARCH(",",$O2,SEARCH(",",$O2)+1)+2,SEARCH(",",$O2,SEARCH(",",$O2,SEARCH(",",$O2)+1)+1)-SEARCH(",",$O2,SEARCH(",",$O2)+1)-2)))&gt;=0,$S2*$K2,$S2*$L2),0)</f>
        <v>0.136125</v>
      </c>
      <c r="X2" s="43">
        <f t="shared" ref="X2:X20" si="2">IFERROR(IF(VALUE(TRIM(MID($O2,SEARCH(",",$O2,SEARCH(",",$O2,SEARCH(",",$O2)+1)+1)+2,SEARCH("]",$O2)-SEARCH(",",$O2,SEARCH(",",$O2,SEARCH(",",$O2)+1)+1)-2)))&gt;=0,$T2*$K2,$T2*$L2),0)</f>
        <v>0</v>
      </c>
    </row>
    <row r="3" spans="1:24" ht="15" customHeight="1">
      <c r="A3" s="5" t="s">
        <v>92</v>
      </c>
      <c r="B3" s="5" t="s">
        <v>101</v>
      </c>
      <c r="C3" s="5">
        <f>'Modelo Variables V8'!C3</f>
        <v>5.2</v>
      </c>
      <c r="D3" s="5" t="str">
        <f>'Modelo Variables V8'!D3</f>
        <v>%</v>
      </c>
      <c r="E3" s="44">
        <f>'Modelo Variables V8'!E3</f>
        <v>2</v>
      </c>
      <c r="F3" s="44">
        <f>'Modelo Variables V8'!F3</f>
        <v>12</v>
      </c>
      <c r="G3" s="44">
        <f>'Modelo Variables V8'!G3</f>
        <v>5</v>
      </c>
      <c r="H3" s="44" t="str">
        <f>'Modelo Variables V8'!H3</f>
        <v>↑</v>
      </c>
      <c r="I3" s="38">
        <f>'Modelo Variables V8'!I3</f>
        <v>0.97142857142857142</v>
      </c>
      <c r="J3" s="39">
        <f>'Modelo Variables V8'!J3</f>
        <v>1.5</v>
      </c>
      <c r="K3" s="44">
        <f>'Modelo Variables V8'!K3</f>
        <v>0.32</v>
      </c>
      <c r="L3" s="44">
        <f>'Modelo Variables V8'!L3</f>
        <v>0.67999999999999994</v>
      </c>
      <c r="M3" s="43">
        <f>'Modelo Variables V8'!M3</f>
        <v>0.51428571428571435</v>
      </c>
      <c r="N3" s="43">
        <f>'Modelo Variables V8'!N3</f>
        <v>0.48571428571428571</v>
      </c>
      <c r="O3" s="12" t="str">
        <f>'Modelo Variables V8'!O3</f>
        <v>[+0.6, -0.7, +0.2, +0.1]</v>
      </c>
      <c r="P3" s="44" t="str">
        <f>'Modelo Variables V8'!P3</f>
        <v>F2</v>
      </c>
      <c r="Q3" s="43">
        <f>'Modelo Variables V8'!Q3</f>
        <v>0.46285714285714286</v>
      </c>
      <c r="R3" s="43">
        <f>'Modelo Variables V8'!R3</f>
        <v>0.5099999999999999</v>
      </c>
      <c r="S3" s="43">
        <f>'Modelo Variables V8'!S3</f>
        <v>0.15428571428571433</v>
      </c>
      <c r="T3" s="43">
        <f>'Modelo Variables V8'!T3</f>
        <v>7.7142857142857166E-2</v>
      </c>
      <c r="U3" s="43">
        <f t="shared" ref="U3:U20" si="3">IFERROR(IF(VALUE(TRIM(MID(O3,2,SEARCH(",",O3)-2)))&gt;=0,$Q3*$K3,$Q3*$L3),0)</f>
        <v>0.14811428571428573</v>
      </c>
      <c r="V3" s="43">
        <f t="shared" si="0"/>
        <v>0</v>
      </c>
      <c r="W3" s="43">
        <f t="shared" si="1"/>
        <v>4.9371428571428587E-2</v>
      </c>
      <c r="X3" s="43">
        <f t="shared" si="2"/>
        <v>2.4685714285714293E-2</v>
      </c>
    </row>
    <row r="4" spans="1:24" ht="15" customHeight="1">
      <c r="A4" s="5" t="s">
        <v>92</v>
      </c>
      <c r="B4" s="5" t="s">
        <v>115</v>
      </c>
      <c r="C4" s="5">
        <f>'Modelo Variables V8'!C5</f>
        <v>-0.1</v>
      </c>
      <c r="D4" s="5" t="str">
        <f>'Modelo Variables V8'!D5</f>
        <v>%</v>
      </c>
      <c r="E4" s="44">
        <f>'Modelo Variables V8'!E5</f>
        <v>-0.6</v>
      </c>
      <c r="F4" s="44">
        <f>'Modelo Variables V8'!F5</f>
        <v>0.6</v>
      </c>
      <c r="G4" s="44">
        <f>'Modelo Variables V8'!G5</f>
        <v>0</v>
      </c>
      <c r="H4" s="44" t="str">
        <f>'Modelo Variables V8'!H5</f>
        <v>↑</v>
      </c>
      <c r="I4" s="38">
        <f>'Modelo Variables V8'!I5</f>
        <v>0.83333333333333326</v>
      </c>
      <c r="J4" s="39">
        <f>'Modelo Variables V8'!J5</f>
        <v>2</v>
      </c>
      <c r="K4" s="44">
        <f>'Modelo Variables V8'!K5</f>
        <v>0.41666666666666669</v>
      </c>
      <c r="L4" s="44">
        <f>'Modelo Variables V8'!L5</f>
        <v>0.58333333333333326</v>
      </c>
      <c r="M4" s="43">
        <f>'Modelo Variables V8'!M5</f>
        <v>0.41666666666666669</v>
      </c>
      <c r="N4" s="43">
        <f>'Modelo Variables V8'!N5</f>
        <v>0.58333333333333326</v>
      </c>
      <c r="O4" s="12" t="str">
        <f>'Modelo Variables V8'!O5</f>
        <v>[-0.5, +0.6, +0.3, -0.1]</v>
      </c>
      <c r="P4" s="44" t="str">
        <f>'Modelo Variables V8'!P5</f>
        <v>F2,F3</v>
      </c>
      <c r="Q4" s="43">
        <f>'Modelo Variables V8'!Q5</f>
        <v>0.58333333333333326</v>
      </c>
      <c r="R4" s="43">
        <f>'Modelo Variables V8'!R5</f>
        <v>0.5</v>
      </c>
      <c r="S4" s="43">
        <f>'Modelo Variables V8'!S5</f>
        <v>0.25</v>
      </c>
      <c r="T4" s="43">
        <f>'Modelo Variables V8'!T5</f>
        <v>0.11666666666666665</v>
      </c>
      <c r="U4" s="43">
        <f t="shared" si="3"/>
        <v>0.34027777777777768</v>
      </c>
      <c r="V4" s="43">
        <f t="shared" si="0"/>
        <v>0</v>
      </c>
      <c r="W4" s="43">
        <f t="shared" si="1"/>
        <v>0.10416666666666667</v>
      </c>
      <c r="X4" s="43">
        <f t="shared" si="2"/>
        <v>6.8055555555555536E-2</v>
      </c>
    </row>
    <row r="5" spans="1:24" ht="15" customHeight="1">
      <c r="A5" s="5" t="s">
        <v>92</v>
      </c>
      <c r="B5" s="5" t="s">
        <v>121</v>
      </c>
      <c r="C5" s="5">
        <f>'Modelo Variables V8'!C6</f>
        <v>17.8</v>
      </c>
      <c r="D5" s="5" t="str">
        <f>'Modelo Variables V8'!D6</f>
        <v>%</v>
      </c>
      <c r="E5" s="44">
        <f>'Modelo Variables V8'!E6</f>
        <v>10</v>
      </c>
      <c r="F5" s="44">
        <f>'Modelo Variables V8'!F6</f>
        <v>25</v>
      </c>
      <c r="G5" s="44">
        <f>'Modelo Variables V8'!G6</f>
        <v>16</v>
      </c>
      <c r="H5" s="44" t="str">
        <f>'Modelo Variables V8'!H6</f>
        <v>↓</v>
      </c>
      <c r="I5" s="38">
        <f>'Modelo Variables V8'!I6</f>
        <v>0.79999999999999993</v>
      </c>
      <c r="J5" s="39">
        <f>'Modelo Variables V8'!J6</f>
        <v>1.5</v>
      </c>
      <c r="K5" s="44">
        <f>'Modelo Variables V8'!K6</f>
        <v>0.52</v>
      </c>
      <c r="L5" s="44">
        <f>'Modelo Variables V8'!L6</f>
        <v>0.48</v>
      </c>
      <c r="M5" s="43">
        <f>'Modelo Variables V8'!M6</f>
        <v>0.60000000000000009</v>
      </c>
      <c r="N5" s="43">
        <f>'Modelo Variables V8'!N6</f>
        <v>0.39999999999999997</v>
      </c>
      <c r="O5" s="12" t="str">
        <f>'Modelo Variables V8'!O6</f>
        <v>[-0.3, +0.6, +0.8, -0.1]</v>
      </c>
      <c r="P5" s="44" t="str">
        <f>'Modelo Variables V8'!P6</f>
        <v>F2,F4</v>
      </c>
      <c r="Q5" s="43">
        <f>'Modelo Variables V8'!Q6</f>
        <v>0.17999999999999997</v>
      </c>
      <c r="R5" s="43">
        <f>'Modelo Variables V8'!R6</f>
        <v>0.54</v>
      </c>
      <c r="S5" s="43">
        <f>'Modelo Variables V8'!S6</f>
        <v>0.7200000000000002</v>
      </c>
      <c r="T5" s="43">
        <f>'Modelo Variables V8'!T6</f>
        <v>6.0000000000000005E-2</v>
      </c>
      <c r="U5" s="43">
        <f t="shared" si="3"/>
        <v>8.6399999999999977E-2</v>
      </c>
      <c r="V5" s="43">
        <f t="shared" si="0"/>
        <v>0</v>
      </c>
      <c r="W5" s="43">
        <f t="shared" si="1"/>
        <v>0.37440000000000012</v>
      </c>
      <c r="X5" s="43">
        <f t="shared" si="2"/>
        <v>2.8800000000000003E-2</v>
      </c>
    </row>
    <row r="6" spans="1:24" ht="15" customHeight="1">
      <c r="A6" s="5" t="s">
        <v>92</v>
      </c>
      <c r="B6" s="5" t="s">
        <v>127</v>
      </c>
      <c r="C6" s="5">
        <f>'Modelo Variables V8'!C7</f>
        <v>24.9</v>
      </c>
      <c r="D6" s="5" t="str">
        <f>'Modelo Variables V8'!D7</f>
        <v>nivel</v>
      </c>
      <c r="E6" s="44">
        <f>'Modelo Variables V8'!E7</f>
        <v>22</v>
      </c>
      <c r="F6" s="44">
        <f>'Modelo Variables V8'!F7</f>
        <v>33</v>
      </c>
      <c r="G6" s="44">
        <f>'Modelo Variables V8'!G7</f>
        <v>25</v>
      </c>
      <c r="H6" s="44" t="str">
        <f>'Modelo Variables V8'!H7</f>
        <v>↑</v>
      </c>
      <c r="I6" s="38">
        <f>'Modelo Variables V8'!I7</f>
        <v>0.98749999999999982</v>
      </c>
      <c r="J6" s="39">
        <f>'Modelo Variables V8'!J7</f>
        <v>1</v>
      </c>
      <c r="K6" s="44">
        <f>'Modelo Variables V8'!K7</f>
        <v>0.2636363636363635</v>
      </c>
      <c r="L6" s="44">
        <f>'Modelo Variables V8'!L7</f>
        <v>0.73636363636363655</v>
      </c>
      <c r="M6" s="43">
        <f>'Modelo Variables V8'!M7</f>
        <v>0.48333333333333311</v>
      </c>
      <c r="N6" s="43">
        <f>'Modelo Variables V8'!N7</f>
        <v>0.51666666666666683</v>
      </c>
      <c r="O6" s="12" t="str">
        <f>'Modelo Variables V8'!O7</f>
        <v>[+0.6, -0.4, +0.1, +0.2]</v>
      </c>
      <c r="P6" s="44" t="str">
        <f>'Modelo Variables V8'!P7</f>
        <v>F2,F4</v>
      </c>
      <c r="Q6" s="43">
        <f>'Modelo Variables V8'!Q7</f>
        <v>0.28999999999999987</v>
      </c>
      <c r="R6" s="43">
        <f>'Modelo Variables V8'!R7</f>
        <v>0.20666666666666675</v>
      </c>
      <c r="S6" s="43">
        <f>'Modelo Variables V8'!S7</f>
        <v>4.8333333333333311E-2</v>
      </c>
      <c r="T6" s="43">
        <f>'Modelo Variables V8'!T7</f>
        <v>9.6666666666666623E-2</v>
      </c>
      <c r="U6" s="43">
        <f t="shared" si="3"/>
        <v>7.6454545454545386E-2</v>
      </c>
      <c r="V6" s="43">
        <f t="shared" si="0"/>
        <v>0</v>
      </c>
      <c r="W6" s="43">
        <f t="shared" si="1"/>
        <v>1.274242424242423E-2</v>
      </c>
      <c r="X6" s="43">
        <f t="shared" si="2"/>
        <v>2.5484848484848461E-2</v>
      </c>
    </row>
    <row r="7" spans="1:24" ht="15" customHeight="1">
      <c r="A7" s="5" t="s">
        <v>146</v>
      </c>
      <c r="B7" s="5" t="s">
        <v>93</v>
      </c>
      <c r="C7" s="5">
        <f>'Modelo Variables V8'!C10</f>
        <v>55.4</v>
      </c>
      <c r="D7" s="5" t="str">
        <f>'Modelo Variables V8'!D10</f>
        <v>índice (nivel)</v>
      </c>
      <c r="E7" s="44">
        <f>'Modelo Variables V8'!E10</f>
        <v>45</v>
      </c>
      <c r="F7" s="44">
        <f>'Modelo Variables V8'!F10</f>
        <v>58</v>
      </c>
      <c r="G7" s="44">
        <f>'Modelo Variables V8'!G10</f>
        <v>50</v>
      </c>
      <c r="H7" s="44" t="str">
        <f>'Modelo Variables V8'!H10</f>
        <v>↑</v>
      </c>
      <c r="I7" s="38">
        <f>'Modelo Variables V8'!I10</f>
        <v>0.32500000000000018</v>
      </c>
      <c r="J7" s="39">
        <f>'Modelo Variables V8'!J10</f>
        <v>1.5</v>
      </c>
      <c r="K7" s="44">
        <f>'Modelo Variables V8'!K10</f>
        <v>0.79999999999999993</v>
      </c>
      <c r="L7" s="44">
        <f>'Modelo Variables V8'!L10</f>
        <v>0.20000000000000007</v>
      </c>
      <c r="M7" s="43">
        <f>'Modelo Variables V8'!M10</f>
        <v>0.83749999999999991</v>
      </c>
      <c r="N7" s="43">
        <f>'Modelo Variables V8'!N10</f>
        <v>0.16250000000000009</v>
      </c>
      <c r="O7" s="12" t="str">
        <f>'Modelo Variables V8'!O10</f>
        <v>[-0.6, +0.7, -0.3, +0.1]</v>
      </c>
      <c r="P7" s="44" t="str">
        <f>'Modelo Variables V8'!P10</f>
        <v>F2</v>
      </c>
      <c r="Q7" s="43">
        <f>'Modelo Variables V8'!Q10</f>
        <v>0.14625000000000007</v>
      </c>
      <c r="R7" s="43">
        <f>'Modelo Variables V8'!R10</f>
        <v>0.8793749999999998</v>
      </c>
      <c r="S7" s="43">
        <f>'Modelo Variables V8'!S10</f>
        <v>7.3125000000000037E-2</v>
      </c>
      <c r="T7" s="43">
        <f>'Modelo Variables V8'!T10</f>
        <v>0.12562500000000001</v>
      </c>
      <c r="U7" s="43">
        <f t="shared" si="3"/>
        <v>2.9250000000000026E-2</v>
      </c>
      <c r="V7" s="43">
        <f t="shared" si="0"/>
        <v>0</v>
      </c>
      <c r="W7" s="43">
        <f t="shared" si="1"/>
        <v>1.4625000000000013E-2</v>
      </c>
      <c r="X7" s="43">
        <f t="shared" si="2"/>
        <v>0.10050000000000001</v>
      </c>
    </row>
    <row r="8" spans="1:24" ht="15" customHeight="1">
      <c r="A8" s="5" t="s">
        <v>146</v>
      </c>
      <c r="B8" s="5" t="s">
        <v>101</v>
      </c>
      <c r="C8" s="5">
        <f>'Modelo Variables V8'!C11</f>
        <v>2.1</v>
      </c>
      <c r="D8" s="5" t="str">
        <f>'Modelo Variables V8'!D11</f>
        <v>%</v>
      </c>
      <c r="E8" s="44">
        <f>'Modelo Variables V8'!E11</f>
        <v>-4</v>
      </c>
      <c r="F8" s="44">
        <f>'Modelo Variables V8'!F11</f>
        <v>6</v>
      </c>
      <c r="G8" s="44">
        <f>'Modelo Variables V8'!G11</f>
        <v>0</v>
      </c>
      <c r="H8" s="44" t="str">
        <f>'Modelo Variables V8'!H11</f>
        <v>↑</v>
      </c>
      <c r="I8" s="38">
        <f>'Modelo Variables V8'!I11</f>
        <v>0.64999999999999991</v>
      </c>
      <c r="J8" s="39">
        <f>'Modelo Variables V8'!J11</f>
        <v>1.5</v>
      </c>
      <c r="K8" s="44">
        <f>'Modelo Variables V8'!K11</f>
        <v>0.61</v>
      </c>
      <c r="L8" s="44">
        <f>'Modelo Variables V8'!L11</f>
        <v>0.39</v>
      </c>
      <c r="M8" s="43">
        <f>'Modelo Variables V8'!M11</f>
        <v>0.67500000000000004</v>
      </c>
      <c r="N8" s="43">
        <f>'Modelo Variables V8'!N11</f>
        <v>0.32499999999999996</v>
      </c>
      <c r="O8" s="12" t="str">
        <f>'Modelo Variables V8'!O11</f>
        <v>[-0.5, +0.6, -0.2, +0.1]</v>
      </c>
      <c r="P8" s="44" t="str">
        <f>'Modelo Variables V8'!P11</f>
        <v>F2</v>
      </c>
      <c r="Q8" s="43">
        <f>'Modelo Variables V8'!Q11</f>
        <v>0.24374999999999997</v>
      </c>
      <c r="R8" s="43">
        <f>'Modelo Variables V8'!R11</f>
        <v>0.60749999999999993</v>
      </c>
      <c r="S8" s="43">
        <f>'Modelo Variables V8'!S11</f>
        <v>9.7500000000000003E-2</v>
      </c>
      <c r="T8" s="43">
        <f>'Modelo Variables V8'!T11</f>
        <v>0.10125000000000002</v>
      </c>
      <c r="U8" s="43">
        <f t="shared" si="3"/>
        <v>9.5062499999999994E-2</v>
      </c>
      <c r="V8" s="43">
        <f t="shared" si="0"/>
        <v>0</v>
      </c>
      <c r="W8" s="43">
        <f t="shared" si="1"/>
        <v>3.8025000000000003E-2</v>
      </c>
      <c r="X8" s="43">
        <f t="shared" si="2"/>
        <v>6.1762500000000012E-2</v>
      </c>
    </row>
    <row r="9" spans="1:24" ht="15" customHeight="1">
      <c r="A9" s="5" t="s">
        <v>146</v>
      </c>
      <c r="B9" s="5" t="s">
        <v>164</v>
      </c>
      <c r="C9" s="5">
        <f>'Modelo Variables V8'!C13</f>
        <v>3.3</v>
      </c>
      <c r="D9" s="5" t="str">
        <f>'Modelo Variables V8'!D13</f>
        <v>%</v>
      </c>
      <c r="E9" s="44">
        <f>'Modelo Variables V8'!E13</f>
        <v>-4</v>
      </c>
      <c r="F9" s="44">
        <f>'Modelo Variables V8'!F13</f>
        <v>6</v>
      </c>
      <c r="G9" s="44">
        <f>'Modelo Variables V8'!G13</f>
        <v>0</v>
      </c>
      <c r="H9" s="44" t="str">
        <f>'Modelo Variables V8'!H13</f>
        <v>↑</v>
      </c>
      <c r="I9" s="38">
        <f>'Modelo Variables V8'!I13</f>
        <v>0.45000000000000007</v>
      </c>
      <c r="J9" s="39">
        <f>'Modelo Variables V8'!J13</f>
        <v>1</v>
      </c>
      <c r="K9" s="44">
        <f>'Modelo Variables V8'!K13</f>
        <v>0.73</v>
      </c>
      <c r="L9" s="44">
        <f>'Modelo Variables V8'!L13</f>
        <v>0.27</v>
      </c>
      <c r="M9" s="43">
        <f>'Modelo Variables V8'!M13</f>
        <v>0.77499999999999991</v>
      </c>
      <c r="N9" s="43">
        <f>'Modelo Variables V8'!N13</f>
        <v>0.22500000000000003</v>
      </c>
      <c r="O9" s="12" t="str">
        <f>'Modelo Variables V8'!O13</f>
        <v>[-0.4, +0.5, -0.3, +0.2]</v>
      </c>
      <c r="P9" s="44" t="str">
        <f>'Modelo Variables V8'!P13</f>
        <v>F2</v>
      </c>
      <c r="Q9" s="43">
        <f>'Modelo Variables V8'!Q13</f>
        <v>9.0000000000000024E-2</v>
      </c>
      <c r="R9" s="43">
        <f>'Modelo Variables V8'!R13</f>
        <v>0.38749999999999996</v>
      </c>
      <c r="S9" s="43">
        <f>'Modelo Variables V8'!S13</f>
        <v>6.7500000000000004E-2</v>
      </c>
      <c r="T9" s="43">
        <f>'Modelo Variables V8'!T13</f>
        <v>0.155</v>
      </c>
      <c r="U9" s="43">
        <f t="shared" si="3"/>
        <v>2.4300000000000009E-2</v>
      </c>
      <c r="V9" s="43">
        <f t="shared" si="0"/>
        <v>0</v>
      </c>
      <c r="W9" s="43">
        <f t="shared" si="1"/>
        <v>1.8225000000000002E-2</v>
      </c>
      <c r="X9" s="43">
        <f t="shared" si="2"/>
        <v>0.11315</v>
      </c>
    </row>
    <row r="10" spans="1:24" ht="15" customHeight="1">
      <c r="A10" s="5" t="s">
        <v>146</v>
      </c>
      <c r="B10" s="5" t="s">
        <v>186</v>
      </c>
      <c r="C10" s="5">
        <f>'Modelo Variables V8'!C17</f>
        <v>-3.1</v>
      </c>
      <c r="D10" s="5" t="str">
        <f>'Modelo Variables V8'!D17</f>
        <v>%</v>
      </c>
      <c r="E10" s="44">
        <f>'Modelo Variables V8'!E17</f>
        <v>-6</v>
      </c>
      <c r="F10" s="44">
        <f>'Modelo Variables V8'!F17</f>
        <v>0</v>
      </c>
      <c r="G10" s="44">
        <f>'Modelo Variables V8'!G17</f>
        <v>-3</v>
      </c>
      <c r="H10" s="44" t="str">
        <f>'Modelo Variables V8'!H17</f>
        <v>↑</v>
      </c>
      <c r="I10" s="38">
        <f>'Modelo Variables V8'!I17</f>
        <v>0.96666666666666667</v>
      </c>
      <c r="J10" s="39">
        <f>'Modelo Variables V8'!J17</f>
        <v>1</v>
      </c>
      <c r="K10" s="44">
        <f>'Modelo Variables V8'!K17</f>
        <v>0.48333333333333334</v>
      </c>
      <c r="L10" s="44">
        <f>'Modelo Variables V8'!L17</f>
        <v>0.51666666666666661</v>
      </c>
      <c r="M10" s="43">
        <f>'Modelo Variables V8'!M17</f>
        <v>0.48333333333333334</v>
      </c>
      <c r="N10" s="43">
        <f>'Modelo Variables V8'!N17</f>
        <v>0.51666666666666661</v>
      </c>
      <c r="O10" s="12" t="str">
        <f>'Modelo Variables V8'!O17</f>
        <v>[+0.5, -0.4, +0.2, -0.1]</v>
      </c>
      <c r="P10" s="44" t="str">
        <f>'Modelo Variables V8'!P17</f>
        <v>F2</v>
      </c>
      <c r="Q10" s="43">
        <f>'Modelo Variables V8'!Q17</f>
        <v>0.24166666666666667</v>
      </c>
      <c r="R10" s="43">
        <f>'Modelo Variables V8'!R17</f>
        <v>0.20666666666666667</v>
      </c>
      <c r="S10" s="43">
        <f>'Modelo Variables V8'!S17</f>
        <v>9.6666666666666679E-2</v>
      </c>
      <c r="T10" s="43">
        <f>'Modelo Variables V8'!T17</f>
        <v>5.1666666666666666E-2</v>
      </c>
      <c r="U10" s="43">
        <f t="shared" si="3"/>
        <v>0.11680555555555555</v>
      </c>
      <c r="V10" s="43">
        <f t="shared" si="0"/>
        <v>0</v>
      </c>
      <c r="W10" s="43">
        <f t="shared" si="1"/>
        <v>4.6722222222222227E-2</v>
      </c>
      <c r="X10" s="43">
        <f t="shared" si="2"/>
        <v>2.6694444444444441E-2</v>
      </c>
    </row>
    <row r="11" spans="1:24" ht="15" customHeight="1">
      <c r="A11" s="5" t="s">
        <v>208</v>
      </c>
      <c r="B11" s="5" t="s">
        <v>209</v>
      </c>
      <c r="C11" s="5">
        <f>'Modelo Variables V8'!C21</f>
        <v>0.6</v>
      </c>
      <c r="D11" s="5" t="str">
        <f>'Modelo Variables V8'!D21</f>
        <v>%</v>
      </c>
      <c r="E11" s="44">
        <f>'Modelo Variables V8'!E21</f>
        <v>-6</v>
      </c>
      <c r="F11" s="44">
        <f>'Modelo Variables V8'!F21</f>
        <v>6</v>
      </c>
      <c r="G11" s="44">
        <f>'Modelo Variables V8'!G21</f>
        <v>0</v>
      </c>
      <c r="H11" s="44" t="str">
        <f>'Modelo Variables V8'!H21</f>
        <v>↑</v>
      </c>
      <c r="I11" s="38">
        <f>'Modelo Variables V8'!I21</f>
        <v>0.9</v>
      </c>
      <c r="J11" s="39">
        <f>'Modelo Variables V8'!J21</f>
        <v>1.5</v>
      </c>
      <c r="K11" s="44">
        <f>'Modelo Variables V8'!K21</f>
        <v>0.54999999999999993</v>
      </c>
      <c r="L11" s="44">
        <f>'Modelo Variables V8'!L21</f>
        <v>0.45000000000000007</v>
      </c>
      <c r="M11" s="43">
        <f>'Modelo Variables V8'!M21</f>
        <v>0.55000000000000004</v>
      </c>
      <c r="N11" s="43">
        <f>'Modelo Variables V8'!N21</f>
        <v>0.45</v>
      </c>
      <c r="O11" s="12" t="str">
        <f>'Modelo Variables V8'!O21</f>
        <v>[-0.5, +0.6, -0.3, +0.1]</v>
      </c>
      <c r="P11" s="44" t="str">
        <f>'Modelo Variables V8'!P21</f>
        <v>F2</v>
      </c>
      <c r="Q11" s="43">
        <f>'Modelo Variables V8'!Q21</f>
        <v>0.33750000000000002</v>
      </c>
      <c r="R11" s="43">
        <f>'Modelo Variables V8'!R21</f>
        <v>0.495</v>
      </c>
      <c r="S11" s="43">
        <f>'Modelo Variables V8'!S21</f>
        <v>0.20249999999999999</v>
      </c>
      <c r="T11" s="43">
        <f>'Modelo Variables V8'!T21</f>
        <v>8.2500000000000018E-2</v>
      </c>
      <c r="U11" s="43">
        <f t="shared" si="3"/>
        <v>0.15187500000000004</v>
      </c>
      <c r="V11" s="43">
        <f t="shared" si="0"/>
        <v>0</v>
      </c>
      <c r="W11" s="43">
        <f t="shared" si="1"/>
        <v>9.1125000000000012E-2</v>
      </c>
      <c r="X11" s="43">
        <f t="shared" si="2"/>
        <v>4.5375000000000006E-2</v>
      </c>
    </row>
    <row r="12" spans="1:24" ht="15" customHeight="1">
      <c r="A12" s="5" t="s">
        <v>250</v>
      </c>
      <c r="B12" s="5" t="s">
        <v>101</v>
      </c>
      <c r="C12" s="5">
        <f>'Modelo Variables V8'!C28</f>
        <v>7.8</v>
      </c>
      <c r="D12" s="5" t="str">
        <f>'Modelo Variables V8'!D28</f>
        <v>%</v>
      </c>
      <c r="E12" s="44">
        <f>'Modelo Variables V8'!E28</f>
        <v>3</v>
      </c>
      <c r="F12" s="44">
        <f>'Modelo Variables V8'!F28</f>
        <v>9</v>
      </c>
      <c r="G12" s="44">
        <f>'Modelo Variables V8'!G28</f>
        <v>6</v>
      </c>
      <c r="H12" s="44" t="str">
        <f>'Modelo Variables V8'!H28</f>
        <v>↑</v>
      </c>
      <c r="I12" s="38">
        <f>'Modelo Variables V8'!I28</f>
        <v>0.4</v>
      </c>
      <c r="J12" s="39">
        <f>'Modelo Variables V8'!J28</f>
        <v>1.5</v>
      </c>
      <c r="K12" s="44">
        <f>'Modelo Variables V8'!K28</f>
        <v>0.79999999999999993</v>
      </c>
      <c r="L12" s="44">
        <f>'Modelo Variables V8'!L28</f>
        <v>0.20000000000000007</v>
      </c>
      <c r="M12" s="43">
        <f>'Modelo Variables V8'!M28</f>
        <v>0.8</v>
      </c>
      <c r="N12" s="43">
        <f>'Modelo Variables V8'!N28</f>
        <v>0.2</v>
      </c>
      <c r="O12" s="12" t="str">
        <f>'Modelo Variables V8'!O28</f>
        <v>[+0.3, -0.2, +0.1, +0.2]</v>
      </c>
      <c r="P12" s="44" t="str">
        <f>'Modelo Variables V8'!P28</f>
        <v>F2,F4</v>
      </c>
      <c r="Q12" s="43">
        <f>'Modelo Variables V8'!Q28</f>
        <v>0.36</v>
      </c>
      <c r="R12" s="43">
        <f>'Modelo Variables V8'!R28</f>
        <v>6.0000000000000012E-2</v>
      </c>
      <c r="S12" s="43">
        <f>'Modelo Variables V8'!S28</f>
        <v>0.12000000000000002</v>
      </c>
      <c r="T12" s="43">
        <f>'Modelo Variables V8'!T28</f>
        <v>0.24000000000000005</v>
      </c>
      <c r="U12" s="43">
        <f t="shared" si="3"/>
        <v>0.28799999999999998</v>
      </c>
      <c r="V12" s="43">
        <f t="shared" si="0"/>
        <v>0</v>
      </c>
      <c r="W12" s="43">
        <f t="shared" si="1"/>
        <v>9.6000000000000016E-2</v>
      </c>
      <c r="X12" s="43">
        <f t="shared" si="2"/>
        <v>0.19200000000000003</v>
      </c>
    </row>
    <row r="13" spans="1:24" ht="15" customHeight="1">
      <c r="A13" s="5" t="s">
        <v>250</v>
      </c>
      <c r="B13" s="5" t="s">
        <v>256</v>
      </c>
      <c r="C13" s="5">
        <f>'Modelo Variables V8'!C29</f>
        <v>59.8</v>
      </c>
      <c r="D13" s="5" t="str">
        <f>'Modelo Variables V8'!D29</f>
        <v>nivel</v>
      </c>
      <c r="E13" s="44">
        <f>'Modelo Variables V8'!E29</f>
        <v>45</v>
      </c>
      <c r="F13" s="44">
        <f>'Modelo Variables V8'!F29</f>
        <v>65</v>
      </c>
      <c r="G13" s="44">
        <f>'Modelo Variables V8'!G29</f>
        <v>50</v>
      </c>
      <c r="H13" s="44" t="str">
        <f>'Modelo Variables V8'!H29</f>
        <v>↑</v>
      </c>
      <c r="I13" s="38">
        <f>'Modelo Variables V8'!I29</f>
        <v>0.3466666666666669</v>
      </c>
      <c r="J13" s="39">
        <f>'Modelo Variables V8'!J29</f>
        <v>1</v>
      </c>
      <c r="K13" s="44">
        <f>'Modelo Variables V8'!K29</f>
        <v>0.73999999999999988</v>
      </c>
      <c r="L13" s="44">
        <f>'Modelo Variables V8'!L29</f>
        <v>0.26000000000000012</v>
      </c>
      <c r="M13" s="43">
        <f>'Modelo Variables V8'!M29</f>
        <v>0.82666666666666655</v>
      </c>
      <c r="N13" s="43">
        <f>'Modelo Variables V8'!N29</f>
        <v>0.17333333333333345</v>
      </c>
      <c r="O13" s="12" t="str">
        <f>'Modelo Variables V8'!O29</f>
        <v>[+0.2, -0.1, +0.1, +0.1]</v>
      </c>
      <c r="P13" s="44" t="str">
        <f>'Modelo Variables V8'!P29</f>
        <v>F2,F4</v>
      </c>
      <c r="Q13" s="43">
        <f>'Modelo Variables V8'!Q29</f>
        <v>0.16533333333333333</v>
      </c>
      <c r="R13" s="43">
        <f>'Modelo Variables V8'!R29</f>
        <v>1.7333333333333346E-2</v>
      </c>
      <c r="S13" s="43">
        <f>'Modelo Variables V8'!S29</f>
        <v>8.2666666666666666E-2</v>
      </c>
      <c r="T13" s="43">
        <f>'Modelo Variables V8'!T29</f>
        <v>8.2666666666666666E-2</v>
      </c>
      <c r="U13" s="43">
        <f t="shared" si="3"/>
        <v>0.12234666666666665</v>
      </c>
      <c r="V13" s="43">
        <f t="shared" si="0"/>
        <v>0</v>
      </c>
      <c r="W13" s="43">
        <f t="shared" si="1"/>
        <v>6.1173333333333323E-2</v>
      </c>
      <c r="X13" s="43">
        <f t="shared" si="2"/>
        <v>6.1173333333333323E-2</v>
      </c>
    </row>
    <row r="14" spans="1:24" ht="15" customHeight="1">
      <c r="A14" s="5" t="s">
        <v>250</v>
      </c>
      <c r="B14" s="5" t="s">
        <v>262</v>
      </c>
      <c r="C14" s="5">
        <f>'Modelo Variables V8'!C30</f>
        <v>81.040000000000006</v>
      </c>
      <c r="D14" s="5" t="str">
        <f>'Modelo Variables V8'!D30</f>
        <v>USD miles de millones</v>
      </c>
      <c r="E14" s="44">
        <f>'Modelo Variables V8'!E30</f>
        <v>50</v>
      </c>
      <c r="F14" s="44">
        <f>'Modelo Variables V8'!F30</f>
        <v>100</v>
      </c>
      <c r="G14" s="44">
        <f>'Modelo Variables V8'!G30</f>
        <v>75</v>
      </c>
      <c r="H14" s="44" t="str">
        <f>'Modelo Variables V8'!H30</f>
        <v>↑</v>
      </c>
      <c r="I14" s="38">
        <f>'Modelo Variables V8'!I30</f>
        <v>0.75839999999999974</v>
      </c>
      <c r="J14" s="39">
        <f>'Modelo Variables V8'!J30</f>
        <v>0.5</v>
      </c>
      <c r="K14" s="44">
        <f>'Modelo Variables V8'!K30</f>
        <v>0.62080000000000013</v>
      </c>
      <c r="L14" s="44">
        <f>'Modelo Variables V8'!L30</f>
        <v>0.37919999999999987</v>
      </c>
      <c r="M14" s="43">
        <f>'Modelo Variables V8'!M30</f>
        <v>0.62080000000000013</v>
      </c>
      <c r="N14" s="43">
        <f>'Modelo Variables V8'!N30</f>
        <v>0.37919999999999987</v>
      </c>
      <c r="O14" s="12" t="str">
        <f>'Modelo Variables V8'!O30</f>
        <v>[+0.1, -0.1, 0.0, +0.1]</v>
      </c>
      <c r="P14" s="44" t="str">
        <f>'Modelo Variables V8'!P30</f>
        <v>F2,F4</v>
      </c>
      <c r="Q14" s="43">
        <f>'Modelo Variables V8'!Q30</f>
        <v>3.1040000000000009E-2</v>
      </c>
      <c r="R14" s="43">
        <f>'Modelo Variables V8'!R30</f>
        <v>1.8959999999999994E-2</v>
      </c>
      <c r="S14" s="43">
        <f>'Modelo Variables V8'!S30</f>
        <v>0</v>
      </c>
      <c r="T14" s="43">
        <f>'Modelo Variables V8'!T30</f>
        <v>3.1040000000000009E-2</v>
      </c>
      <c r="U14" s="43">
        <f t="shared" si="3"/>
        <v>1.9269632000000009E-2</v>
      </c>
      <c r="V14" s="43">
        <f t="shared" si="0"/>
        <v>0</v>
      </c>
      <c r="W14" s="43">
        <f t="shared" si="1"/>
        <v>0</v>
      </c>
      <c r="X14" s="43">
        <f t="shared" si="2"/>
        <v>1.9269632000000009E-2</v>
      </c>
    </row>
    <row r="15" spans="1:24" ht="15" customHeight="1">
      <c r="A15" s="5" t="s">
        <v>250</v>
      </c>
      <c r="B15" s="5" t="s">
        <v>269</v>
      </c>
      <c r="C15" s="5">
        <f>'Modelo Variables V8'!C31</f>
        <v>1</v>
      </c>
      <c r="D15" s="5" t="str">
        <f>'Modelo Variables V8'!D31</f>
        <v>nivel</v>
      </c>
      <c r="E15" s="44">
        <f>'Modelo Variables V8'!E31</f>
        <v>-1</v>
      </c>
      <c r="F15" s="44">
        <f>'Modelo Variables V8'!F31</f>
        <v>3</v>
      </c>
      <c r="G15" s="44">
        <f>'Modelo Variables V8'!G31</f>
        <v>0</v>
      </c>
      <c r="H15" s="44" t="str">
        <f>'Modelo Variables V8'!H31</f>
        <v>↑</v>
      </c>
      <c r="I15" s="38">
        <f>'Modelo Variables V8'!I31</f>
        <v>0.66666666666666674</v>
      </c>
      <c r="J15" s="39">
        <f>'Modelo Variables V8'!J31</f>
        <v>1</v>
      </c>
      <c r="K15" s="44">
        <f>'Modelo Variables V8'!K31</f>
        <v>0.5</v>
      </c>
      <c r="L15" s="44">
        <f>'Modelo Variables V8'!L31</f>
        <v>0.5</v>
      </c>
      <c r="M15" s="43">
        <f>'Modelo Variables V8'!M31</f>
        <v>0.66666666666666663</v>
      </c>
      <c r="N15" s="43">
        <f>'Modelo Variables V8'!N31</f>
        <v>0.33333333333333337</v>
      </c>
      <c r="O15" s="12" t="str">
        <f>'Modelo Variables V8'!O31</f>
        <v>[+0.2, -0.1, +0.1, +0.1]</v>
      </c>
      <c r="P15" s="44" t="str">
        <f>'Modelo Variables V8'!P31</f>
        <v>F2</v>
      </c>
      <c r="Q15" s="43">
        <f>'Modelo Variables V8'!Q31</f>
        <v>0.13333333333333333</v>
      </c>
      <c r="R15" s="43">
        <f>'Modelo Variables V8'!R31</f>
        <v>3.333333333333334E-2</v>
      </c>
      <c r="S15" s="43">
        <f>'Modelo Variables V8'!S31</f>
        <v>6.6666666666666666E-2</v>
      </c>
      <c r="T15" s="43">
        <f>'Modelo Variables V8'!T31</f>
        <v>6.6666666666666666E-2</v>
      </c>
      <c r="U15" s="43">
        <f t="shared" si="3"/>
        <v>6.6666666666666666E-2</v>
      </c>
      <c r="V15" s="43">
        <f t="shared" si="0"/>
        <v>0</v>
      </c>
      <c r="W15" s="43">
        <f t="shared" si="1"/>
        <v>3.3333333333333333E-2</v>
      </c>
      <c r="X15" s="43">
        <f t="shared" si="2"/>
        <v>3.3333333333333333E-2</v>
      </c>
    </row>
    <row r="16" spans="1:24" ht="15" customHeight="1">
      <c r="A16" s="5" t="s">
        <v>296</v>
      </c>
      <c r="B16" s="5" t="s">
        <v>297</v>
      </c>
      <c r="C16" s="5">
        <f>'Modelo Variables V8'!C36</f>
        <v>68</v>
      </c>
      <c r="D16" s="5" t="str">
        <f>'Modelo Variables V8'!D36</f>
        <v>USD por barril</v>
      </c>
      <c r="E16" s="44">
        <f>'Modelo Variables V8'!E36</f>
        <v>20</v>
      </c>
      <c r="F16" s="44">
        <f>'Modelo Variables V8'!F36</f>
        <v>150</v>
      </c>
      <c r="G16" s="44">
        <f>'Modelo Variables V8'!G36</f>
        <v>85</v>
      </c>
      <c r="H16" s="44" t="str">
        <f>'Modelo Variables V8'!H36</f>
        <v>↓</v>
      </c>
      <c r="I16" s="38">
        <f>'Modelo Variables V8'!I36</f>
        <v>0.7384615384615385</v>
      </c>
      <c r="J16" s="39">
        <f>'Modelo Variables V8'!J36</f>
        <v>1</v>
      </c>
      <c r="K16" s="44">
        <f>'Modelo Variables V8'!K36</f>
        <v>0.36923076923076925</v>
      </c>
      <c r="L16" s="44">
        <f>'Modelo Variables V8'!L36</f>
        <v>0.63076923076923075</v>
      </c>
      <c r="M16" s="43">
        <f>'Modelo Variables V8'!M36</f>
        <v>0.36923076923076925</v>
      </c>
      <c r="N16" s="43">
        <f>'Modelo Variables V8'!N36</f>
        <v>0.63076923076923075</v>
      </c>
      <c r="O16" s="12" t="str">
        <f>'Modelo Variables V8'!O36</f>
        <v>[+0.3, -0.4, +0.5, -0.1]</v>
      </c>
      <c r="P16" s="44" t="str">
        <f>'Modelo Variables V8'!P36</f>
        <v>F2</v>
      </c>
      <c r="Q16" s="43">
        <f>'Modelo Variables V8'!Q36</f>
        <v>0.11076923076923077</v>
      </c>
      <c r="R16" s="43">
        <f>'Modelo Variables V8'!R36</f>
        <v>0.25230769230769229</v>
      </c>
      <c r="S16" s="43">
        <f>'Modelo Variables V8'!S36</f>
        <v>0.18461538461538463</v>
      </c>
      <c r="T16" s="43">
        <f>'Modelo Variables V8'!T36</f>
        <v>6.3076923076923072E-2</v>
      </c>
      <c r="U16" s="43">
        <f t="shared" si="3"/>
        <v>4.0899408284023671E-2</v>
      </c>
      <c r="V16" s="43">
        <f t="shared" si="0"/>
        <v>0</v>
      </c>
      <c r="W16" s="43">
        <f t="shared" si="1"/>
        <v>6.8165680473372792E-2</v>
      </c>
      <c r="X16" s="43">
        <f t="shared" si="2"/>
        <v>3.9786982248520703E-2</v>
      </c>
    </row>
    <row r="17" spans="1:24" ht="15" customHeight="1">
      <c r="A17" s="5" t="s">
        <v>296</v>
      </c>
      <c r="B17" s="5" t="s">
        <v>304</v>
      </c>
      <c r="C17" s="5">
        <f>'Modelo Variables V8'!C37</f>
        <v>3.3</v>
      </c>
      <c r="D17" s="5" t="str">
        <f>'Modelo Variables V8'!D37</f>
        <v>nivel</v>
      </c>
      <c r="E17" s="44">
        <f>'Modelo Variables V8'!E37</f>
        <v>-2</v>
      </c>
      <c r="F17" s="44">
        <f>'Modelo Variables V8'!F37</f>
        <v>6</v>
      </c>
      <c r="G17" s="44">
        <f>'Modelo Variables V8'!G37</f>
        <v>2</v>
      </c>
      <c r="H17" s="44" t="str">
        <f>'Modelo Variables V8'!H37</f>
        <v>↑</v>
      </c>
      <c r="I17" s="38">
        <f>'Modelo Variables V8'!I37</f>
        <v>0.67500000000000004</v>
      </c>
      <c r="J17" s="39">
        <f>'Modelo Variables V8'!J37</f>
        <v>1</v>
      </c>
      <c r="K17" s="44">
        <f>'Modelo Variables V8'!K37</f>
        <v>0.66249999999999998</v>
      </c>
      <c r="L17" s="44">
        <f>'Modelo Variables V8'!L37</f>
        <v>0.33750000000000002</v>
      </c>
      <c r="M17" s="43">
        <f>'Modelo Variables V8'!M37</f>
        <v>0.66249999999999998</v>
      </c>
      <c r="N17" s="43">
        <f>'Modelo Variables V8'!N37</f>
        <v>0.33750000000000002</v>
      </c>
      <c r="O17" s="12" t="str">
        <f>'Modelo Variables V8'!O37</f>
        <v>[-0.2, +0.3, -0.3, +0.1]</v>
      </c>
      <c r="P17" s="44" t="str">
        <f>'Modelo Variables V8'!P37</f>
        <v>F2</v>
      </c>
      <c r="Q17" s="43">
        <f>'Modelo Variables V8'!Q37</f>
        <v>6.7500000000000004E-2</v>
      </c>
      <c r="R17" s="43">
        <f>'Modelo Variables V8'!R37</f>
        <v>0.19874999999999998</v>
      </c>
      <c r="S17" s="43">
        <f>'Modelo Variables V8'!S37</f>
        <v>0.10125000000000001</v>
      </c>
      <c r="T17" s="43">
        <f>'Modelo Variables V8'!T37</f>
        <v>6.6250000000000003E-2</v>
      </c>
      <c r="U17" s="43">
        <f t="shared" si="3"/>
        <v>2.2781250000000003E-2</v>
      </c>
      <c r="V17" s="43">
        <f t="shared" si="0"/>
        <v>0</v>
      </c>
      <c r="W17" s="43">
        <f t="shared" si="1"/>
        <v>3.4171875000000004E-2</v>
      </c>
      <c r="X17" s="43">
        <f t="shared" si="2"/>
        <v>4.3890625000000003E-2</v>
      </c>
    </row>
    <row r="18" spans="1:24" ht="15" customHeight="1">
      <c r="A18" s="5" t="s">
        <v>296</v>
      </c>
      <c r="B18" s="5" t="s">
        <v>310</v>
      </c>
      <c r="C18" s="5">
        <f>'Modelo Variables V8'!C38</f>
        <v>32.6</v>
      </c>
      <c r="D18" s="5" t="str">
        <f>'Modelo Variables V8'!D38</f>
        <v>USD billones (trillions)</v>
      </c>
      <c r="E18" s="44">
        <f>'Modelo Variables V8'!E38</f>
        <v>28</v>
      </c>
      <c r="F18" s="44">
        <f>'Modelo Variables V8'!F38</f>
        <v>40</v>
      </c>
      <c r="G18" s="44">
        <f>'Modelo Variables V8'!G38</f>
        <v>35</v>
      </c>
      <c r="H18" s="44" t="str">
        <f>'Modelo Variables V8'!H38</f>
        <v>↑</v>
      </c>
      <c r="I18" s="38">
        <f>'Modelo Variables V8'!I38</f>
        <v>0.65714285714285736</v>
      </c>
      <c r="J18" s="39">
        <f>'Modelo Variables V8'!J38</f>
        <v>0.5</v>
      </c>
      <c r="K18" s="44">
        <f>'Modelo Variables V8'!K38</f>
        <v>0.38333333333333347</v>
      </c>
      <c r="L18" s="44">
        <f>'Modelo Variables V8'!L38</f>
        <v>0.61666666666666647</v>
      </c>
      <c r="M18" s="43">
        <f>'Modelo Variables V8'!M38</f>
        <v>0.32857142857142868</v>
      </c>
      <c r="N18" s="43">
        <f>'Modelo Variables V8'!N38</f>
        <v>0.67142857142857126</v>
      </c>
      <c r="O18" s="12" t="str">
        <f>'Modelo Variables V8'!O38</f>
        <v>[-0.1, +0.2, -0.2, +0.1]</v>
      </c>
      <c r="P18" s="44" t="str">
        <f>'Modelo Variables V8'!P38</f>
        <v>F2</v>
      </c>
      <c r="Q18" s="43">
        <f>'Modelo Variables V8'!Q38</f>
        <v>3.3571428571428565E-2</v>
      </c>
      <c r="R18" s="43">
        <f>'Modelo Variables V8'!R38</f>
        <v>3.2857142857142869E-2</v>
      </c>
      <c r="S18" s="43">
        <f>'Modelo Variables V8'!S38</f>
        <v>6.7142857142857129E-2</v>
      </c>
      <c r="T18" s="43">
        <f>'Modelo Variables V8'!T38</f>
        <v>1.6428571428571435E-2</v>
      </c>
      <c r="U18" s="43">
        <f t="shared" si="3"/>
        <v>2.0702380952380941E-2</v>
      </c>
      <c r="V18" s="43">
        <f t="shared" si="0"/>
        <v>0</v>
      </c>
      <c r="W18" s="43">
        <f t="shared" si="1"/>
        <v>4.1404761904761882E-2</v>
      </c>
      <c r="X18" s="43">
        <f t="shared" si="2"/>
        <v>6.2976190476190519E-3</v>
      </c>
    </row>
    <row r="19" spans="1:24" ht="15" customHeight="1">
      <c r="A19" s="5" t="s">
        <v>296</v>
      </c>
      <c r="B19" s="5" t="s">
        <v>342</v>
      </c>
      <c r="C19" s="5">
        <f>'Modelo Variables V8'!C43</f>
        <v>2126</v>
      </c>
      <c r="D19" s="5" t="str">
        <f>'Modelo Variables V8'!D43</f>
        <v>índice (puntos)</v>
      </c>
      <c r="E19" s="44">
        <f>'Modelo Variables V8'!E43</f>
        <v>300</v>
      </c>
      <c r="F19" s="44">
        <f>'Modelo Variables V8'!F43</f>
        <v>5500</v>
      </c>
      <c r="G19" s="44">
        <f>'Modelo Variables V8'!G43</f>
        <v>2000</v>
      </c>
      <c r="H19" s="44" t="str">
        <f>'Modelo Variables V8'!H43</f>
        <v>↓</v>
      </c>
      <c r="I19" s="38">
        <f>'Modelo Variables V8'!I43</f>
        <v>0.96399999999999997</v>
      </c>
      <c r="J19" s="39">
        <f>'Modelo Variables V8'!J43</f>
        <v>0.5</v>
      </c>
      <c r="K19" s="44">
        <f>'Modelo Variables V8'!K43</f>
        <v>0.35115384615384615</v>
      </c>
      <c r="L19" s="44">
        <f>'Modelo Variables V8'!L43</f>
        <v>0.64884615384615385</v>
      </c>
      <c r="M19" s="43">
        <f>'Modelo Variables V8'!M43</f>
        <v>0.51800000000000002</v>
      </c>
      <c r="N19" s="43">
        <f>'Modelo Variables V8'!N43</f>
        <v>0.48199999999999998</v>
      </c>
      <c r="O19" s="12" t="str">
        <f>'Modelo Variables V8'!O43</f>
        <v>[+0.1, -0.1, +0.2, 0.0]</v>
      </c>
      <c r="P19" s="44" t="str">
        <f>'Modelo Variables V8'!P43</f>
        <v>F2</v>
      </c>
      <c r="Q19" s="43">
        <f>'Modelo Variables V8'!Q43</f>
        <v>2.5900000000000003E-2</v>
      </c>
      <c r="R19" s="43">
        <f>'Modelo Variables V8'!R43</f>
        <v>2.41E-2</v>
      </c>
      <c r="S19" s="43">
        <f>'Modelo Variables V8'!S43</f>
        <v>5.1800000000000006E-2</v>
      </c>
      <c r="T19" s="43">
        <f>'Modelo Variables V8'!T43</f>
        <v>0</v>
      </c>
      <c r="U19" s="43">
        <f t="shared" si="3"/>
        <v>9.0948846153846158E-3</v>
      </c>
      <c r="V19" s="43">
        <f t="shared" si="0"/>
        <v>0</v>
      </c>
      <c r="W19" s="43">
        <f t="shared" si="1"/>
        <v>1.8189769230769232E-2</v>
      </c>
      <c r="X19" s="43">
        <f t="shared" si="2"/>
        <v>0</v>
      </c>
    </row>
    <row r="20" spans="1:24" ht="15" customHeight="1">
      <c r="A20" s="5" t="s">
        <v>296</v>
      </c>
      <c r="B20" s="5" t="s">
        <v>349</v>
      </c>
      <c r="C20" s="5">
        <f>'Modelo Variables V8'!C44</f>
        <v>3640</v>
      </c>
      <c r="D20" s="5" t="str">
        <f>'Modelo Variables V8'!D44</f>
        <v>USD por onza</v>
      </c>
      <c r="E20" s="44">
        <f>'Modelo Variables V8'!E44</f>
        <v>400</v>
      </c>
      <c r="F20" s="44">
        <f>'Modelo Variables V8'!F44</f>
        <v>4000</v>
      </c>
      <c r="G20" s="44">
        <f>'Modelo Variables V8'!G44</f>
        <v>2200</v>
      </c>
      <c r="H20" s="44" t="str">
        <f>'Modelo Variables V8'!H44</f>
        <v>↓</v>
      </c>
      <c r="I20" s="38">
        <f>'Modelo Variables V8'!I44</f>
        <v>0.19999999999999996</v>
      </c>
      <c r="J20" s="39">
        <f>'Modelo Variables V8'!J44</f>
        <v>1</v>
      </c>
      <c r="K20" s="44">
        <f>'Modelo Variables V8'!K44</f>
        <v>0.9</v>
      </c>
      <c r="L20" s="44">
        <f>'Modelo Variables V8'!L44</f>
        <v>9.9999999999999978E-2</v>
      </c>
      <c r="M20" s="43">
        <f>'Modelo Variables V8'!M44</f>
        <v>0.9</v>
      </c>
      <c r="N20" s="43">
        <f>'Modelo Variables V8'!N44</f>
        <v>9.9999999999999978E-2</v>
      </c>
      <c r="O20" s="12" t="str">
        <f>'Modelo Variables V8'!O44</f>
        <v>[+0.3, -0.2, +0.4, 0.0]</v>
      </c>
      <c r="P20" s="44" t="str">
        <f>'Modelo Variables V8'!P44</f>
        <v>F2</v>
      </c>
      <c r="Q20" s="43">
        <f>'Modelo Variables V8'!Q44</f>
        <v>0.27</v>
      </c>
      <c r="R20" s="43">
        <f>'Modelo Variables V8'!R44</f>
        <v>1.9999999999999997E-2</v>
      </c>
      <c r="S20" s="43">
        <f>'Modelo Variables V8'!S44</f>
        <v>0.36000000000000004</v>
      </c>
      <c r="T20" s="43">
        <f>'Modelo Variables V8'!T44</f>
        <v>0</v>
      </c>
      <c r="U20" s="43">
        <f t="shared" si="3"/>
        <v>0.24300000000000002</v>
      </c>
      <c r="V20" s="43">
        <f t="shared" si="0"/>
        <v>0</v>
      </c>
      <c r="W20" s="43">
        <f t="shared" si="1"/>
        <v>0.32400000000000007</v>
      </c>
      <c r="X20" s="43">
        <f t="shared" si="2"/>
        <v>0</v>
      </c>
    </row>
    <row r="21" spans="1:24">
      <c r="P21" s="48" t="s">
        <v>407</v>
      </c>
      <c r="Q21" s="49">
        <f>SUM(Q2:Q20)</f>
        <v>4.3503044688644685</v>
      </c>
      <c r="R21" s="49">
        <f>SUM(R2:R20)</f>
        <v>5.3278498351648347</v>
      </c>
      <c r="S21" s="49">
        <f>SUM(S2:S20)</f>
        <v>2.9915522893772892</v>
      </c>
      <c r="T21" s="49">
        <f>SUM(T2:T20)</f>
        <v>1.432646684981685</v>
      </c>
    </row>
    <row r="22" spans="1:24">
      <c r="Q22" s="47"/>
      <c r="R22" s="47"/>
      <c r="S22" s="47"/>
    </row>
    <row r="23" spans="1:24" ht="15.75" customHeight="1">
      <c r="B23" s="18"/>
      <c r="Q23" s="50"/>
      <c r="R23" s="50" t="s">
        <v>408</v>
      </c>
      <c r="S23" s="50"/>
      <c r="T23" s="50"/>
      <c r="U23" s="51">
        <f>SUMPRODUCT(U2:U20,Q2:Q20)</f>
        <v>0.70565950916135756</v>
      </c>
      <c r="V23" s="51">
        <f>SUMPRODUCT(V2:V20,R2:R20)</f>
        <v>5.12578125E-2</v>
      </c>
      <c r="W23" s="51">
        <f>SUMPRODUCT(W2:W20,S2:S20)</f>
        <v>0.52171598373342942</v>
      </c>
      <c r="X23" s="51">
        <f>SUMPRODUCT(X2:X20,T2:T20)</f>
        <v>0.11505354515133977</v>
      </c>
    </row>
    <row r="24" spans="1:24" ht="18.75" customHeight="1" thickBot="1">
      <c r="B24" s="15" t="s">
        <v>0</v>
      </c>
    </row>
    <row r="25" spans="1:24" ht="15.75" customHeight="1" thickBot="1">
      <c r="O25" s="77" t="s">
        <v>409</v>
      </c>
      <c r="P25" s="77"/>
      <c r="Q25" s="77"/>
      <c r="R25" s="77"/>
      <c r="S25" s="78"/>
      <c r="T25" s="79" t="s">
        <v>51</v>
      </c>
      <c r="U25" s="80">
        <f>U23/Q21</f>
        <v>0.16220922333409718</v>
      </c>
      <c r="V25" s="80">
        <f>V23/R21</f>
        <v>9.620731455621848E-3</v>
      </c>
      <c r="W25" s="80">
        <f>W23/S21</f>
        <v>0.17439641138347875</v>
      </c>
      <c r="X25" s="81">
        <f>X23/T21</f>
        <v>8.0308387516221852E-2</v>
      </c>
    </row>
    <row r="26" spans="1:24" ht="15.75" customHeight="1">
      <c r="B26" s="26" t="s">
        <v>1</v>
      </c>
      <c r="O26" s="22"/>
    </row>
    <row r="27" spans="1:24">
      <c r="O27" s="22"/>
    </row>
    <row r="28" spans="1:24">
      <c r="B28" s="17" t="s">
        <v>2</v>
      </c>
      <c r="O28" s="22"/>
    </row>
    <row r="29" spans="1:24">
      <c r="B29" s="17" t="s">
        <v>3</v>
      </c>
      <c r="O29" s="22"/>
    </row>
    <row r="30" spans="1:24">
      <c r="B30" s="17" t="s">
        <v>4</v>
      </c>
      <c r="O30" s="22"/>
    </row>
    <row r="31" spans="1:24">
      <c r="B31" s="17" t="s">
        <v>5</v>
      </c>
      <c r="O31" s="22"/>
    </row>
    <row r="32" spans="1:24">
      <c r="B32" s="16"/>
      <c r="O32" s="22"/>
    </row>
    <row r="33" spans="2:15">
      <c r="B33" s="17" t="s">
        <v>6</v>
      </c>
      <c r="O33" s="22"/>
    </row>
    <row r="34" spans="2:15">
      <c r="B34" s="17" t="s">
        <v>7</v>
      </c>
      <c r="O34" s="22"/>
    </row>
    <row r="35" spans="2:15">
      <c r="B35" s="17" t="s">
        <v>8</v>
      </c>
      <c r="O35" s="22"/>
    </row>
    <row r="36" spans="2:15">
      <c r="B36" s="17" t="s">
        <v>9</v>
      </c>
      <c r="O36" s="22"/>
    </row>
    <row r="37" spans="2:15">
      <c r="B37" s="17" t="s">
        <v>10</v>
      </c>
      <c r="O37" s="22"/>
    </row>
    <row r="38" spans="2:15">
      <c r="B38" s="17" t="s">
        <v>5</v>
      </c>
      <c r="O38" s="22"/>
    </row>
    <row r="39" spans="2:15">
      <c r="B39" s="16"/>
      <c r="O39" s="22"/>
    </row>
    <row r="40" spans="2:15">
      <c r="B40" s="17" t="s">
        <v>11</v>
      </c>
      <c r="O40" s="22"/>
    </row>
    <row r="41" spans="2:15">
      <c r="B41" s="16"/>
      <c r="O41" s="22"/>
    </row>
    <row r="42" spans="2:15">
      <c r="B42" s="17" t="s">
        <v>12</v>
      </c>
      <c r="O42" s="22"/>
    </row>
    <row r="43" spans="2:15">
      <c r="O43" s="22"/>
    </row>
    <row r="44" spans="2:15">
      <c r="B44" s="27" t="s">
        <v>13</v>
      </c>
      <c r="O44" s="22"/>
    </row>
    <row r="45" spans="2:15">
      <c r="B45" s="28"/>
    </row>
    <row r="46" spans="2:15">
      <c r="B46" s="28" t="s">
        <v>14</v>
      </c>
    </row>
    <row r="47" spans="2:15">
      <c r="B47" s="28" t="s">
        <v>15</v>
      </c>
    </row>
    <row r="48" spans="2:15">
      <c r="B48" s="28" t="s">
        <v>16</v>
      </c>
    </row>
    <row r="49" spans="2:2">
      <c r="B49" s="28" t="s">
        <v>17</v>
      </c>
    </row>
    <row r="50" spans="2:2">
      <c r="B50" s="28" t="s">
        <v>18</v>
      </c>
    </row>
  </sheetData>
  <conditionalFormatting sqref="I2:I20">
    <cfRule type="cellIs" dxfId="39" priority="15" operator="greaterThanOrEqual">
      <formula>0.9</formula>
    </cfRule>
    <cfRule type="cellIs" dxfId="38" priority="16" operator="between">
      <formula>0.75</formula>
      <formula>0.89</formula>
    </cfRule>
    <cfRule type="cellIs" dxfId="37" priority="17" operator="between">
      <formula>0.5</formula>
      <formula>0.74</formula>
    </cfRule>
    <cfRule type="cellIs" dxfId="36" priority="18" operator="between">
      <formula>0.25</formula>
      <formula>0.49</formula>
    </cfRule>
    <cfRule type="cellIs" dxfId="35" priority="19" operator="lessThan">
      <formula>0.25</formula>
    </cfRule>
  </conditionalFormatting>
  <conditionalFormatting sqref="J2:J20">
    <cfRule type="colorScale" priority="1">
      <colorScale>
        <cfvo type="num" val="0.5"/>
        <cfvo type="num" val="1"/>
        <cfvo type="num" val="2"/>
        <color theme="8" tint="-0.249977111117893"/>
        <color theme="9" tint="0.59999389629810485"/>
        <color rgb="FFC00000"/>
      </colorScale>
    </cfRule>
    <cfRule type="colorScale" priority="2">
      <colorScale>
        <cfvo type="num" val="0.5"/>
        <cfvo type="num" val="1"/>
        <cfvo type="num" val="2"/>
        <color theme="8" tint="-0.249977111117893"/>
        <color rgb="FFFFEB84"/>
        <color rgb="FFC00000"/>
      </colorScale>
    </cfRule>
    <cfRule type="colorScale" priority="3">
      <colorScale>
        <cfvo type="num" val="0.5"/>
        <cfvo type="num" val="1.5"/>
        <cfvo type="num" val="2"/>
        <color rgb="FFC00000"/>
        <color theme="9" tint="0.39997558519241921"/>
        <color theme="8"/>
      </colorScale>
    </cfRule>
  </conditionalFormatting>
  <conditionalFormatting sqref="M2:N20">
    <cfRule type="cellIs" dxfId="34" priority="4" operator="greaterThanOrEqual">
      <formula>0.9</formula>
    </cfRule>
    <cfRule type="cellIs" dxfId="33" priority="5" operator="between">
      <formula>0.75</formula>
      <formula>0.89</formula>
    </cfRule>
    <cfRule type="cellIs" dxfId="32" priority="6" operator="between">
      <formula>0.5</formula>
      <formula>0.74</formula>
    </cfRule>
    <cfRule type="cellIs" dxfId="31" priority="7" operator="between">
      <formula>0.25</formula>
      <formula>0.49</formula>
    </cfRule>
    <cfRule type="cellIs" dxfId="30" priority="8" operator="lessThan">
      <formula>0.25</formula>
    </cfRule>
  </conditionalFormatting>
  <pageMargins left="0.7" right="0.7" top="0.75" bottom="0.75" header="0.511811023622047" footer="0.511811023622047"/>
  <pageSetup paperSize="9" orientation="portrait" horizontalDpi="300" verticalDpi="30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X23"/>
  <sheetViews>
    <sheetView zoomScaleNormal="100" workbookViewId="0">
      <selection activeCell="E1" sqref="E1:I1048576"/>
    </sheetView>
  </sheetViews>
  <sheetFormatPr defaultColWidth="8.7109375" defaultRowHeight="15"/>
  <cols>
    <col min="1" max="1" width="7.140625" bestFit="1" customWidth="1"/>
    <col min="2" max="2" width="27.7109375" bestFit="1" customWidth="1"/>
    <col min="3" max="3" width="8" bestFit="1" customWidth="1"/>
    <col min="4" max="4" width="11.140625" bestFit="1" customWidth="1"/>
    <col min="5" max="5" width="7" bestFit="1" customWidth="1"/>
    <col min="6" max="7" width="8" bestFit="1" customWidth="1"/>
    <col min="8" max="8" width="5.140625" bestFit="1" customWidth="1"/>
    <col min="9" max="9" width="11.5703125" bestFit="1" customWidth="1"/>
    <col min="10" max="10" width="8.28515625" bestFit="1" customWidth="1"/>
    <col min="11" max="12" width="7.7109375" bestFit="1" customWidth="1"/>
    <col min="13" max="13" width="10.42578125" bestFit="1" customWidth="1"/>
    <col min="14" max="14" width="10.140625" bestFit="1" customWidth="1"/>
    <col min="15" max="15" width="25.5703125" bestFit="1" customWidth="1"/>
    <col min="16" max="16" width="5.85546875" bestFit="1" customWidth="1"/>
    <col min="17" max="17" width="6.28515625" bestFit="1" customWidth="1"/>
    <col min="18" max="18" width="6.140625" bestFit="1" customWidth="1"/>
    <col min="19" max="20" width="6" bestFit="1" customWidth="1"/>
    <col min="21" max="24" width="13.7109375" bestFit="1" customWidth="1"/>
  </cols>
  <sheetData>
    <row r="1" spans="1:24" ht="15" customHeight="1">
      <c r="A1" s="2" t="s">
        <v>68</v>
      </c>
      <c r="B1" s="2" t="s">
        <v>69</v>
      </c>
      <c r="C1" s="2" t="s">
        <v>70</v>
      </c>
      <c r="D1" s="2" t="s">
        <v>71</v>
      </c>
      <c r="E1" s="2" t="s">
        <v>72</v>
      </c>
      <c r="F1" s="2" t="s">
        <v>73</v>
      </c>
      <c r="G1" s="2" t="s">
        <v>74</v>
      </c>
      <c r="H1" s="2" t="s">
        <v>75</v>
      </c>
      <c r="I1" s="2" t="s">
        <v>76</v>
      </c>
      <c r="J1" s="2" t="s">
        <v>77</v>
      </c>
      <c r="K1" s="2" t="s">
        <v>78</v>
      </c>
      <c r="L1" s="2" t="s">
        <v>79</v>
      </c>
      <c r="M1" s="2" t="s">
        <v>80</v>
      </c>
      <c r="N1" s="2" t="s">
        <v>81</v>
      </c>
      <c r="O1" s="2" t="s">
        <v>82</v>
      </c>
      <c r="P1" s="2" t="s">
        <v>83</v>
      </c>
      <c r="Q1" s="3" t="s">
        <v>84</v>
      </c>
      <c r="R1" s="3" t="s">
        <v>85</v>
      </c>
      <c r="S1" s="3" t="s">
        <v>86</v>
      </c>
      <c r="T1" s="3" t="s">
        <v>87</v>
      </c>
      <c r="U1" s="31" t="s">
        <v>403</v>
      </c>
      <c r="V1" s="31" t="s">
        <v>404</v>
      </c>
      <c r="W1" s="31" t="s">
        <v>405</v>
      </c>
      <c r="X1" s="31" t="s">
        <v>406</v>
      </c>
    </row>
    <row r="2" spans="1:24" ht="18.75" customHeight="1">
      <c r="A2" s="5" t="s">
        <v>92</v>
      </c>
      <c r="B2" s="5" t="s">
        <v>108</v>
      </c>
      <c r="C2" s="5">
        <f>'Modelo Variables V8'!C4</f>
        <v>289</v>
      </c>
      <c r="D2" s="5" t="str">
        <f>'Modelo Variables V8'!D4</f>
        <v>%</v>
      </c>
      <c r="E2" s="5">
        <f>'Modelo Variables V8'!E4</f>
        <v>150</v>
      </c>
      <c r="F2" s="5">
        <f>'Modelo Variables V8'!F4</f>
        <v>320</v>
      </c>
      <c r="G2" s="5">
        <f>'Modelo Variables V8'!G4</f>
        <v>300</v>
      </c>
      <c r="H2" s="6" t="str">
        <f>'Modelo Variables V8'!H4</f>
        <v>↓</v>
      </c>
      <c r="I2" s="7">
        <f>'Modelo Variables V8'!I4</f>
        <v>0.92666666666666664</v>
      </c>
      <c r="J2" s="39">
        <f>'Modelo Variables V8'!J4</f>
        <v>2</v>
      </c>
      <c r="K2" s="8">
        <f>'Modelo Variables V8'!K4</f>
        <v>0.81764705882352939</v>
      </c>
      <c r="L2" s="8">
        <f>'Modelo Variables V8'!L4</f>
        <v>0.18235294117647061</v>
      </c>
      <c r="M2" s="8">
        <f>'Modelo Variables V8'!M4</f>
        <v>0.46333333333333332</v>
      </c>
      <c r="N2" s="8">
        <f>'Modelo Variables V8'!N4</f>
        <v>0.53666666666666663</v>
      </c>
      <c r="O2" s="12" t="str">
        <f>'Modelo Variables V8'!O4</f>
        <v>[-0.4, +0.3, +0.7, -0.1]</v>
      </c>
      <c r="P2" s="5" t="str">
        <f>'Modelo Variables V8'!P4</f>
        <v>F3</v>
      </c>
      <c r="Q2" s="8">
        <f>'Modelo Variables V8'!Q4</f>
        <v>0.42933333333333334</v>
      </c>
      <c r="R2" s="8">
        <f>'Modelo Variables V8'!R4</f>
        <v>0.27799999999999997</v>
      </c>
      <c r="S2" s="8">
        <f>'Modelo Variables V8'!S4</f>
        <v>0.64866666666666661</v>
      </c>
      <c r="T2" s="8">
        <f>'Modelo Variables V8'!T4</f>
        <v>0.10733333333333334</v>
      </c>
      <c r="U2" s="32">
        <f t="shared" ref="U2:U15" si="0">IFERROR(IF(VALUE(TRIM(MID(O2,2,SEARCH(",",O2)-2)))&gt;=0,$Q2*$K2,$Q2*$L2),0)</f>
        <v>7.8290196078431379E-2</v>
      </c>
      <c r="V2" s="32">
        <f t="shared" ref="V2:V15" si="1">IFERROR(IF(VALUE(TRIM(MID($O2,SEARCH(",",$O2)+2,SEARCH(",",$O2,SEARCH(",",O$2)+1)-SEARCH(",",$O2)-2)))&gt;=0,$K2*$R2,$L2*$R2),0)</f>
        <v>0.22730588235294114</v>
      </c>
      <c r="W2" s="32">
        <f t="shared" ref="W2:W15" si="2">IFERROR(IF(VALUE(TRIM(MID($O2,SEARCH(",",$O2,SEARCH(",",$O2)+1)+2,SEARCH(",",$O2,SEARCH(",",$O2,SEARCH(",",$O2)+1)+1)-SEARCH(",",$O2,SEARCH(",",$O2)+1)-2)))&gt;=0,$S2*$K2,$S2*$L2),0)</f>
        <v>0.53038039215686272</v>
      </c>
      <c r="X2" s="32">
        <f t="shared" ref="X2:X15" si="3">IFERROR(IF(VALUE(TRIM(MID($O2,SEARCH(",",$O2,SEARCH(",",$O2,SEARCH(",",$O2)+1)+1)+2,SEARCH("]",$O2)-SEARCH(",",$O2,SEARCH(",",$O2,SEARCH(",",$O2)+1)+1)-2)))&gt;=0,$T2*$K2,$T2*$L2),0)</f>
        <v>1.9572549019607845E-2</v>
      </c>
    </row>
    <row r="3" spans="1:24" ht="15" customHeight="1">
      <c r="A3" s="5" t="s">
        <v>92</v>
      </c>
      <c r="B3" s="5" t="s">
        <v>115</v>
      </c>
      <c r="C3" s="5">
        <f>'Modelo Variables V8'!C5</f>
        <v>-0.1</v>
      </c>
      <c r="D3" s="5" t="str">
        <f>'Modelo Variables V8'!D5</f>
        <v>%</v>
      </c>
      <c r="E3" s="5">
        <f>'Modelo Variables V8'!E5</f>
        <v>-0.6</v>
      </c>
      <c r="F3" s="5">
        <f>'Modelo Variables V8'!F5</f>
        <v>0.6</v>
      </c>
      <c r="G3" s="5">
        <f>'Modelo Variables V8'!G5</f>
        <v>0</v>
      </c>
      <c r="H3" s="6" t="str">
        <f>'Modelo Variables V8'!H5</f>
        <v>↑</v>
      </c>
      <c r="I3" s="7">
        <f>'Modelo Variables V8'!I5</f>
        <v>0.83333333333333326</v>
      </c>
      <c r="J3" s="39">
        <f>'Modelo Variables V8'!J5</f>
        <v>2</v>
      </c>
      <c r="K3" s="8">
        <f>'Modelo Variables V8'!K5</f>
        <v>0.41666666666666669</v>
      </c>
      <c r="L3" s="8">
        <f>'Modelo Variables V8'!L5</f>
        <v>0.58333333333333326</v>
      </c>
      <c r="M3" s="8">
        <f>'Modelo Variables V8'!M5</f>
        <v>0.41666666666666669</v>
      </c>
      <c r="N3" s="8">
        <f>'Modelo Variables V8'!N5</f>
        <v>0.58333333333333326</v>
      </c>
      <c r="O3" s="12" t="str">
        <f>'Modelo Variables V8'!O5</f>
        <v>[-0.5, +0.6, +0.3, -0.1]</v>
      </c>
      <c r="P3" s="5" t="str">
        <f>'Modelo Variables V8'!P5</f>
        <v>F2,F3</v>
      </c>
      <c r="Q3" s="8">
        <f>'Modelo Variables V8'!Q5</f>
        <v>0.58333333333333326</v>
      </c>
      <c r="R3" s="8">
        <f>'Modelo Variables V8'!R5</f>
        <v>0.5</v>
      </c>
      <c r="S3" s="8">
        <f>'Modelo Variables V8'!S5</f>
        <v>0.25</v>
      </c>
      <c r="T3" s="8">
        <f>'Modelo Variables V8'!T5</f>
        <v>0.11666666666666665</v>
      </c>
      <c r="U3" s="32">
        <f t="shared" si="0"/>
        <v>0.34027777777777768</v>
      </c>
      <c r="V3" s="32">
        <f t="shared" si="1"/>
        <v>0.20833333333333334</v>
      </c>
      <c r="W3" s="32">
        <f t="shared" si="2"/>
        <v>0.10416666666666667</v>
      </c>
      <c r="X3" s="32">
        <f t="shared" si="3"/>
        <v>6.8055555555555536E-2</v>
      </c>
    </row>
    <row r="4" spans="1:24" ht="15" customHeight="1">
      <c r="A4" s="5" t="s">
        <v>146</v>
      </c>
      <c r="B4" s="5" t="s">
        <v>157</v>
      </c>
      <c r="C4" s="5">
        <f>'Modelo Variables V8'!C12</f>
        <v>119.3</v>
      </c>
      <c r="D4" s="5" t="str">
        <f>'Modelo Variables V8'!D12</f>
        <v>%</v>
      </c>
      <c r="E4" s="5">
        <f>'Modelo Variables V8'!E12</f>
        <v>60</v>
      </c>
      <c r="F4" s="5">
        <f>'Modelo Variables V8'!F12</f>
        <v>125</v>
      </c>
      <c r="G4" s="5">
        <f>'Modelo Variables V8'!G12</f>
        <v>100</v>
      </c>
      <c r="H4" s="6" t="str">
        <f>'Modelo Variables V8'!H12</f>
        <v>↓</v>
      </c>
      <c r="I4" s="7">
        <f>'Modelo Variables V8'!I12</f>
        <v>0.51750000000000007</v>
      </c>
      <c r="J4" s="39">
        <f>'Modelo Variables V8'!J12</f>
        <v>2</v>
      </c>
      <c r="K4" s="8">
        <f>'Modelo Variables V8'!K12</f>
        <v>0.91230769230769226</v>
      </c>
      <c r="L4" s="8">
        <f>'Modelo Variables V8'!L12</f>
        <v>8.7692307692307736E-2</v>
      </c>
      <c r="M4" s="8">
        <f>'Modelo Variables V8'!M12</f>
        <v>0.8859999999999999</v>
      </c>
      <c r="N4" s="8">
        <f>'Modelo Variables V8'!N12</f>
        <v>0.11400000000000005</v>
      </c>
      <c r="O4" s="12" t="str">
        <f>'Modelo Variables V8'!O12</f>
        <v>[+0.6, -0.7, +0.5, -0.1]</v>
      </c>
      <c r="P4" s="5" t="str">
        <f>'Modelo Variables V8'!P12</f>
        <v>F3,F4</v>
      </c>
      <c r="Q4" s="8">
        <f>'Modelo Variables V8'!Q12</f>
        <v>1.0631999999999999</v>
      </c>
      <c r="R4" s="8">
        <f>'Modelo Variables V8'!R12</f>
        <v>0.15960000000000005</v>
      </c>
      <c r="S4" s="8">
        <f>'Modelo Variables V8'!S12</f>
        <v>0.8859999999999999</v>
      </c>
      <c r="T4" s="8">
        <f>'Modelo Variables V8'!T12</f>
        <v>2.2800000000000011E-2</v>
      </c>
      <c r="U4" s="32">
        <f t="shared" si="0"/>
        <v>0.96996553846153832</v>
      </c>
      <c r="V4" s="32">
        <f t="shared" si="1"/>
        <v>1.3995692307692318E-2</v>
      </c>
      <c r="W4" s="32">
        <f t="shared" si="2"/>
        <v>0.80830461538461529</v>
      </c>
      <c r="X4" s="32">
        <f t="shared" si="3"/>
        <v>1.9993846153846173E-3</v>
      </c>
    </row>
    <row r="5" spans="1:24" ht="15" customHeight="1">
      <c r="A5" s="5" t="s">
        <v>146</v>
      </c>
      <c r="B5" s="5" t="s">
        <v>198</v>
      </c>
      <c r="C5" s="5">
        <f>'Modelo Variables V8'!C19</f>
        <v>41.8</v>
      </c>
      <c r="D5" s="5" t="str">
        <f>'Modelo Variables V8'!D19</f>
        <v>%</v>
      </c>
      <c r="E5" s="5">
        <f>'Modelo Variables V8'!E19</f>
        <v>38</v>
      </c>
      <c r="F5" s="5">
        <f>'Modelo Variables V8'!F19</f>
        <v>43</v>
      </c>
      <c r="G5" s="5">
        <f>'Modelo Variables V8'!G19</f>
        <v>41</v>
      </c>
      <c r="H5" s="6" t="str">
        <f>'Modelo Variables V8'!H19</f>
        <v>↓</v>
      </c>
      <c r="I5" s="7">
        <f>'Modelo Variables V8'!I19</f>
        <v>0.73333333333333428</v>
      </c>
      <c r="J5" s="39">
        <f>'Modelo Variables V8'!J19</f>
        <v>1</v>
      </c>
      <c r="K5" s="8">
        <f>'Modelo Variables V8'!K19</f>
        <v>0.75999999999999945</v>
      </c>
      <c r="L5" s="8">
        <f>'Modelo Variables V8'!L19</f>
        <v>0.24000000000000055</v>
      </c>
      <c r="M5" s="8">
        <f>'Modelo Variables V8'!M19</f>
        <v>0.69999999999999929</v>
      </c>
      <c r="N5" s="8">
        <f>'Modelo Variables V8'!N19</f>
        <v>0.30000000000000071</v>
      </c>
      <c r="O5" s="12" t="str">
        <f>'Modelo Variables V8'!O19</f>
        <v>[+0.3, -0.3, +0.6, 0.0]</v>
      </c>
      <c r="P5" s="5" t="str">
        <f>'Modelo Variables V8'!P19</f>
        <v>F3</v>
      </c>
      <c r="Q5" s="8">
        <f>'Modelo Variables V8'!Q19</f>
        <v>0.20999999999999977</v>
      </c>
      <c r="R5" s="8">
        <f>'Modelo Variables V8'!R19</f>
        <v>9.0000000000000205E-2</v>
      </c>
      <c r="S5" s="8">
        <f>'Modelo Variables V8'!S19</f>
        <v>0.41999999999999954</v>
      </c>
      <c r="T5" s="8">
        <f>'Modelo Variables V8'!T19</f>
        <v>0</v>
      </c>
      <c r="U5" s="32">
        <f t="shared" si="0"/>
        <v>0.15959999999999971</v>
      </c>
      <c r="V5" s="32">
        <f t="shared" si="1"/>
        <v>2.1600000000000098E-2</v>
      </c>
      <c r="W5" s="32">
        <f t="shared" si="2"/>
        <v>0.31919999999999943</v>
      </c>
      <c r="X5" s="32">
        <f t="shared" si="3"/>
        <v>0</v>
      </c>
    </row>
    <row r="6" spans="1:24" ht="15" customHeight="1">
      <c r="A6" s="5" t="s">
        <v>208</v>
      </c>
      <c r="B6" s="5" t="s">
        <v>215</v>
      </c>
      <c r="C6" s="5">
        <f>'Modelo Variables V8'!C22</f>
        <v>81.8</v>
      </c>
      <c r="D6" s="5" t="str">
        <f>'Modelo Variables V8'!D22</f>
        <v>%</v>
      </c>
      <c r="E6" s="5">
        <f>'Modelo Variables V8'!E22</f>
        <v>70</v>
      </c>
      <c r="F6" s="5">
        <f>'Modelo Variables V8'!F22</f>
        <v>95</v>
      </c>
      <c r="G6" s="5">
        <f>'Modelo Variables V8'!G22</f>
        <v>85</v>
      </c>
      <c r="H6" s="6" t="str">
        <f>'Modelo Variables V8'!H22</f>
        <v>↓</v>
      </c>
      <c r="I6" s="7">
        <f>'Modelo Variables V8'!I22</f>
        <v>0.78666666666666651</v>
      </c>
      <c r="J6" s="39">
        <f>'Modelo Variables V8'!J22</f>
        <v>1</v>
      </c>
      <c r="K6" s="8">
        <f>'Modelo Variables V8'!K22</f>
        <v>0.47199999999999986</v>
      </c>
      <c r="L6" s="8">
        <f>'Modelo Variables V8'!L22</f>
        <v>0.52800000000000014</v>
      </c>
      <c r="M6" s="8">
        <f>'Modelo Variables V8'!M22</f>
        <v>0.39333333333333326</v>
      </c>
      <c r="N6" s="8">
        <f>'Modelo Variables V8'!N22</f>
        <v>0.60666666666666669</v>
      </c>
      <c r="O6" s="12" t="str">
        <f>'Modelo Variables V8'!O22</f>
        <v>[+0.4, -0.5, +0.4, -0.1]</v>
      </c>
      <c r="P6" s="5" t="str">
        <f>'Modelo Variables V8'!P22</f>
        <v>F3</v>
      </c>
      <c r="Q6" s="8">
        <f>'Modelo Variables V8'!Q22</f>
        <v>0.15733333333333333</v>
      </c>
      <c r="R6" s="8">
        <f>'Modelo Variables V8'!R22</f>
        <v>0.30333333333333334</v>
      </c>
      <c r="S6" s="8">
        <f>'Modelo Variables V8'!S22</f>
        <v>0.15733333333333333</v>
      </c>
      <c r="T6" s="8">
        <f>'Modelo Variables V8'!T22</f>
        <v>6.0666666666666674E-2</v>
      </c>
      <c r="U6" s="32">
        <f t="shared" si="0"/>
        <v>7.4261333333333304E-2</v>
      </c>
      <c r="V6" s="32">
        <f t="shared" si="1"/>
        <v>0.16016000000000005</v>
      </c>
      <c r="W6" s="32">
        <f t="shared" si="2"/>
        <v>7.4261333333333304E-2</v>
      </c>
      <c r="X6" s="32">
        <f t="shared" si="3"/>
        <v>3.2032000000000012E-2</v>
      </c>
    </row>
    <row r="7" spans="1:24" ht="15" customHeight="1">
      <c r="A7" s="5" t="s">
        <v>208</v>
      </c>
      <c r="B7" s="5" t="s">
        <v>221</v>
      </c>
      <c r="C7" s="5">
        <f>'Modelo Variables V8'!C23</f>
        <v>2.3E-2</v>
      </c>
      <c r="D7" s="5" t="str">
        <f>'Modelo Variables V8'!D23</f>
        <v>índice (0–1)</v>
      </c>
      <c r="E7" s="5">
        <f>'Modelo Variables V8'!E23</f>
        <v>0</v>
      </c>
      <c r="F7" s="5">
        <f>'Modelo Variables V8'!F23</f>
        <v>1</v>
      </c>
      <c r="G7" s="5">
        <f>'Modelo Variables V8'!G23</f>
        <v>0.4</v>
      </c>
      <c r="H7" s="6" t="str">
        <f>'Modelo Variables V8'!H23</f>
        <v>↓</v>
      </c>
      <c r="I7" s="7">
        <f>'Modelo Variables V8'!I23</f>
        <v>0.37166666666666659</v>
      </c>
      <c r="J7" s="39">
        <f>'Modelo Variables V8'!J23</f>
        <v>1</v>
      </c>
      <c r="K7" s="8">
        <f>'Modelo Variables V8'!K23</f>
        <v>2.3E-2</v>
      </c>
      <c r="L7" s="8">
        <f>'Modelo Variables V8'!L23</f>
        <v>0.97699999999999998</v>
      </c>
      <c r="M7" s="8">
        <f>'Modelo Variables V8'!M23</f>
        <v>2.8749999999999998E-2</v>
      </c>
      <c r="N7" s="8">
        <f>'Modelo Variables V8'!N23</f>
        <v>0.97124999999999995</v>
      </c>
      <c r="O7" s="12" t="str">
        <f>'Modelo Variables V8'!O23</f>
        <v>[+0.2, -0.3, +0.5, -0.1]</v>
      </c>
      <c r="P7" s="5" t="str">
        <f>'Modelo Variables V8'!P23</f>
        <v>F3,F4</v>
      </c>
      <c r="Q7" s="8">
        <f>'Modelo Variables V8'!Q23</f>
        <v>5.7499999999999999E-3</v>
      </c>
      <c r="R7" s="8">
        <f>'Modelo Variables V8'!R23</f>
        <v>0.291375</v>
      </c>
      <c r="S7" s="8">
        <f>'Modelo Variables V8'!S23</f>
        <v>1.4374999999999999E-2</v>
      </c>
      <c r="T7" s="8">
        <f>'Modelo Variables V8'!T23</f>
        <v>9.7125000000000003E-2</v>
      </c>
      <c r="U7" s="32">
        <f t="shared" si="0"/>
        <v>1.3224999999999999E-4</v>
      </c>
      <c r="V7" s="32">
        <f t="shared" si="1"/>
        <v>0.28467337500000001</v>
      </c>
      <c r="W7" s="32">
        <f t="shared" si="2"/>
        <v>3.3062499999999997E-4</v>
      </c>
      <c r="X7" s="32">
        <f t="shared" si="3"/>
        <v>9.4891125000000007E-2</v>
      </c>
    </row>
    <row r="8" spans="1:24" ht="15" customHeight="1">
      <c r="A8" s="5" t="s">
        <v>208</v>
      </c>
      <c r="B8" s="5" t="s">
        <v>245</v>
      </c>
      <c r="C8" s="5">
        <f>'Modelo Variables V8'!C27</f>
        <v>1140000</v>
      </c>
      <c r="D8" s="5" t="str">
        <f>'Modelo Variables V8'!D27</f>
        <v>Unidades</v>
      </c>
      <c r="E8" s="5">
        <f>'Modelo Variables V8'!E27</f>
        <v>300000</v>
      </c>
      <c r="F8" s="5">
        <f>'Modelo Variables V8'!F27</f>
        <v>2500000</v>
      </c>
      <c r="G8" s="5">
        <f>'Modelo Variables V8'!G27</f>
        <v>1000000</v>
      </c>
      <c r="H8" s="6" t="str">
        <f>'Modelo Variables V8'!H27</f>
        <v>↓</v>
      </c>
      <c r="I8" s="7">
        <f>'Modelo Variables V8'!I27</f>
        <v>0.90666666666666662</v>
      </c>
      <c r="J8" s="39">
        <f>'Modelo Variables V8'!J27</f>
        <v>1</v>
      </c>
      <c r="K8" s="8">
        <f>'Modelo Variables V8'!K27</f>
        <v>0.38181818181818183</v>
      </c>
      <c r="L8" s="8">
        <f>'Modelo Variables V8'!L27</f>
        <v>0.61818181818181817</v>
      </c>
      <c r="M8" s="8">
        <f>'Modelo Variables V8'!M27</f>
        <v>0.54666666666666663</v>
      </c>
      <c r="N8" s="8">
        <f>'Modelo Variables V8'!N27</f>
        <v>0.45333333333333331</v>
      </c>
      <c r="O8" s="12" t="str">
        <f>'Modelo Variables V8'!O27</f>
        <v>[+0.2, -0.3, +0.7, -0.1]</v>
      </c>
      <c r="P8" s="5" t="str">
        <f>'Modelo Variables V8'!P27</f>
        <v>F3</v>
      </c>
      <c r="Q8" s="8">
        <f>'Modelo Variables V8'!Q27</f>
        <v>0.10933333333333334</v>
      </c>
      <c r="R8" s="8">
        <f>'Modelo Variables V8'!R27</f>
        <v>0.13599999999999998</v>
      </c>
      <c r="S8" s="8">
        <f>'Modelo Variables V8'!S27</f>
        <v>0.3826666666666666</v>
      </c>
      <c r="T8" s="8">
        <f>'Modelo Variables V8'!T27</f>
        <v>4.5333333333333337E-2</v>
      </c>
      <c r="U8" s="32">
        <f t="shared" si="0"/>
        <v>4.1745454545454551E-2</v>
      </c>
      <c r="V8" s="32">
        <f t="shared" si="1"/>
        <v>8.4072727272727257E-2</v>
      </c>
      <c r="W8" s="32">
        <f t="shared" si="2"/>
        <v>0.14610909090909088</v>
      </c>
      <c r="X8" s="32">
        <f t="shared" si="3"/>
        <v>2.8024242424242427E-2</v>
      </c>
    </row>
    <row r="9" spans="1:24" ht="15" customHeight="1">
      <c r="A9" s="5" t="s">
        <v>250</v>
      </c>
      <c r="B9" s="5" t="s">
        <v>157</v>
      </c>
      <c r="C9" s="5">
        <f>'Modelo Variables V8'!C33</f>
        <v>81</v>
      </c>
      <c r="D9" s="5" t="str">
        <f>'Modelo Variables V8'!D33</f>
        <v>%</v>
      </c>
      <c r="E9" s="5">
        <f>'Modelo Variables V8'!E33</f>
        <v>70</v>
      </c>
      <c r="F9" s="5">
        <f>'Modelo Variables V8'!F33</f>
        <v>90</v>
      </c>
      <c r="G9" s="5">
        <f>'Modelo Variables V8'!G33</f>
        <v>85</v>
      </c>
      <c r="H9" s="6" t="str">
        <f>'Modelo Variables V8'!H33</f>
        <v>↓</v>
      </c>
      <c r="I9" s="7">
        <f>'Modelo Variables V8'!I33</f>
        <v>0.73333333333333339</v>
      </c>
      <c r="J9" s="39">
        <f>'Modelo Variables V8'!J33</f>
        <v>0.5</v>
      </c>
      <c r="K9" s="8">
        <f>'Modelo Variables V8'!K33</f>
        <v>0.55000000000000004</v>
      </c>
      <c r="L9" s="8">
        <f>'Modelo Variables V8'!L33</f>
        <v>0.44999999999999996</v>
      </c>
      <c r="M9" s="8">
        <f>'Modelo Variables V8'!M33</f>
        <v>0.36666666666666664</v>
      </c>
      <c r="N9" s="8">
        <f>'Modelo Variables V8'!N33</f>
        <v>0.6333333333333333</v>
      </c>
      <c r="O9" s="12" t="str">
        <f>'Modelo Variables V8'!O33</f>
        <v>[+0.1, -0.1, +0.1, -0.1]</v>
      </c>
      <c r="P9" s="5" t="str">
        <f>'Modelo Variables V8'!P33</f>
        <v>F3,F4</v>
      </c>
      <c r="Q9" s="8">
        <f>'Modelo Variables V8'!Q33</f>
        <v>1.8333333333333333E-2</v>
      </c>
      <c r="R9" s="8">
        <f>'Modelo Variables V8'!R33</f>
        <v>3.1666666666666669E-2</v>
      </c>
      <c r="S9" s="8">
        <f>'Modelo Variables V8'!S33</f>
        <v>1.8333333333333333E-2</v>
      </c>
      <c r="T9" s="8">
        <f>'Modelo Variables V8'!T33</f>
        <v>3.1666666666666669E-2</v>
      </c>
      <c r="U9" s="32">
        <f t="shared" si="0"/>
        <v>1.0083333333333335E-2</v>
      </c>
      <c r="V9" s="32">
        <f t="shared" si="1"/>
        <v>1.4250000000000001E-2</v>
      </c>
      <c r="W9" s="32">
        <f t="shared" si="2"/>
        <v>1.0083333333333335E-2</v>
      </c>
      <c r="X9" s="32">
        <f t="shared" si="3"/>
        <v>1.4250000000000001E-2</v>
      </c>
    </row>
    <row r="10" spans="1:24" ht="15" customHeight="1">
      <c r="A10" s="5" t="s">
        <v>250</v>
      </c>
      <c r="B10" s="5" t="s">
        <v>285</v>
      </c>
      <c r="C10" s="5">
        <f>'Modelo Variables V8'!C34</f>
        <v>-0.6</v>
      </c>
      <c r="D10" s="5" t="str">
        <f>'Modelo Variables V8'!D34</f>
        <v>nivel</v>
      </c>
      <c r="E10" s="5">
        <f>'Modelo Variables V8'!E34</f>
        <v>-3</v>
      </c>
      <c r="F10" s="5">
        <f>'Modelo Variables V8'!F34</f>
        <v>1</v>
      </c>
      <c r="G10" s="5">
        <f>'Modelo Variables V8'!G34</f>
        <v>-2</v>
      </c>
      <c r="H10" s="6" t="str">
        <f>'Modelo Variables V8'!H34</f>
        <v>↑</v>
      </c>
      <c r="I10" s="7">
        <f>'Modelo Variables V8'!I34</f>
        <v>0.53333333333333344</v>
      </c>
      <c r="J10" s="39">
        <f>'Modelo Variables V8'!J34</f>
        <v>0.5</v>
      </c>
      <c r="K10" s="8">
        <f>'Modelo Variables V8'!K34</f>
        <v>0.6</v>
      </c>
      <c r="L10" s="8">
        <f>'Modelo Variables V8'!L34</f>
        <v>0.4</v>
      </c>
      <c r="M10" s="8">
        <f>'Modelo Variables V8'!M34</f>
        <v>0.73333333333333328</v>
      </c>
      <c r="N10" s="8">
        <f>'Modelo Variables V8'!N34</f>
        <v>0.26666666666666672</v>
      </c>
      <c r="O10" s="12" t="str">
        <f>'Modelo Variables V8'!O34</f>
        <v>[0.0, 0.0, +0.2, 0.0]</v>
      </c>
      <c r="P10" s="5" t="str">
        <f>'Modelo Variables V8'!P34</f>
        <v>F3</v>
      </c>
      <c r="Q10" s="8">
        <f>'Modelo Variables V8'!Q34</f>
        <v>0</v>
      </c>
      <c r="R10" s="8">
        <f>'Modelo Variables V8'!R34</f>
        <v>0</v>
      </c>
      <c r="S10" s="8">
        <f>'Modelo Variables V8'!S34</f>
        <v>7.3333333333333334E-2</v>
      </c>
      <c r="T10" s="8">
        <f>'Modelo Variables V8'!T34</f>
        <v>0</v>
      </c>
      <c r="U10" s="32">
        <f t="shared" si="0"/>
        <v>0</v>
      </c>
      <c r="V10" s="32">
        <f t="shared" si="1"/>
        <v>0</v>
      </c>
      <c r="W10" s="32">
        <f t="shared" si="2"/>
        <v>4.3999999999999997E-2</v>
      </c>
      <c r="X10" s="32">
        <f t="shared" si="3"/>
        <v>0</v>
      </c>
    </row>
    <row r="11" spans="1:24" ht="15" customHeight="1">
      <c r="A11" s="5" t="s">
        <v>250</v>
      </c>
      <c r="B11" s="5" t="s">
        <v>290</v>
      </c>
      <c r="C11" s="5">
        <f>'Modelo Variables V8'!C35</f>
        <v>88.2</v>
      </c>
      <c r="D11" s="5" t="str">
        <f>'Modelo Variables V8'!D35</f>
        <v>%</v>
      </c>
      <c r="E11" s="5">
        <f>'Modelo Variables V8'!E35</f>
        <v>80</v>
      </c>
      <c r="F11" s="5">
        <f>'Modelo Variables V8'!F35</f>
        <v>92</v>
      </c>
      <c r="G11" s="5">
        <f>'Modelo Variables V8'!G35</f>
        <v>85</v>
      </c>
      <c r="H11" s="6" t="str">
        <f>'Modelo Variables V8'!H35</f>
        <v>↓</v>
      </c>
      <c r="I11" s="7">
        <f>'Modelo Variables V8'!I35</f>
        <v>0.54285714285714248</v>
      </c>
      <c r="J11" s="39">
        <f>'Modelo Variables V8'!J35</f>
        <v>1</v>
      </c>
      <c r="K11" s="8">
        <f>'Modelo Variables V8'!K35</f>
        <v>0.68333333333333357</v>
      </c>
      <c r="L11" s="8">
        <f>'Modelo Variables V8'!L35</f>
        <v>0.31666666666666643</v>
      </c>
      <c r="M11" s="8">
        <f>'Modelo Variables V8'!M35</f>
        <v>0.72857142857142876</v>
      </c>
      <c r="N11" s="8">
        <f>'Modelo Variables V8'!N35</f>
        <v>0.27142857142857124</v>
      </c>
      <c r="O11" s="12" t="str">
        <f>'Modelo Variables V8'!O35</f>
        <v>[+0.1, -0.2, +0.4, -0.1]</v>
      </c>
      <c r="P11" s="5" t="str">
        <f>'Modelo Variables V8'!P35</f>
        <v>F3</v>
      </c>
      <c r="Q11" s="8">
        <f>'Modelo Variables V8'!Q35</f>
        <v>7.2857142857142884E-2</v>
      </c>
      <c r="R11" s="8">
        <f>'Modelo Variables V8'!R35</f>
        <v>5.428571428571425E-2</v>
      </c>
      <c r="S11" s="8">
        <f>'Modelo Variables V8'!S35</f>
        <v>0.29142857142857154</v>
      </c>
      <c r="T11" s="8">
        <f>'Modelo Variables V8'!T35</f>
        <v>2.7142857142857125E-2</v>
      </c>
      <c r="U11" s="32">
        <f t="shared" si="0"/>
        <v>4.9785714285714322E-2</v>
      </c>
      <c r="V11" s="32">
        <f t="shared" si="1"/>
        <v>1.7190476190476166E-2</v>
      </c>
      <c r="W11" s="32">
        <f t="shared" si="2"/>
        <v>0.19914285714285729</v>
      </c>
      <c r="X11" s="32">
        <f t="shared" si="3"/>
        <v>8.5952380952380829E-3</v>
      </c>
    </row>
    <row r="12" spans="1:24" ht="15" customHeight="1">
      <c r="A12" s="5" t="s">
        <v>296</v>
      </c>
      <c r="B12" s="5" t="s">
        <v>316</v>
      </c>
      <c r="C12" s="5">
        <f>'Modelo Variables V8'!C39</f>
        <v>325</v>
      </c>
      <c r="D12" s="5" t="str">
        <f>'Modelo Variables V8'!D39</f>
        <v>%</v>
      </c>
      <c r="E12" s="5">
        <f>'Modelo Variables V8'!E39</f>
        <v>300</v>
      </c>
      <c r="F12" s="5">
        <f>'Modelo Variables V8'!F39</f>
        <v>340</v>
      </c>
      <c r="G12" s="5">
        <f>'Modelo Variables V8'!G39</f>
        <v>330</v>
      </c>
      <c r="H12" s="6" t="str">
        <f>'Modelo Variables V8'!H39</f>
        <v>↓</v>
      </c>
      <c r="I12" s="7">
        <f>'Modelo Variables V8'!I39</f>
        <v>0.83333333333333337</v>
      </c>
      <c r="J12" s="39">
        <f>'Modelo Variables V8'!J39</f>
        <v>1.5</v>
      </c>
      <c r="K12" s="8">
        <f>'Modelo Variables V8'!K39</f>
        <v>0.625</v>
      </c>
      <c r="L12" s="8">
        <f>'Modelo Variables V8'!L39</f>
        <v>0.375</v>
      </c>
      <c r="M12" s="8">
        <f>'Modelo Variables V8'!M39</f>
        <v>0.41666666666666669</v>
      </c>
      <c r="N12" s="8">
        <f>'Modelo Variables V8'!N39</f>
        <v>0.58333333333333326</v>
      </c>
      <c r="O12" s="12" t="str">
        <f>'Modelo Variables V8'!O39</f>
        <v>[+0.4, -0.5, +0.6, -0.2]</v>
      </c>
      <c r="P12" s="5" t="str">
        <f>'Modelo Variables V8'!P39</f>
        <v>F3</v>
      </c>
      <c r="Q12" s="8">
        <f>'Modelo Variables V8'!Q39</f>
        <v>0.25000000000000006</v>
      </c>
      <c r="R12" s="8">
        <f>'Modelo Variables V8'!R39</f>
        <v>0.43749999999999994</v>
      </c>
      <c r="S12" s="8">
        <f>'Modelo Variables V8'!S39</f>
        <v>0.375</v>
      </c>
      <c r="T12" s="8">
        <f>'Modelo Variables V8'!T39</f>
        <v>0.17500000000000002</v>
      </c>
      <c r="U12" s="32">
        <f t="shared" si="0"/>
        <v>0.15625000000000003</v>
      </c>
      <c r="V12" s="32">
        <f t="shared" si="1"/>
        <v>0.16406249999999997</v>
      </c>
      <c r="W12" s="32">
        <f t="shared" si="2"/>
        <v>0.234375</v>
      </c>
      <c r="X12" s="32">
        <f t="shared" si="3"/>
        <v>6.5625000000000003E-2</v>
      </c>
    </row>
    <row r="13" spans="1:24" ht="15" customHeight="1">
      <c r="A13" s="5" t="s">
        <v>296</v>
      </c>
      <c r="B13" s="5" t="s">
        <v>321</v>
      </c>
      <c r="C13" s="5">
        <f>'Modelo Variables V8'!C40</f>
        <v>393</v>
      </c>
      <c r="D13" s="5" t="str">
        <f>'Modelo Variables V8'!D40</f>
        <v>eventos</v>
      </c>
      <c r="E13" s="5">
        <f>'Modelo Variables V8'!E40</f>
        <v>250</v>
      </c>
      <c r="F13" s="5">
        <f>'Modelo Variables V8'!F40</f>
        <v>450</v>
      </c>
      <c r="G13" s="5">
        <f>'Modelo Variables V8'!G40</f>
        <v>400</v>
      </c>
      <c r="H13" s="6" t="str">
        <f>'Modelo Variables V8'!H40</f>
        <v>↓</v>
      </c>
      <c r="I13" s="7">
        <f>'Modelo Variables V8'!I40</f>
        <v>0.95333333333333337</v>
      </c>
      <c r="J13" s="39">
        <f>'Modelo Variables V8'!J40</f>
        <v>1.5</v>
      </c>
      <c r="K13" s="8">
        <f>'Modelo Variables V8'!K40</f>
        <v>0.71499999999999997</v>
      </c>
      <c r="L13" s="8">
        <f>'Modelo Variables V8'!L40</f>
        <v>0.28500000000000003</v>
      </c>
      <c r="M13" s="8">
        <f>'Modelo Variables V8'!M40</f>
        <v>0.47666666666666668</v>
      </c>
      <c r="N13" s="8">
        <f>'Modelo Variables V8'!N40</f>
        <v>0.52333333333333332</v>
      </c>
      <c r="O13" s="12" t="str">
        <f>'Modelo Variables V8'!O40</f>
        <v>[+0.2, -0.3, +0.7, +0.1]</v>
      </c>
      <c r="P13" s="5" t="str">
        <f>'Modelo Variables V8'!P40</f>
        <v>F3</v>
      </c>
      <c r="Q13" s="8">
        <f>'Modelo Variables V8'!Q40</f>
        <v>0.14300000000000002</v>
      </c>
      <c r="R13" s="8">
        <f>'Modelo Variables V8'!R40</f>
        <v>0.23549999999999996</v>
      </c>
      <c r="S13" s="8">
        <f>'Modelo Variables V8'!S40</f>
        <v>0.50049999999999994</v>
      </c>
      <c r="T13" s="8">
        <f>'Modelo Variables V8'!T40</f>
        <v>7.1500000000000008E-2</v>
      </c>
      <c r="U13" s="32">
        <f t="shared" si="0"/>
        <v>0.102245</v>
      </c>
      <c r="V13" s="32">
        <f t="shared" si="1"/>
        <v>6.7117499999999997E-2</v>
      </c>
      <c r="W13" s="32">
        <f t="shared" si="2"/>
        <v>0.35785749999999994</v>
      </c>
      <c r="X13" s="32">
        <f t="shared" si="3"/>
        <v>5.1122500000000001E-2</v>
      </c>
    </row>
    <row r="14" spans="1:24" ht="15" customHeight="1">
      <c r="A14" s="5" t="s">
        <v>296</v>
      </c>
      <c r="B14" s="5" t="s">
        <v>328</v>
      </c>
      <c r="C14" s="5">
        <f>'Modelo Variables V8'!C41</f>
        <v>1.5</v>
      </c>
      <c r="D14" s="5" t="str">
        <f>'Modelo Variables V8'!D41</f>
        <v>°C</v>
      </c>
      <c r="E14" s="5">
        <f>'Modelo Variables V8'!E41</f>
        <v>0.2</v>
      </c>
      <c r="F14" s="5">
        <f>'Modelo Variables V8'!F41</f>
        <v>1.7</v>
      </c>
      <c r="G14" s="5">
        <f>'Modelo Variables V8'!G41</f>
        <v>1.5</v>
      </c>
      <c r="H14" s="6" t="str">
        <f>'Modelo Variables V8'!H41</f>
        <v>↓</v>
      </c>
      <c r="I14" s="7">
        <f>'Modelo Variables V8'!I41</f>
        <v>1</v>
      </c>
      <c r="J14" s="39">
        <f>'Modelo Variables V8'!J41</f>
        <v>2</v>
      </c>
      <c r="K14" s="8">
        <f>'Modelo Variables V8'!K41</f>
        <v>0.8666666666666667</v>
      </c>
      <c r="L14" s="8">
        <f>'Modelo Variables V8'!L41</f>
        <v>0.1333333333333333</v>
      </c>
      <c r="M14" s="8">
        <f>'Modelo Variables V8'!M41</f>
        <v>0.5</v>
      </c>
      <c r="N14" s="8">
        <f>'Modelo Variables V8'!N41</f>
        <v>0.5</v>
      </c>
      <c r="O14" s="12" t="str">
        <f>'Modelo Variables V8'!O41</f>
        <v>[+0.2, -0.4, +0.8, +0.1]</v>
      </c>
      <c r="P14" s="5" t="str">
        <f>'Modelo Variables V8'!P41</f>
        <v>F3</v>
      </c>
      <c r="Q14" s="8">
        <f>'Modelo Variables V8'!Q41</f>
        <v>0.2</v>
      </c>
      <c r="R14" s="8">
        <f>'Modelo Variables V8'!R41</f>
        <v>0.4</v>
      </c>
      <c r="S14" s="8">
        <f>'Modelo Variables V8'!S41</f>
        <v>0.8</v>
      </c>
      <c r="T14" s="8">
        <f>'Modelo Variables V8'!T41</f>
        <v>0.1</v>
      </c>
      <c r="U14" s="32">
        <f t="shared" si="0"/>
        <v>0.17333333333333334</v>
      </c>
      <c r="V14" s="32">
        <f t="shared" si="1"/>
        <v>5.3333333333333323E-2</v>
      </c>
      <c r="W14" s="32">
        <f t="shared" si="2"/>
        <v>0.69333333333333336</v>
      </c>
      <c r="X14" s="32">
        <f t="shared" si="3"/>
        <v>8.666666666666667E-2</v>
      </c>
    </row>
    <row r="15" spans="1:24" ht="15" customHeight="1">
      <c r="A15" s="5" t="s">
        <v>296</v>
      </c>
      <c r="B15" s="5" t="s">
        <v>335</v>
      </c>
      <c r="C15" s="5">
        <f>'Modelo Variables V8'!C42</f>
        <v>19</v>
      </c>
      <c r="D15" s="5" t="str">
        <f>'Modelo Variables V8'!D42</f>
        <v>semanas</v>
      </c>
      <c r="E15" s="5">
        <f>'Modelo Variables V8'!E42</f>
        <v>10</v>
      </c>
      <c r="F15" s="5">
        <f>'Modelo Variables V8'!F42</f>
        <v>30</v>
      </c>
      <c r="G15" s="5">
        <f>'Modelo Variables V8'!G42</f>
        <v>22</v>
      </c>
      <c r="H15" s="6" t="str">
        <f>'Modelo Variables V8'!H42</f>
        <v>↓</v>
      </c>
      <c r="I15" s="7">
        <f>'Modelo Variables V8'!I42</f>
        <v>0.75</v>
      </c>
      <c r="J15" s="39">
        <f>'Modelo Variables V8'!J42</f>
        <v>1</v>
      </c>
      <c r="K15" s="8">
        <f>'Modelo Variables V8'!K42</f>
        <v>0.45</v>
      </c>
      <c r="L15" s="8">
        <f>'Modelo Variables V8'!L42</f>
        <v>0.55000000000000004</v>
      </c>
      <c r="M15" s="8">
        <f>'Modelo Variables V8'!M42</f>
        <v>0.375</v>
      </c>
      <c r="N15" s="8">
        <f>'Modelo Variables V8'!N42</f>
        <v>0.625</v>
      </c>
      <c r="O15" s="12" t="str">
        <f>'Modelo Variables V8'!O42</f>
        <v>[+0.2, -0.3, +0.4, -0.2]</v>
      </c>
      <c r="P15" s="5" t="str">
        <f>'Modelo Variables V8'!P42</f>
        <v>F3</v>
      </c>
      <c r="Q15" s="8">
        <f>'Modelo Variables V8'!Q42</f>
        <v>7.5000000000000011E-2</v>
      </c>
      <c r="R15" s="8">
        <f>'Modelo Variables V8'!R42</f>
        <v>0.1875</v>
      </c>
      <c r="S15" s="8">
        <f>'Modelo Variables V8'!S42</f>
        <v>0.15000000000000002</v>
      </c>
      <c r="T15" s="8">
        <f>'Modelo Variables V8'!T42</f>
        <v>0.125</v>
      </c>
      <c r="U15" s="32">
        <f t="shared" si="0"/>
        <v>3.3750000000000009E-2</v>
      </c>
      <c r="V15" s="32">
        <f t="shared" si="1"/>
        <v>0.10312500000000001</v>
      </c>
      <c r="W15" s="32">
        <f t="shared" si="2"/>
        <v>6.7500000000000018E-2</v>
      </c>
      <c r="X15" s="32">
        <f t="shared" si="3"/>
        <v>6.8750000000000006E-2</v>
      </c>
    </row>
    <row r="16" spans="1:24">
      <c r="P16" s="49" t="s">
        <v>407</v>
      </c>
      <c r="Q16" s="49">
        <f>SUM(Q2:Q15)</f>
        <v>3.3174738095238094</v>
      </c>
      <c r="R16" s="49">
        <f>SUM(R2:R15)</f>
        <v>3.1047607142857143</v>
      </c>
      <c r="S16" s="49">
        <f>SUM(S2:S15)</f>
        <v>4.9676369047619042</v>
      </c>
      <c r="T16" s="49">
        <f>SUM(T2:T15)</f>
        <v>0.98023452380952381</v>
      </c>
    </row>
    <row r="18" spans="2:24">
      <c r="Q18" s="50"/>
      <c r="R18" s="50" t="s">
        <v>408</v>
      </c>
      <c r="S18" s="50"/>
      <c r="T18" s="50"/>
      <c r="U18" s="51">
        <f>SUMPRODUCT(U2:U15,Q2:Q15)</f>
        <v>1.4078335926336687</v>
      </c>
      <c r="V18" s="51">
        <f>SUMPRODUCT(V2:V15,R2:R15)</f>
        <v>0.44413510978171944</v>
      </c>
      <c r="W18" s="51">
        <f>SUMPRODUCT(W2:W15,S2:S15)</f>
        <v>2.181140668138343</v>
      </c>
      <c r="X18" s="51">
        <f>SUMPRODUCT(X2:X15,T2:T15)</f>
        <v>5.5600794954068708E-2</v>
      </c>
    </row>
    <row r="19" spans="2:24" ht="15.75" customHeight="1">
      <c r="B19" s="26" t="s">
        <v>19</v>
      </c>
    </row>
    <row r="20" spans="2:24">
      <c r="O20" s="52"/>
      <c r="P20" s="52"/>
      <c r="Q20" s="52" t="s">
        <v>409</v>
      </c>
      <c r="R20" s="52"/>
      <c r="S20" s="52"/>
      <c r="T20" s="52"/>
      <c r="U20" s="53">
        <f>U18/Q16</f>
        <v>0.42436916565612592</v>
      </c>
      <c r="V20" s="53">
        <f>V18/R16</f>
        <v>0.14304970677390763</v>
      </c>
      <c r="W20" s="53">
        <f>W18/S16</f>
        <v>0.43907006690596356</v>
      </c>
      <c r="X20" s="53">
        <f>X18/T16</f>
        <v>5.6721930929330221E-2</v>
      </c>
    </row>
    <row r="21" spans="2:24" ht="15.75" customHeight="1" thickBot="1">
      <c r="B21" s="17" t="s">
        <v>20</v>
      </c>
    </row>
    <row r="22" spans="2:24" ht="15.75" customHeight="1" thickBot="1">
      <c r="B22" s="17" t="s">
        <v>21</v>
      </c>
      <c r="O22" s="82" t="s">
        <v>410</v>
      </c>
      <c r="P22" s="82"/>
      <c r="Q22" s="82"/>
      <c r="R22" s="82"/>
      <c r="S22" s="82"/>
      <c r="T22" s="83" t="s">
        <v>52</v>
      </c>
      <c r="U22" s="84">
        <f>1-U20</f>
        <v>0.57563083434387408</v>
      </c>
      <c r="V22" s="84">
        <f>1-V20</f>
        <v>0.8569502932260924</v>
      </c>
      <c r="W22" s="84">
        <f>1-W20</f>
        <v>0.56092993309403649</v>
      </c>
      <c r="X22" s="85">
        <f>1-X20</f>
        <v>0.9432780690706698</v>
      </c>
    </row>
    <row r="23" spans="2:24">
      <c r="B23" s="25"/>
    </row>
  </sheetData>
  <conditionalFormatting sqref="I2:I15">
    <cfRule type="cellIs" dxfId="29" priority="23" operator="greaterThanOrEqual">
      <formula>0.9</formula>
    </cfRule>
    <cfRule type="cellIs" dxfId="28" priority="24" operator="between">
      <formula>0.75</formula>
      <formula>0.89</formula>
    </cfRule>
    <cfRule type="cellIs" dxfId="27" priority="25" operator="between">
      <formula>0.5</formula>
      <formula>0.74</formula>
    </cfRule>
    <cfRule type="cellIs" dxfId="26" priority="26" operator="between">
      <formula>0.25</formula>
      <formula>0.49</formula>
    </cfRule>
    <cfRule type="cellIs" dxfId="25" priority="27" operator="lessThan">
      <formula>0.25</formula>
    </cfRule>
  </conditionalFormatting>
  <conditionalFormatting sqref="J2:J15">
    <cfRule type="colorScale" priority="1">
      <colorScale>
        <cfvo type="num" val="0.5"/>
        <cfvo type="num" val="1"/>
        <cfvo type="num" val="2"/>
        <color theme="8" tint="-0.249977111117893"/>
        <color theme="9" tint="0.59999389629810485"/>
        <color rgb="FFC00000"/>
      </colorScale>
    </cfRule>
    <cfRule type="colorScale" priority="2">
      <colorScale>
        <cfvo type="num" val="0.5"/>
        <cfvo type="num" val="1"/>
        <cfvo type="num" val="2"/>
        <color theme="8" tint="-0.249977111117893"/>
        <color rgb="FFFFEB84"/>
        <color rgb="FFC00000"/>
      </colorScale>
    </cfRule>
    <cfRule type="colorScale" priority="3">
      <colorScale>
        <cfvo type="num" val="0.5"/>
        <cfvo type="num" val="1.5"/>
        <cfvo type="num" val="2"/>
        <color rgb="FFC00000"/>
        <color theme="9" tint="0.39997558519241921"/>
        <color theme="8"/>
      </colorScale>
    </cfRule>
  </conditionalFormatting>
  <conditionalFormatting sqref="M2:N15">
    <cfRule type="cellIs" dxfId="24" priority="7" operator="greaterThanOrEqual">
      <formula>0.9</formula>
    </cfRule>
    <cfRule type="cellIs" dxfId="23" priority="8" operator="between">
      <formula>0.75</formula>
      <formula>0.89</formula>
    </cfRule>
    <cfRule type="cellIs" dxfId="22" priority="9" operator="between">
      <formula>0.5</formula>
      <formula>0.74</formula>
    </cfRule>
    <cfRule type="cellIs" dxfId="21" priority="10" operator="between">
      <formula>0.25</formula>
      <formula>0.49</formula>
    </cfRule>
    <cfRule type="cellIs" dxfId="20" priority="11" operator="lessThan">
      <formula>0.25</formula>
    </cfRule>
  </conditionalFormatting>
  <pageMargins left="0.7" right="0.7" top="0.75" bottom="0.75" header="0.511811023622047" footer="0.511811023622047"/>
  <pageSetup paperSize="9" orientation="portrait" horizontalDpi="300" verticalDpi="30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X76"/>
  <sheetViews>
    <sheetView zoomScaleNormal="100" workbookViewId="0">
      <selection activeCell="S34" sqref="S34"/>
    </sheetView>
  </sheetViews>
  <sheetFormatPr defaultColWidth="8.7109375" defaultRowHeight="15"/>
  <cols>
    <col min="1" max="1" width="7.140625" bestFit="1" customWidth="1"/>
    <col min="2" max="2" width="30.7109375" bestFit="1" customWidth="1"/>
    <col min="3" max="3" width="5.140625" bestFit="1" customWidth="1"/>
    <col min="4" max="4" width="21" style="22" bestFit="1" customWidth="1"/>
    <col min="5" max="5" width="4" bestFit="1" customWidth="1"/>
    <col min="6" max="6" width="4.28515625" bestFit="1" customWidth="1"/>
    <col min="7" max="7" width="6.7109375" bestFit="1" customWidth="1"/>
    <col min="8" max="8" width="5.140625" bestFit="1" customWidth="1"/>
    <col min="9" max="9" width="11.5703125" bestFit="1" customWidth="1"/>
    <col min="10" max="10" width="8.28515625" bestFit="1" customWidth="1"/>
    <col min="11" max="12" width="7.7109375" bestFit="1" customWidth="1"/>
    <col min="13" max="13" width="10.42578125" bestFit="1" customWidth="1"/>
    <col min="14" max="14" width="10.140625" bestFit="1" customWidth="1"/>
    <col min="15" max="15" width="25.5703125" bestFit="1" customWidth="1"/>
    <col min="16" max="16" width="7.140625" bestFit="1" customWidth="1"/>
    <col min="17" max="20" width="6.5703125" bestFit="1" customWidth="1"/>
    <col min="21" max="21" width="11.7109375" bestFit="1" customWidth="1"/>
    <col min="22" max="22" width="11.5703125" bestFit="1" customWidth="1"/>
    <col min="23" max="23" width="13.28515625" bestFit="1" customWidth="1"/>
    <col min="24" max="24" width="12.5703125" bestFit="1" customWidth="1"/>
  </cols>
  <sheetData>
    <row r="1" spans="1:24" ht="15" customHeight="1">
      <c r="A1" s="2" t="s">
        <v>68</v>
      </c>
      <c r="B1" s="2" t="s">
        <v>69</v>
      </c>
      <c r="C1" s="2" t="s">
        <v>70</v>
      </c>
      <c r="D1" s="2" t="s">
        <v>71</v>
      </c>
      <c r="E1" s="2" t="s">
        <v>72</v>
      </c>
      <c r="F1" s="2" t="s">
        <v>73</v>
      </c>
      <c r="G1" s="2" t="s">
        <v>74</v>
      </c>
      <c r="H1" s="2" t="s">
        <v>75</v>
      </c>
      <c r="I1" s="2" t="s">
        <v>76</v>
      </c>
      <c r="J1" s="2" t="s">
        <v>77</v>
      </c>
      <c r="K1" s="2" t="s">
        <v>78</v>
      </c>
      <c r="L1" s="2" t="s">
        <v>79</v>
      </c>
      <c r="M1" s="2" t="s">
        <v>80</v>
      </c>
      <c r="N1" s="2" t="s">
        <v>81</v>
      </c>
      <c r="O1" s="2" t="s">
        <v>82</v>
      </c>
      <c r="P1" s="2" t="s">
        <v>83</v>
      </c>
      <c r="Q1" s="3" t="s">
        <v>84</v>
      </c>
      <c r="R1" s="3" t="s">
        <v>85</v>
      </c>
      <c r="S1" s="3" t="s">
        <v>86</v>
      </c>
      <c r="T1" s="3" t="s">
        <v>87</v>
      </c>
      <c r="U1" s="31" t="s">
        <v>403</v>
      </c>
      <c r="V1" s="31" t="s">
        <v>404</v>
      </c>
      <c r="W1" s="35" t="s">
        <v>405</v>
      </c>
      <c r="X1" s="31" t="s">
        <v>406</v>
      </c>
    </row>
    <row r="2" spans="1:24" ht="18.75" customHeight="1">
      <c r="A2" s="5" t="s">
        <v>92</v>
      </c>
      <c r="B2" s="5" t="s">
        <v>121</v>
      </c>
      <c r="C2" s="5">
        <f>'Modelo Variables V8'!C6</f>
        <v>17.8</v>
      </c>
      <c r="D2" s="44" t="str">
        <f>'Modelo Variables V8'!D6</f>
        <v>%</v>
      </c>
      <c r="E2" s="5">
        <f>'Modelo Variables V8'!E6</f>
        <v>10</v>
      </c>
      <c r="F2" s="5">
        <f>'Modelo Variables V8'!F6</f>
        <v>25</v>
      </c>
      <c r="G2" s="5">
        <f>'Modelo Variables V8'!G6</f>
        <v>16</v>
      </c>
      <c r="H2" s="6" t="str">
        <f>'Modelo Variables V8'!H6</f>
        <v>↓</v>
      </c>
      <c r="I2" s="7">
        <f>'Modelo Variables V8'!I6</f>
        <v>0.79999999999999993</v>
      </c>
      <c r="J2" s="39">
        <f>'Modelo Variables V8'!J6</f>
        <v>1.5</v>
      </c>
      <c r="K2" s="8">
        <f>'Modelo Variables V8'!K6</f>
        <v>0.52</v>
      </c>
      <c r="L2" s="8">
        <f>'Modelo Variables V8'!L6</f>
        <v>0.48</v>
      </c>
      <c r="M2" s="8">
        <f>'Modelo Variables V8'!M6</f>
        <v>0.60000000000000009</v>
      </c>
      <c r="N2" s="8">
        <f>'Modelo Variables V8'!N6</f>
        <v>0.39999999999999997</v>
      </c>
      <c r="O2" s="12" t="str">
        <f>'Modelo Variables V8'!O6</f>
        <v>[-0.3, +0.6, +0.8, -0.1]</v>
      </c>
      <c r="P2" s="5" t="str">
        <f>'Modelo Variables V8'!P6</f>
        <v>F2,F4</v>
      </c>
      <c r="Q2" s="8">
        <f>'Modelo Variables V8'!Q6</f>
        <v>0.17999999999999997</v>
      </c>
      <c r="R2" s="8">
        <f>'Modelo Variables V8'!R6</f>
        <v>0.54</v>
      </c>
      <c r="S2" s="8">
        <f>'Modelo Variables V8'!S6</f>
        <v>0.7200000000000002</v>
      </c>
      <c r="T2" s="8">
        <f>'Modelo Variables V8'!T6</f>
        <v>6.0000000000000005E-2</v>
      </c>
      <c r="U2" s="32">
        <f t="shared" ref="U2:U18" si="0">IFERROR(IF(VALUE(TRIM(MID(O2,2,SEARCH(",",O2)-2)))&gt;=0,$Q2*$K2,$Q2*$L2),0)</f>
        <v>8.6399999999999977E-2</v>
      </c>
      <c r="V2" s="32">
        <f t="shared" ref="V2:V18" si="1">IFERROR(IF(VALUE(TRIM(MID($O2,SEARCH(",",$O2,SEARCH(",",$O2)+1)+2,SEARCH(",",$O2,SEARCH(",",$O2,SEARCH(",",$O2)+1)+1)-SEARCH(",",$O2,SEARCH(",",$O2)+1)-2)))&gt;=0,$R2*$K2,$R2*$L2),0)</f>
        <v>0.28080000000000005</v>
      </c>
      <c r="W2" s="32">
        <f t="shared" ref="W2:W18" si="2">IFERROR(IF(VALUE(TRIM(MID($O2,SEARCH(",",$O2,SEARCH(",",$O2,SEARCH(",",$O2)+1)+1)+2,SEARCH("]",$O2)-SEARCH(",",$O2,SEARCH(",",$O2,SEARCH(",",$O2)+1)+1)-2)))&gt;=0,$S2*$K2,$S2*$L2),0)</f>
        <v>0.34560000000000007</v>
      </c>
      <c r="X2" s="32">
        <f t="shared" ref="X2:X18" si="3">IFERROR(IF(VALUE(TRIM(MID($O2,SEARCH(",",$O2,SEARCH(",",$O2,SEARCH(",",$O2)+1)+1)+2,SEARCH("]",$O2)-SEARCH(",",$O2,SEARCH(",",$O2,SEARCH(",",$O2)+1)+1)-2)))&gt;=0,$T2*$K2,$T2*$L2),0)</f>
        <v>2.8800000000000003E-2</v>
      </c>
    </row>
    <row r="3" spans="1:24" ht="18.75" customHeight="1">
      <c r="A3" s="5" t="s">
        <v>92</v>
      </c>
      <c r="B3" s="5" t="s">
        <v>127</v>
      </c>
      <c r="C3" s="5">
        <f>'Modelo Variables V8'!C7</f>
        <v>24.9</v>
      </c>
      <c r="D3" s="44" t="str">
        <f>'Modelo Variables V8'!D7</f>
        <v>nivel</v>
      </c>
      <c r="E3" s="5">
        <f>'Modelo Variables V8'!E7</f>
        <v>22</v>
      </c>
      <c r="F3" s="5">
        <f>'Modelo Variables V8'!F7</f>
        <v>33</v>
      </c>
      <c r="G3" s="5">
        <f>'Modelo Variables V8'!G7</f>
        <v>25</v>
      </c>
      <c r="H3" s="6" t="str">
        <f>'Modelo Variables V8'!H7</f>
        <v>↑</v>
      </c>
      <c r="I3" s="7">
        <f>'Modelo Variables V8'!I7</f>
        <v>0.98749999999999982</v>
      </c>
      <c r="J3" s="39">
        <f>'Modelo Variables V8'!J7</f>
        <v>1</v>
      </c>
      <c r="K3" s="8">
        <f>'Modelo Variables V8'!K7</f>
        <v>0.2636363636363635</v>
      </c>
      <c r="L3" s="8">
        <f>'Modelo Variables V8'!L7</f>
        <v>0.73636363636363655</v>
      </c>
      <c r="M3" s="8">
        <f>'Modelo Variables V8'!M7</f>
        <v>0.48333333333333311</v>
      </c>
      <c r="N3" s="8">
        <f>'Modelo Variables V8'!N7</f>
        <v>0.51666666666666683</v>
      </c>
      <c r="O3" s="12" t="str">
        <f>'Modelo Variables V8'!O7</f>
        <v>[+0.6, -0.4, +0.1, +0.2]</v>
      </c>
      <c r="P3" s="5" t="str">
        <f>'Modelo Variables V8'!P7</f>
        <v>F2,F4</v>
      </c>
      <c r="Q3" s="8">
        <f>'Modelo Variables V8'!Q7</f>
        <v>0.28999999999999987</v>
      </c>
      <c r="R3" s="8">
        <f>'Modelo Variables V8'!R7</f>
        <v>0.20666666666666675</v>
      </c>
      <c r="S3" s="8">
        <f>'Modelo Variables V8'!S7</f>
        <v>4.8333333333333311E-2</v>
      </c>
      <c r="T3" s="8">
        <f>'Modelo Variables V8'!T7</f>
        <v>9.6666666666666623E-2</v>
      </c>
      <c r="U3" s="32">
        <f t="shared" si="0"/>
        <v>7.6454545454545386E-2</v>
      </c>
      <c r="V3" s="32">
        <f t="shared" si="1"/>
        <v>5.4484848484848476E-2</v>
      </c>
      <c r="W3" s="32">
        <f t="shared" si="2"/>
        <v>1.274242424242423E-2</v>
      </c>
      <c r="X3" s="32">
        <f t="shared" si="3"/>
        <v>2.5484848484848461E-2</v>
      </c>
    </row>
    <row r="4" spans="1:24" ht="15" customHeight="1">
      <c r="A4" s="5" t="s">
        <v>92</v>
      </c>
      <c r="B4" s="5" t="s">
        <v>140</v>
      </c>
      <c r="C4" s="5">
        <f>'Modelo Variables V8'!C9</f>
        <v>7</v>
      </c>
      <c r="D4" s="44" t="str">
        <f>'Modelo Variables V8'!D9</f>
        <v>%</v>
      </c>
      <c r="E4" s="5">
        <f>'Modelo Variables V8'!E9</f>
        <v>0</v>
      </c>
      <c r="F4" s="5">
        <f>'Modelo Variables V8'!F9</f>
        <v>15</v>
      </c>
      <c r="G4" s="5">
        <f>'Modelo Variables V8'!G9</f>
        <v>10</v>
      </c>
      <c r="H4" s="6" t="str">
        <f>'Modelo Variables V8'!H9</f>
        <v>↓</v>
      </c>
      <c r="I4" s="7">
        <f>'Modelo Variables V8'!I9</f>
        <v>0.7</v>
      </c>
      <c r="J4" s="39">
        <f>'Modelo Variables V8'!J9</f>
        <v>1.5</v>
      </c>
      <c r="K4" s="8">
        <f>'Modelo Variables V8'!K9</f>
        <v>0.46666666666666667</v>
      </c>
      <c r="L4" s="8">
        <f>'Modelo Variables V8'!L9</f>
        <v>0.53333333333333333</v>
      </c>
      <c r="M4" s="8">
        <f>'Modelo Variables V8'!M9</f>
        <v>0.35</v>
      </c>
      <c r="N4" s="8">
        <f>'Modelo Variables V8'!N9</f>
        <v>0.65</v>
      </c>
      <c r="O4" s="12" t="str">
        <f>'Modelo Variables V8'!O9</f>
        <v>[+0.4, -0.3, +0.6, 0.0]</v>
      </c>
      <c r="P4" s="5" t="str">
        <f>'Modelo Variables V8'!P9</f>
        <v>F4</v>
      </c>
      <c r="Q4" s="8">
        <f>'Modelo Variables V8'!Q9</f>
        <v>0.21000000000000002</v>
      </c>
      <c r="R4" s="8">
        <f>'Modelo Variables V8'!R9</f>
        <v>0.29249999999999998</v>
      </c>
      <c r="S4" s="8">
        <f>'Modelo Variables V8'!S9</f>
        <v>0.31499999999999995</v>
      </c>
      <c r="T4" s="8">
        <f>'Modelo Variables V8'!T9</f>
        <v>0</v>
      </c>
      <c r="U4" s="32">
        <f t="shared" si="0"/>
        <v>9.8000000000000018E-2</v>
      </c>
      <c r="V4" s="32">
        <f t="shared" si="1"/>
        <v>0.13649999999999998</v>
      </c>
      <c r="W4" s="32">
        <f t="shared" si="2"/>
        <v>0.14699999999999996</v>
      </c>
      <c r="X4" s="32">
        <f t="shared" si="3"/>
        <v>0</v>
      </c>
    </row>
    <row r="5" spans="1:24" ht="18.75" customHeight="1">
      <c r="A5" s="5" t="s">
        <v>146</v>
      </c>
      <c r="B5" s="5" t="s">
        <v>157</v>
      </c>
      <c r="C5" s="5">
        <f>'Modelo Variables V8'!C12</f>
        <v>119.3</v>
      </c>
      <c r="D5" s="44" t="str">
        <f>'Modelo Variables V8'!D12</f>
        <v>%</v>
      </c>
      <c r="E5" s="5">
        <f>'Modelo Variables V8'!E12</f>
        <v>60</v>
      </c>
      <c r="F5" s="5">
        <f>'Modelo Variables V8'!F12</f>
        <v>125</v>
      </c>
      <c r="G5" s="5">
        <f>'Modelo Variables V8'!G12</f>
        <v>100</v>
      </c>
      <c r="H5" s="6" t="str">
        <f>'Modelo Variables V8'!H12</f>
        <v>↓</v>
      </c>
      <c r="I5" s="7">
        <f>'Modelo Variables V8'!I12</f>
        <v>0.51750000000000007</v>
      </c>
      <c r="J5" s="39">
        <f>'Modelo Variables V8'!J12</f>
        <v>2</v>
      </c>
      <c r="K5" s="8">
        <f>'Modelo Variables V8'!K12</f>
        <v>0.91230769230769226</v>
      </c>
      <c r="L5" s="8">
        <f>'Modelo Variables V8'!L12</f>
        <v>8.7692307692307736E-2</v>
      </c>
      <c r="M5" s="8">
        <f>'Modelo Variables V8'!M12</f>
        <v>0.8859999999999999</v>
      </c>
      <c r="N5" s="8">
        <f>'Modelo Variables V8'!N12</f>
        <v>0.11400000000000005</v>
      </c>
      <c r="O5" s="12" t="str">
        <f>'Modelo Variables V8'!O12</f>
        <v>[+0.6, -0.7, +0.5, -0.1]</v>
      </c>
      <c r="P5" s="5" t="str">
        <f>'Modelo Variables V8'!P12</f>
        <v>F3,F4</v>
      </c>
      <c r="Q5" s="8">
        <f>'Modelo Variables V8'!Q12</f>
        <v>1.0631999999999999</v>
      </c>
      <c r="R5" s="8">
        <f>'Modelo Variables V8'!R12</f>
        <v>0.15960000000000005</v>
      </c>
      <c r="S5" s="8">
        <f>'Modelo Variables V8'!S12</f>
        <v>0.8859999999999999</v>
      </c>
      <c r="T5" s="8">
        <f>'Modelo Variables V8'!T12</f>
        <v>2.2800000000000011E-2</v>
      </c>
      <c r="U5" s="32">
        <f t="shared" si="0"/>
        <v>0.96996553846153832</v>
      </c>
      <c r="V5" s="32">
        <f t="shared" si="1"/>
        <v>0.14560430769230773</v>
      </c>
      <c r="W5" s="32">
        <f t="shared" si="2"/>
        <v>7.7695384615384638E-2</v>
      </c>
      <c r="X5" s="32">
        <f t="shared" si="3"/>
        <v>1.9993846153846173E-3</v>
      </c>
    </row>
    <row r="6" spans="1:24" ht="15" customHeight="1">
      <c r="A6" s="5" t="s">
        <v>146</v>
      </c>
      <c r="B6" s="5" t="s">
        <v>170</v>
      </c>
      <c r="C6" s="5">
        <f>'Modelo Variables V8'!C14</f>
        <v>29</v>
      </c>
      <c r="D6" s="44" t="str">
        <f>'Modelo Variables V8'!D14</f>
        <v>%</v>
      </c>
      <c r="E6" s="5">
        <f>'Modelo Variables V8'!E14</f>
        <v>10</v>
      </c>
      <c r="F6" s="5">
        <f>'Modelo Variables V8'!F14</f>
        <v>40</v>
      </c>
      <c r="G6" s="5">
        <f>'Modelo Variables V8'!G14</f>
        <v>20</v>
      </c>
      <c r="H6" s="6" t="str">
        <f>'Modelo Variables V8'!H14</f>
        <v>↑</v>
      </c>
      <c r="I6" s="7">
        <f>'Modelo Variables V8'!I14</f>
        <v>0.55000000000000004</v>
      </c>
      <c r="J6" s="39">
        <f>'Modelo Variables V8'!J14</f>
        <v>2</v>
      </c>
      <c r="K6" s="8">
        <f>'Modelo Variables V8'!K14</f>
        <v>0.6333333333333333</v>
      </c>
      <c r="L6" s="8">
        <f>'Modelo Variables V8'!L14</f>
        <v>0.3666666666666667</v>
      </c>
      <c r="M6" s="8">
        <f>'Modelo Variables V8'!M14</f>
        <v>0.72499999999999998</v>
      </c>
      <c r="N6" s="8">
        <f>'Modelo Variables V8'!N14</f>
        <v>0.27500000000000002</v>
      </c>
      <c r="O6" s="12" t="str">
        <f>'Modelo Variables V8'!O14</f>
        <v>[-0.4, +0.7, -0.9, +0.1]</v>
      </c>
      <c r="P6" s="5" t="str">
        <f>'Modelo Variables V8'!P14</f>
        <v>F4</v>
      </c>
      <c r="Q6" s="8">
        <f>'Modelo Variables V8'!Q14</f>
        <v>0.22000000000000003</v>
      </c>
      <c r="R6" s="8">
        <f>'Modelo Variables V8'!R14</f>
        <v>1.0149999999999999</v>
      </c>
      <c r="S6" s="8">
        <f>'Modelo Variables V8'!S14</f>
        <v>0.49500000000000005</v>
      </c>
      <c r="T6" s="8">
        <f>'Modelo Variables V8'!T14</f>
        <v>0.14499999999999999</v>
      </c>
      <c r="U6" s="32">
        <f t="shared" si="0"/>
        <v>8.0666666666666678E-2</v>
      </c>
      <c r="V6" s="32">
        <f t="shared" si="1"/>
        <v>0.37216666666666665</v>
      </c>
      <c r="W6" s="32">
        <f t="shared" si="2"/>
        <v>0.3135</v>
      </c>
      <c r="X6" s="32">
        <f t="shared" si="3"/>
        <v>9.1833333333333322E-2</v>
      </c>
    </row>
    <row r="7" spans="1:24" ht="15" customHeight="1">
      <c r="A7" s="5" t="s">
        <v>146</v>
      </c>
      <c r="B7" s="5" t="s">
        <v>176</v>
      </c>
      <c r="C7" s="5">
        <f>'Modelo Variables V8'!C15</f>
        <v>40</v>
      </c>
      <c r="D7" s="44" t="str">
        <f>'Modelo Variables V8'!D15</f>
        <v>%</v>
      </c>
      <c r="E7" s="5">
        <f>'Modelo Variables V8'!E15</f>
        <v>30</v>
      </c>
      <c r="F7" s="5">
        <f>'Modelo Variables V8'!F15</f>
        <v>60</v>
      </c>
      <c r="G7" s="5">
        <f>'Modelo Variables V8'!G15</f>
        <v>40</v>
      </c>
      <c r="H7" s="6" t="str">
        <f>'Modelo Variables V8'!H15</f>
        <v>↑</v>
      </c>
      <c r="I7" s="7">
        <f>'Modelo Variables V8'!I15</f>
        <v>1</v>
      </c>
      <c r="J7" s="39">
        <f>'Modelo Variables V8'!J15</f>
        <v>1</v>
      </c>
      <c r="K7" s="8">
        <f>'Modelo Variables V8'!K15</f>
        <v>0.33333333333333331</v>
      </c>
      <c r="L7" s="8">
        <f>'Modelo Variables V8'!L15</f>
        <v>0.66666666666666674</v>
      </c>
      <c r="M7" s="8">
        <f>'Modelo Variables V8'!M15</f>
        <v>0.5</v>
      </c>
      <c r="N7" s="8">
        <f>'Modelo Variables V8'!N15</f>
        <v>0.5</v>
      </c>
      <c r="O7" s="12" t="str">
        <f>'Modelo Variables V8'!O15</f>
        <v>[-0.3, +0.4, -0.5, 0.0]</v>
      </c>
      <c r="P7" s="5" t="str">
        <f>'Modelo Variables V8'!P15</f>
        <v>F4</v>
      </c>
      <c r="Q7" s="8">
        <f>'Modelo Variables V8'!Q15</f>
        <v>0.15</v>
      </c>
      <c r="R7" s="8">
        <f>'Modelo Variables V8'!R15</f>
        <v>0.2</v>
      </c>
      <c r="S7" s="8">
        <f>'Modelo Variables V8'!S15</f>
        <v>0.25</v>
      </c>
      <c r="T7" s="8">
        <f>'Modelo Variables V8'!T15</f>
        <v>0</v>
      </c>
      <c r="U7" s="32">
        <f t="shared" si="0"/>
        <v>0.1</v>
      </c>
      <c r="V7" s="32">
        <f t="shared" si="1"/>
        <v>0.13333333333333336</v>
      </c>
      <c r="W7" s="32">
        <f t="shared" si="2"/>
        <v>8.3333333333333329E-2</v>
      </c>
      <c r="X7" s="32">
        <f t="shared" si="3"/>
        <v>0</v>
      </c>
    </row>
    <row r="8" spans="1:24" ht="15" customHeight="1">
      <c r="A8" s="5" t="s">
        <v>146</v>
      </c>
      <c r="B8" s="5" t="s">
        <v>181</v>
      </c>
      <c r="C8" s="5">
        <f>'Modelo Variables V8'!C16</f>
        <v>3.4</v>
      </c>
      <c r="D8" s="44" t="str">
        <f>'Modelo Variables V8'!D16</f>
        <v>%</v>
      </c>
      <c r="E8" s="5">
        <f>'Modelo Variables V8'!E16</f>
        <v>3</v>
      </c>
      <c r="F8" s="5">
        <f>'Modelo Variables V8'!F16</f>
        <v>6</v>
      </c>
      <c r="G8" s="5">
        <f>'Modelo Variables V8'!G16</f>
        <v>4</v>
      </c>
      <c r="H8" s="6" t="str">
        <f>'Modelo Variables V8'!H16</f>
        <v>↓</v>
      </c>
      <c r="I8" s="7">
        <f>'Modelo Variables V8'!I16</f>
        <v>0.7</v>
      </c>
      <c r="J8" s="39">
        <f>'Modelo Variables V8'!J16</f>
        <v>1</v>
      </c>
      <c r="K8" s="8">
        <f>'Modelo Variables V8'!K16</f>
        <v>0.1333333333333333</v>
      </c>
      <c r="L8" s="8">
        <f>'Modelo Variables V8'!L16</f>
        <v>0.8666666666666667</v>
      </c>
      <c r="M8" s="8">
        <f>'Modelo Variables V8'!M16</f>
        <v>0.19999999999999996</v>
      </c>
      <c r="N8" s="8">
        <f>'Modelo Variables V8'!N16</f>
        <v>0.8</v>
      </c>
      <c r="O8" s="12" t="str">
        <f>'Modelo Variables V8'!O16</f>
        <v>[-0.2, -0.3, +0.4, -0.1]</v>
      </c>
      <c r="P8" s="5" t="str">
        <f>'Modelo Variables V8'!P16</f>
        <v>F4</v>
      </c>
      <c r="Q8" s="8">
        <f>'Modelo Variables V8'!Q16</f>
        <v>0.16000000000000003</v>
      </c>
      <c r="R8" s="8">
        <f>'Modelo Variables V8'!R16</f>
        <v>0.24</v>
      </c>
      <c r="S8" s="8">
        <f>'Modelo Variables V8'!S16</f>
        <v>7.9999999999999988E-2</v>
      </c>
      <c r="T8" s="8">
        <f>'Modelo Variables V8'!T16</f>
        <v>8.0000000000000016E-2</v>
      </c>
      <c r="U8" s="32">
        <f t="shared" si="0"/>
        <v>0.13866666666666669</v>
      </c>
      <c r="V8" s="32">
        <f t="shared" si="1"/>
        <v>3.1999999999999994E-2</v>
      </c>
      <c r="W8" s="32">
        <f t="shared" si="2"/>
        <v>6.933333333333333E-2</v>
      </c>
      <c r="X8" s="32">
        <f t="shared" si="3"/>
        <v>6.9333333333333344E-2</v>
      </c>
    </row>
    <row r="9" spans="1:24" ht="15" customHeight="1">
      <c r="A9" s="5" t="s">
        <v>146</v>
      </c>
      <c r="B9" s="5" t="s">
        <v>191</v>
      </c>
      <c r="C9" s="5">
        <f>'Modelo Variables V8'!C18</f>
        <v>1.79</v>
      </c>
      <c r="D9" s="44" t="str">
        <f>'Modelo Variables V8'!D18</f>
        <v>índice (-4..4)</v>
      </c>
      <c r="E9" s="5">
        <f>'Modelo Variables V8'!E18</f>
        <v>-4</v>
      </c>
      <c r="F9" s="5">
        <f>'Modelo Variables V8'!F18</f>
        <v>4</v>
      </c>
      <c r="G9" s="5">
        <f>'Modelo Variables V8'!G18</f>
        <v>1.8</v>
      </c>
      <c r="H9" s="6" t="str">
        <f>'Modelo Variables V8'!H18</f>
        <v>↓</v>
      </c>
      <c r="I9" s="7">
        <f>'Modelo Variables V8'!I18</f>
        <v>0.99827586206896557</v>
      </c>
      <c r="J9" s="39">
        <f>'Modelo Variables V8'!J18</f>
        <v>2</v>
      </c>
      <c r="K9" s="8">
        <f>'Modelo Variables V8'!K18</f>
        <v>0.72375</v>
      </c>
      <c r="L9" s="8">
        <f>'Modelo Variables V8'!L18</f>
        <v>0.27625</v>
      </c>
      <c r="M9" s="8">
        <f>'Modelo Variables V8'!M18</f>
        <v>0.49913793103448278</v>
      </c>
      <c r="N9" s="8">
        <f>'Modelo Variables V8'!N18</f>
        <v>0.50086206896551722</v>
      </c>
      <c r="O9" s="12" t="str">
        <f>'Modelo Variables V8'!O18</f>
        <v>[+0.4, -0.6, +0.8, -0.1]</v>
      </c>
      <c r="P9" s="5" t="str">
        <f>'Modelo Variables V8'!P18</f>
        <v>F4</v>
      </c>
      <c r="Q9" s="8">
        <f>'Modelo Variables V8'!Q18</f>
        <v>0.39931034482758626</v>
      </c>
      <c r="R9" s="8">
        <f>'Modelo Variables V8'!R18</f>
        <v>0.60103448275862059</v>
      </c>
      <c r="S9" s="8">
        <f>'Modelo Variables V8'!S18</f>
        <v>0.79862068965517252</v>
      </c>
      <c r="T9" s="8">
        <f>'Modelo Variables V8'!T18</f>
        <v>0.10017241379310345</v>
      </c>
      <c r="U9" s="32">
        <f t="shared" si="0"/>
        <v>0.28900086206896558</v>
      </c>
      <c r="V9" s="32">
        <f t="shared" si="1"/>
        <v>0.43499870689655168</v>
      </c>
      <c r="W9" s="32">
        <f t="shared" si="2"/>
        <v>0.22061896551724142</v>
      </c>
      <c r="X9" s="32">
        <f t="shared" si="3"/>
        <v>2.7672629310344827E-2</v>
      </c>
    </row>
    <row r="10" spans="1:24" ht="15" customHeight="1">
      <c r="A10" s="5" t="s">
        <v>146</v>
      </c>
      <c r="B10" s="5" t="s">
        <v>140</v>
      </c>
      <c r="C10" s="5">
        <f>'Modelo Variables V8'!C20</f>
        <v>5.7</v>
      </c>
      <c r="D10" s="44" t="str">
        <f>'Modelo Variables V8'!D20</f>
        <v>%</v>
      </c>
      <c r="E10" s="5">
        <f>'Modelo Variables V8'!E20</f>
        <v>-5</v>
      </c>
      <c r="F10" s="5">
        <f>'Modelo Variables V8'!F20</f>
        <v>10</v>
      </c>
      <c r="G10" s="5">
        <f>'Modelo Variables V8'!G20</f>
        <v>5</v>
      </c>
      <c r="H10" s="6" t="str">
        <f>'Modelo Variables V8'!H20</f>
        <v>↓</v>
      </c>
      <c r="I10" s="7">
        <f>'Modelo Variables V8'!I20</f>
        <v>0.92999999999999994</v>
      </c>
      <c r="J10" s="39">
        <f>'Modelo Variables V8'!J20</f>
        <v>1.5</v>
      </c>
      <c r="K10" s="8">
        <f>'Modelo Variables V8'!K20</f>
        <v>0.71333333333333326</v>
      </c>
      <c r="L10" s="8">
        <f>'Modelo Variables V8'!L20</f>
        <v>0.28666666666666674</v>
      </c>
      <c r="M10" s="8">
        <f>'Modelo Variables V8'!M20</f>
        <v>0.57000000000000006</v>
      </c>
      <c r="N10" s="8">
        <f>'Modelo Variables V8'!N20</f>
        <v>0.43</v>
      </c>
      <c r="O10" s="12" t="str">
        <f>'Modelo Variables V8'!O20</f>
        <v>[-0.2, -0.3, +0.5, -0.1]</v>
      </c>
      <c r="P10" s="5" t="str">
        <f>'Modelo Variables V8'!P20</f>
        <v>F4</v>
      </c>
      <c r="Q10" s="8">
        <f>'Modelo Variables V8'!Q20</f>
        <v>0.129</v>
      </c>
      <c r="R10" s="8">
        <f>'Modelo Variables V8'!R20</f>
        <v>0.19349999999999998</v>
      </c>
      <c r="S10" s="8">
        <f>'Modelo Variables V8'!S20</f>
        <v>0.42750000000000005</v>
      </c>
      <c r="T10" s="8">
        <f>'Modelo Variables V8'!T20</f>
        <v>6.4500000000000002E-2</v>
      </c>
      <c r="U10" s="32">
        <f t="shared" si="0"/>
        <v>3.6980000000000013E-2</v>
      </c>
      <c r="V10" s="32">
        <f t="shared" si="1"/>
        <v>0.13802999999999996</v>
      </c>
      <c r="W10" s="32">
        <f t="shared" si="2"/>
        <v>0.12255000000000005</v>
      </c>
      <c r="X10" s="32">
        <f t="shared" si="3"/>
        <v>1.8490000000000006E-2</v>
      </c>
    </row>
    <row r="11" spans="1:24" ht="18.75" customHeight="1">
      <c r="A11" s="5" t="s">
        <v>208</v>
      </c>
      <c r="B11" s="5" t="s">
        <v>221</v>
      </c>
      <c r="C11" s="5">
        <f>'Modelo Variables V8'!C23</f>
        <v>2.3E-2</v>
      </c>
      <c r="D11" s="44" t="str">
        <f>'Modelo Variables V8'!D23</f>
        <v>índice (0–1)</v>
      </c>
      <c r="E11" s="5">
        <f>'Modelo Variables V8'!E23</f>
        <v>0</v>
      </c>
      <c r="F11" s="5">
        <f>'Modelo Variables V8'!F23</f>
        <v>1</v>
      </c>
      <c r="G11" s="5">
        <f>'Modelo Variables V8'!G23</f>
        <v>0.4</v>
      </c>
      <c r="H11" s="6" t="str">
        <f>'Modelo Variables V8'!H23</f>
        <v>↓</v>
      </c>
      <c r="I11" s="7">
        <f>'Modelo Variables V8'!I23</f>
        <v>0.37166666666666659</v>
      </c>
      <c r="J11" s="39">
        <f>'Modelo Variables V8'!J23</f>
        <v>1</v>
      </c>
      <c r="K11" s="8">
        <f>'Modelo Variables V8'!K23</f>
        <v>2.3E-2</v>
      </c>
      <c r="L11" s="8">
        <f>'Modelo Variables V8'!L23</f>
        <v>0.97699999999999998</v>
      </c>
      <c r="M11" s="8">
        <f>'Modelo Variables V8'!M23</f>
        <v>2.8749999999999998E-2</v>
      </c>
      <c r="N11" s="8">
        <f>'Modelo Variables V8'!N23</f>
        <v>0.97124999999999995</v>
      </c>
      <c r="O11" s="12" t="str">
        <f>'Modelo Variables V8'!O23</f>
        <v>[+0.2, -0.3, +0.5, -0.1]</v>
      </c>
      <c r="P11" s="5" t="str">
        <f>'Modelo Variables V8'!P23</f>
        <v>F3,F4</v>
      </c>
      <c r="Q11" s="8">
        <f>'Modelo Variables V8'!Q23</f>
        <v>5.7499999999999999E-3</v>
      </c>
      <c r="R11" s="8">
        <f>'Modelo Variables V8'!R23</f>
        <v>0.291375</v>
      </c>
      <c r="S11" s="8">
        <f>'Modelo Variables V8'!S23</f>
        <v>1.4374999999999999E-2</v>
      </c>
      <c r="T11" s="8">
        <f>'Modelo Variables V8'!T23</f>
        <v>9.7125000000000003E-2</v>
      </c>
      <c r="U11" s="32">
        <f t="shared" si="0"/>
        <v>1.3224999999999999E-4</v>
      </c>
      <c r="V11" s="32">
        <f t="shared" si="1"/>
        <v>6.7016250000000001E-3</v>
      </c>
      <c r="W11" s="32">
        <f t="shared" si="2"/>
        <v>1.4044374999999998E-2</v>
      </c>
      <c r="X11" s="32">
        <f t="shared" si="3"/>
        <v>9.4891125000000007E-2</v>
      </c>
    </row>
    <row r="12" spans="1:24" ht="15" customHeight="1">
      <c r="A12" s="5" t="s">
        <v>208</v>
      </c>
      <c r="B12" s="5" t="s">
        <v>228</v>
      </c>
      <c r="C12" s="5">
        <f>'Modelo Variables V8'!C24</f>
        <v>19</v>
      </c>
      <c r="D12" s="44" t="str">
        <f>'Modelo Variables V8'!D24</f>
        <v>%</v>
      </c>
      <c r="E12" s="5">
        <f>'Modelo Variables V8'!E24</f>
        <v>-5</v>
      </c>
      <c r="F12" s="5">
        <f>'Modelo Variables V8'!F24</f>
        <v>25</v>
      </c>
      <c r="G12" s="5">
        <f>'Modelo Variables V8'!G24</f>
        <v>10</v>
      </c>
      <c r="H12" s="6" t="str">
        <f>'Modelo Variables V8'!H24</f>
        <v>↑</v>
      </c>
      <c r="I12" s="7">
        <f>'Modelo Variables V8'!I24</f>
        <v>0.4</v>
      </c>
      <c r="J12" s="39">
        <f>'Modelo Variables V8'!J24</f>
        <v>1</v>
      </c>
      <c r="K12" s="8">
        <f>'Modelo Variables V8'!K24</f>
        <v>0.8</v>
      </c>
      <c r="L12" s="8">
        <f>'Modelo Variables V8'!L24</f>
        <v>0.19999999999999996</v>
      </c>
      <c r="M12" s="8">
        <f>'Modelo Variables V8'!M24</f>
        <v>0.8</v>
      </c>
      <c r="N12" s="8">
        <f>'Modelo Variables V8'!N24</f>
        <v>0.2</v>
      </c>
      <c r="O12" s="12" t="str">
        <f>'Modelo Variables V8'!O24</f>
        <v>[-0.2, +0.5, +0.2, +0.1]</v>
      </c>
      <c r="P12" s="5" t="str">
        <f>'Modelo Variables V8'!P24</f>
        <v>F4</v>
      </c>
      <c r="Q12" s="8">
        <f>'Modelo Variables V8'!Q24</f>
        <v>4.0000000000000008E-2</v>
      </c>
      <c r="R12" s="8">
        <f>'Modelo Variables V8'!R24</f>
        <v>0.4</v>
      </c>
      <c r="S12" s="8">
        <f>'Modelo Variables V8'!S24</f>
        <v>0.16000000000000003</v>
      </c>
      <c r="T12" s="8">
        <f>'Modelo Variables V8'!T24</f>
        <v>8.0000000000000016E-2</v>
      </c>
      <c r="U12" s="32">
        <f t="shared" si="0"/>
        <v>8.0000000000000002E-3</v>
      </c>
      <c r="V12" s="32">
        <f t="shared" si="1"/>
        <v>0.32000000000000006</v>
      </c>
      <c r="W12" s="32">
        <f t="shared" si="2"/>
        <v>0.12800000000000003</v>
      </c>
      <c r="X12" s="32">
        <f t="shared" si="3"/>
        <v>6.4000000000000015E-2</v>
      </c>
    </row>
    <row r="13" spans="1:24" ht="15" customHeight="1">
      <c r="A13" s="5" t="s">
        <v>208</v>
      </c>
      <c r="B13" s="5" t="s">
        <v>238</v>
      </c>
      <c r="C13" s="5">
        <f>'Modelo Variables V8'!C26</f>
        <v>6.52</v>
      </c>
      <c r="D13" s="44" t="str">
        <f>'Modelo Variables V8'!D26</f>
        <v>índice (ENP)</v>
      </c>
      <c r="E13" s="5">
        <f>'Modelo Variables V8'!E26</f>
        <v>2.5</v>
      </c>
      <c r="F13" s="5">
        <f>'Modelo Variables V8'!F26</f>
        <v>7</v>
      </c>
      <c r="G13" s="5">
        <f>'Modelo Variables V8'!G26</f>
        <v>4</v>
      </c>
      <c r="H13" s="6" t="str">
        <f>'Modelo Variables V8'!H26</f>
        <v>↓</v>
      </c>
      <c r="I13" s="7">
        <f>'Modelo Variables V8'!I26</f>
        <v>0.16000000000000014</v>
      </c>
      <c r="J13" s="39">
        <f>'Modelo Variables V8'!J26</f>
        <v>1</v>
      </c>
      <c r="K13" s="8">
        <f>'Modelo Variables V8'!K26</f>
        <v>0.8933333333333332</v>
      </c>
      <c r="L13" s="8">
        <f>'Modelo Variables V8'!L26</f>
        <v>0.1066666666666668</v>
      </c>
      <c r="M13" s="8">
        <f>'Modelo Variables V8'!M26</f>
        <v>0.91999999999999993</v>
      </c>
      <c r="N13" s="8">
        <f>'Modelo Variables V8'!N26</f>
        <v>8.0000000000000071E-2</v>
      </c>
      <c r="O13" s="12" t="str">
        <f>'Modelo Variables V8'!O26</f>
        <v>[+0.3, -0.5, +0.6, -0.1]</v>
      </c>
      <c r="P13" s="5" t="str">
        <f>'Modelo Variables V8'!P26</f>
        <v>F4</v>
      </c>
      <c r="Q13" s="8">
        <f>'Modelo Variables V8'!Q26</f>
        <v>0.27599999999999997</v>
      </c>
      <c r="R13" s="8">
        <f>'Modelo Variables V8'!R26</f>
        <v>4.0000000000000036E-2</v>
      </c>
      <c r="S13" s="8">
        <f>'Modelo Variables V8'!S26</f>
        <v>0.55199999999999994</v>
      </c>
      <c r="T13" s="8">
        <f>'Modelo Variables V8'!T26</f>
        <v>8.0000000000000071E-3</v>
      </c>
      <c r="U13" s="32">
        <f t="shared" si="0"/>
        <v>0.24655999999999995</v>
      </c>
      <c r="V13" s="32">
        <f t="shared" si="1"/>
        <v>3.573333333333336E-2</v>
      </c>
      <c r="W13" s="32">
        <f t="shared" si="2"/>
        <v>5.8880000000000064E-2</v>
      </c>
      <c r="X13" s="32">
        <f t="shared" si="3"/>
        <v>8.5333333333333517E-4</v>
      </c>
    </row>
    <row r="14" spans="1:24" ht="18.75" customHeight="1">
      <c r="A14" s="5" t="s">
        <v>250</v>
      </c>
      <c r="B14" s="5" t="s">
        <v>101</v>
      </c>
      <c r="C14" s="5">
        <f>'Modelo Variables V8'!C28</f>
        <v>7.8</v>
      </c>
      <c r="D14" s="44" t="str">
        <f>'Modelo Variables V8'!D28</f>
        <v>%</v>
      </c>
      <c r="E14" s="5">
        <f>'Modelo Variables V8'!E28</f>
        <v>3</v>
      </c>
      <c r="F14" s="5">
        <f>'Modelo Variables V8'!F28</f>
        <v>9</v>
      </c>
      <c r="G14" s="5">
        <f>'Modelo Variables V8'!G28</f>
        <v>6</v>
      </c>
      <c r="H14" s="6" t="str">
        <f>'Modelo Variables V8'!H28</f>
        <v>↑</v>
      </c>
      <c r="I14" s="7">
        <f>'Modelo Variables V8'!I28</f>
        <v>0.4</v>
      </c>
      <c r="J14" s="39">
        <f>'Modelo Variables V8'!J28</f>
        <v>1.5</v>
      </c>
      <c r="K14" s="8">
        <f>'Modelo Variables V8'!K28</f>
        <v>0.79999999999999993</v>
      </c>
      <c r="L14" s="8">
        <f>'Modelo Variables V8'!L28</f>
        <v>0.20000000000000007</v>
      </c>
      <c r="M14" s="8">
        <f>'Modelo Variables V8'!M28</f>
        <v>0.8</v>
      </c>
      <c r="N14" s="8">
        <f>'Modelo Variables V8'!N28</f>
        <v>0.2</v>
      </c>
      <c r="O14" s="12" t="str">
        <f>'Modelo Variables V8'!O28</f>
        <v>[+0.3, -0.2, +0.1, +0.2]</v>
      </c>
      <c r="P14" s="5" t="str">
        <f>'Modelo Variables V8'!P28</f>
        <v>F2,F4</v>
      </c>
      <c r="Q14" s="8">
        <f>'Modelo Variables V8'!Q28</f>
        <v>0.36</v>
      </c>
      <c r="R14" s="8">
        <f>'Modelo Variables V8'!R28</f>
        <v>6.0000000000000012E-2</v>
      </c>
      <c r="S14" s="8">
        <f>'Modelo Variables V8'!S28</f>
        <v>0.12000000000000002</v>
      </c>
      <c r="T14" s="8">
        <f>'Modelo Variables V8'!T28</f>
        <v>0.24000000000000005</v>
      </c>
      <c r="U14" s="32">
        <f t="shared" si="0"/>
        <v>0.28799999999999998</v>
      </c>
      <c r="V14" s="32">
        <f t="shared" si="1"/>
        <v>4.8000000000000008E-2</v>
      </c>
      <c r="W14" s="32">
        <f t="shared" si="2"/>
        <v>9.6000000000000016E-2</v>
      </c>
      <c r="X14" s="32">
        <f t="shared" si="3"/>
        <v>0.19200000000000003</v>
      </c>
    </row>
    <row r="15" spans="1:24" ht="18.75" customHeight="1">
      <c r="A15" s="5" t="s">
        <v>250</v>
      </c>
      <c r="B15" s="5" t="s">
        <v>256</v>
      </c>
      <c r="C15" s="5">
        <f>'Modelo Variables V8'!C29</f>
        <v>59.8</v>
      </c>
      <c r="D15" s="44" t="str">
        <f>'Modelo Variables V8'!D29</f>
        <v>nivel</v>
      </c>
      <c r="E15" s="5">
        <f>'Modelo Variables V8'!E29</f>
        <v>45</v>
      </c>
      <c r="F15" s="5">
        <f>'Modelo Variables V8'!F29</f>
        <v>65</v>
      </c>
      <c r="G15" s="5">
        <f>'Modelo Variables V8'!G29</f>
        <v>50</v>
      </c>
      <c r="H15" s="6" t="str">
        <f>'Modelo Variables V8'!H29</f>
        <v>↑</v>
      </c>
      <c r="I15" s="7">
        <f>'Modelo Variables V8'!I29</f>
        <v>0.3466666666666669</v>
      </c>
      <c r="J15" s="39">
        <f>'Modelo Variables V8'!J29</f>
        <v>1</v>
      </c>
      <c r="K15" s="8">
        <f>'Modelo Variables V8'!K29</f>
        <v>0.73999999999999988</v>
      </c>
      <c r="L15" s="8">
        <f>'Modelo Variables V8'!L29</f>
        <v>0.26000000000000012</v>
      </c>
      <c r="M15" s="8">
        <f>'Modelo Variables V8'!M29</f>
        <v>0.82666666666666655</v>
      </c>
      <c r="N15" s="8">
        <f>'Modelo Variables V8'!N29</f>
        <v>0.17333333333333345</v>
      </c>
      <c r="O15" s="12" t="str">
        <f>'Modelo Variables V8'!O29</f>
        <v>[+0.2, -0.1, +0.1, +0.1]</v>
      </c>
      <c r="P15" s="5" t="str">
        <f>'Modelo Variables V8'!P29</f>
        <v>F2,F4</v>
      </c>
      <c r="Q15" s="8">
        <f>'Modelo Variables V8'!Q29</f>
        <v>0.16533333333333333</v>
      </c>
      <c r="R15" s="8">
        <f>'Modelo Variables V8'!R29</f>
        <v>1.7333333333333346E-2</v>
      </c>
      <c r="S15" s="8">
        <f>'Modelo Variables V8'!S29</f>
        <v>8.2666666666666666E-2</v>
      </c>
      <c r="T15" s="8">
        <f>'Modelo Variables V8'!T29</f>
        <v>8.2666666666666666E-2</v>
      </c>
      <c r="U15" s="32">
        <f t="shared" si="0"/>
        <v>0.12234666666666665</v>
      </c>
      <c r="V15" s="32">
        <f t="shared" si="1"/>
        <v>1.2826666666666674E-2</v>
      </c>
      <c r="W15" s="32">
        <f t="shared" si="2"/>
        <v>6.1173333333333323E-2</v>
      </c>
      <c r="X15" s="32">
        <f t="shared" si="3"/>
        <v>6.1173333333333323E-2</v>
      </c>
    </row>
    <row r="16" spans="1:24" ht="18.75" customHeight="1">
      <c r="A16" s="5" t="s">
        <v>250</v>
      </c>
      <c r="B16" s="5" t="s">
        <v>157</v>
      </c>
      <c r="C16" s="5">
        <f>'Modelo Variables V8'!C33</f>
        <v>81</v>
      </c>
      <c r="D16" s="44" t="str">
        <f>'Modelo Variables V8'!D33</f>
        <v>%</v>
      </c>
      <c r="E16" s="5">
        <f>'Modelo Variables V8'!E33</f>
        <v>70</v>
      </c>
      <c r="F16" s="5">
        <f>'Modelo Variables V8'!F33</f>
        <v>90</v>
      </c>
      <c r="G16" s="5">
        <f>'Modelo Variables V8'!G33</f>
        <v>85</v>
      </c>
      <c r="H16" s="6" t="str">
        <f>'Modelo Variables V8'!H33</f>
        <v>↓</v>
      </c>
      <c r="I16" s="7">
        <f>'Modelo Variables V8'!I33</f>
        <v>0.73333333333333339</v>
      </c>
      <c r="J16" s="39">
        <f>'Modelo Variables V8'!J33</f>
        <v>0.5</v>
      </c>
      <c r="K16" s="8">
        <f>'Modelo Variables V8'!K33</f>
        <v>0.55000000000000004</v>
      </c>
      <c r="L16" s="8">
        <f>'Modelo Variables V8'!L33</f>
        <v>0.44999999999999996</v>
      </c>
      <c r="M16" s="8">
        <f>'Modelo Variables V8'!M33</f>
        <v>0.36666666666666664</v>
      </c>
      <c r="N16" s="8">
        <f>'Modelo Variables V8'!N33</f>
        <v>0.6333333333333333</v>
      </c>
      <c r="O16" s="12" t="str">
        <f>'Modelo Variables V8'!O33</f>
        <v>[+0.1, -0.1, +0.1, -0.1]</v>
      </c>
      <c r="P16" s="5" t="str">
        <f>'Modelo Variables V8'!P33</f>
        <v>F3,F4</v>
      </c>
      <c r="Q16" s="8">
        <f>'Modelo Variables V8'!Q33</f>
        <v>1.8333333333333333E-2</v>
      </c>
      <c r="R16" s="8">
        <f>'Modelo Variables V8'!R33</f>
        <v>3.1666666666666669E-2</v>
      </c>
      <c r="S16" s="8">
        <f>'Modelo Variables V8'!S33</f>
        <v>1.8333333333333333E-2</v>
      </c>
      <c r="T16" s="8">
        <f>'Modelo Variables V8'!T33</f>
        <v>3.1666666666666669E-2</v>
      </c>
      <c r="U16" s="32">
        <f t="shared" si="0"/>
        <v>1.0083333333333335E-2</v>
      </c>
      <c r="V16" s="32">
        <f t="shared" si="1"/>
        <v>1.7416666666666671E-2</v>
      </c>
      <c r="W16" s="32">
        <f t="shared" si="2"/>
        <v>8.2499999999999987E-3</v>
      </c>
      <c r="X16" s="32">
        <f t="shared" si="3"/>
        <v>1.4250000000000001E-2</v>
      </c>
    </row>
    <row r="17" spans="1:24" ht="18.75" customHeight="1">
      <c r="A17" s="5" t="s">
        <v>250</v>
      </c>
      <c r="B17" s="5" t="s">
        <v>262</v>
      </c>
      <c r="C17" s="5">
        <f>'Modelo Variables V8'!C30</f>
        <v>81.040000000000006</v>
      </c>
      <c r="D17" s="44" t="str">
        <f>'Modelo Variables V8'!D30</f>
        <v>USD miles de millones</v>
      </c>
      <c r="E17" s="5">
        <f>'Modelo Variables V8'!E30</f>
        <v>50</v>
      </c>
      <c r="F17" s="5">
        <f>'Modelo Variables V8'!F30</f>
        <v>100</v>
      </c>
      <c r="G17" s="5">
        <f>'Modelo Variables V8'!G30</f>
        <v>75</v>
      </c>
      <c r="H17" s="6" t="str">
        <f>'Modelo Variables V8'!H30</f>
        <v>↑</v>
      </c>
      <c r="I17" s="7">
        <f>'Modelo Variables V8'!I30</f>
        <v>0.75839999999999974</v>
      </c>
      <c r="J17" s="39">
        <f>'Modelo Variables V8'!J30</f>
        <v>0.5</v>
      </c>
      <c r="K17" s="8">
        <f>'Modelo Variables V8'!K30</f>
        <v>0.62080000000000013</v>
      </c>
      <c r="L17" s="8">
        <f>'Modelo Variables V8'!L30</f>
        <v>0.37919999999999987</v>
      </c>
      <c r="M17" s="8">
        <f>'Modelo Variables V8'!M30</f>
        <v>0.62080000000000013</v>
      </c>
      <c r="N17" s="8">
        <f>'Modelo Variables V8'!N30</f>
        <v>0.37919999999999987</v>
      </c>
      <c r="O17" s="12" t="str">
        <f>'Modelo Variables V8'!O30</f>
        <v>[+0.1, -0.1, 0.0, +0.1]</v>
      </c>
      <c r="P17" s="5" t="str">
        <f>'Modelo Variables V8'!P30</f>
        <v>F2,F4</v>
      </c>
      <c r="Q17" s="8">
        <f>'Modelo Variables V8'!Q30</f>
        <v>3.1040000000000009E-2</v>
      </c>
      <c r="R17" s="8">
        <f>'Modelo Variables V8'!R30</f>
        <v>1.8959999999999994E-2</v>
      </c>
      <c r="S17" s="8">
        <f>'Modelo Variables V8'!S30</f>
        <v>0</v>
      </c>
      <c r="T17" s="8">
        <f>'Modelo Variables V8'!T30</f>
        <v>3.1040000000000009E-2</v>
      </c>
      <c r="U17" s="32">
        <f t="shared" si="0"/>
        <v>1.9269632000000009E-2</v>
      </c>
      <c r="V17" s="32">
        <f t="shared" si="1"/>
        <v>1.1770367999999998E-2</v>
      </c>
      <c r="W17" s="32">
        <f t="shared" si="2"/>
        <v>0</v>
      </c>
      <c r="X17" s="32">
        <f t="shared" si="3"/>
        <v>1.9269632000000009E-2</v>
      </c>
    </row>
    <row r="18" spans="1:24" ht="15" customHeight="1">
      <c r="A18" s="5" t="s">
        <v>296</v>
      </c>
      <c r="B18" s="13" t="s">
        <v>380</v>
      </c>
      <c r="C18" s="5">
        <f>'Modelo Variables V8'!C50</f>
        <v>2.5</v>
      </c>
      <c r="D18" s="44" t="str">
        <f>'Modelo Variables V8'!D50</f>
        <v>%</v>
      </c>
      <c r="E18" s="5">
        <f>'Modelo Variables V8'!E50</f>
        <v>2</v>
      </c>
      <c r="F18" s="5">
        <f>'Modelo Variables V8'!F50</f>
        <v>3.5</v>
      </c>
      <c r="G18" s="5">
        <f>'Modelo Variables V8'!G50</f>
        <v>3</v>
      </c>
      <c r="H18" s="6" t="str">
        <f>'Modelo Variables V8'!H50</f>
        <v>↓</v>
      </c>
      <c r="I18" s="7">
        <f>'Modelo Variables V8'!I50</f>
        <v>0.5</v>
      </c>
      <c r="J18" s="39">
        <f>'Modelo Variables V8'!J50</f>
        <v>1</v>
      </c>
      <c r="K18" s="8">
        <f>'Modelo Variables V8'!K50</f>
        <v>0.33333333333333331</v>
      </c>
      <c r="L18" s="8">
        <f>'Modelo Variables V8'!L50</f>
        <v>0.66666666666666674</v>
      </c>
      <c r="M18" s="8">
        <f>'Modelo Variables V8'!M50</f>
        <v>0.25</v>
      </c>
      <c r="N18" s="8">
        <f>'Modelo Variables V8'!N50</f>
        <v>0.75</v>
      </c>
      <c r="O18" s="12" t="str">
        <f>'Modelo Variables V8'!O50</f>
        <v>[+0.3, -0.2, +0.5, -0.1]</v>
      </c>
      <c r="P18" s="5" t="str">
        <f>'Modelo Variables V8'!P50</f>
        <v>F4</v>
      </c>
      <c r="Q18" s="8">
        <f>'Modelo Variables V8'!Q50</f>
        <v>7.4999999999999997E-2</v>
      </c>
      <c r="R18" s="8">
        <f>'Modelo Variables V8'!R50</f>
        <v>0.15000000000000002</v>
      </c>
      <c r="S18" s="8">
        <f>'Modelo Variables V8'!S50</f>
        <v>0.125</v>
      </c>
      <c r="T18" s="8">
        <f>'Modelo Variables V8'!T50</f>
        <v>7.5000000000000011E-2</v>
      </c>
      <c r="U18" s="32">
        <f t="shared" si="0"/>
        <v>2.4999999999999998E-2</v>
      </c>
      <c r="V18" s="32">
        <f t="shared" si="1"/>
        <v>0.05</v>
      </c>
      <c r="W18" s="32">
        <f t="shared" si="2"/>
        <v>8.3333333333333343E-2</v>
      </c>
      <c r="X18" s="32">
        <f t="shared" si="3"/>
        <v>5.000000000000001E-2</v>
      </c>
    </row>
    <row r="19" spans="1:24">
      <c r="P19" s="49" t="s">
        <v>407</v>
      </c>
      <c r="Q19" s="49">
        <f>SUM(Q2:Q18)</f>
        <v>3.7729670114942531</v>
      </c>
      <c r="R19" s="49">
        <f>SUM(R2:R18)</f>
        <v>4.4576361494252863</v>
      </c>
      <c r="S19" s="49">
        <f>SUM(S2:S18)</f>
        <v>5.0928290229885063</v>
      </c>
      <c r="T19" s="49">
        <f>SUM(T2:T18)</f>
        <v>1.2146374137931035</v>
      </c>
    </row>
    <row r="21" spans="1:24">
      <c r="Q21" s="50"/>
      <c r="R21" s="50" t="s">
        <v>408</v>
      </c>
      <c r="S21" s="50"/>
      <c r="T21" s="50"/>
      <c r="U21" s="51">
        <f>SUMPRODUCT(U2:U18,Q2:Q18)</f>
        <v>1.4596132590438005</v>
      </c>
      <c r="V21" s="51">
        <f>SUMPRODUCT(V2:V18,R2:R18)</f>
        <v>1.0690698028231205</v>
      </c>
      <c r="W21" s="51">
        <f>SUMPRODUCT(W2:W18,S2:S18)</f>
        <v>0.85506305011285233</v>
      </c>
      <c r="X21" s="51">
        <f>SUMPRODUCT(X2:X18,T2:T18)</f>
        <v>9.7343762511912374E-2</v>
      </c>
    </row>
    <row r="22" spans="1:24" ht="15.75" customHeight="1">
      <c r="B22" s="26" t="s">
        <v>22</v>
      </c>
    </row>
    <row r="23" spans="1:24">
      <c r="O23" s="52"/>
      <c r="P23" s="52"/>
      <c r="Q23" s="52" t="s">
        <v>409</v>
      </c>
      <c r="R23" s="52"/>
      <c r="S23" s="52"/>
      <c r="T23" s="52"/>
      <c r="U23" s="53">
        <f>U21/Q19</f>
        <v>0.38686085899959471</v>
      </c>
      <c r="V23" s="53">
        <f>V21/R19</f>
        <v>0.23982886152808891</v>
      </c>
      <c r="W23" s="53">
        <f>W21/S19</f>
        <v>0.16789549506829812</v>
      </c>
      <c r="X23" s="53">
        <f>X21/T19</f>
        <v>8.0142239491804032E-2</v>
      </c>
    </row>
    <row r="24" spans="1:24" ht="18" customHeight="1">
      <c r="B24" s="15" t="s">
        <v>411</v>
      </c>
    </row>
    <row r="25" spans="1:24" ht="75" customHeight="1">
      <c r="D25" s="36" t="s">
        <v>412</v>
      </c>
      <c r="P25" s="15" t="s">
        <v>413</v>
      </c>
    </row>
    <row r="26" spans="1:24" ht="16.5" customHeight="1" thickBot="1">
      <c r="B26" s="26" t="s">
        <v>414</v>
      </c>
    </row>
    <row r="27" spans="1:24">
      <c r="P27" s="59" t="s">
        <v>415</v>
      </c>
      <c r="Q27" s="60" t="s">
        <v>416</v>
      </c>
      <c r="R27" s="60" t="s">
        <v>417</v>
      </c>
      <c r="S27" s="60" t="s">
        <v>418</v>
      </c>
      <c r="T27" s="60" t="s">
        <v>419</v>
      </c>
      <c r="U27" s="64" t="s">
        <v>420</v>
      </c>
      <c r="V27" s="64" t="s">
        <v>421</v>
      </c>
      <c r="W27" s="64" t="s">
        <v>422</v>
      </c>
      <c r="X27" s="61" t="s">
        <v>423</v>
      </c>
    </row>
    <row r="28" spans="1:24">
      <c r="B28" s="17" t="s">
        <v>424</v>
      </c>
      <c r="P28" s="62" t="s">
        <v>146</v>
      </c>
      <c r="Q28" s="46">
        <v>0.3</v>
      </c>
      <c r="R28" s="46">
        <v>0.45</v>
      </c>
      <c r="S28" s="46">
        <v>0.35</v>
      </c>
      <c r="T28" s="46">
        <v>0.4</v>
      </c>
      <c r="U28" s="46">
        <f>POWER((V28*W28*X28),1/3)</f>
        <v>0.35440729987001934</v>
      </c>
      <c r="V28" s="46">
        <f>K8*0.4+K10*0.3+L5*0.3</f>
        <v>0.29364102564102562</v>
      </c>
      <c r="W28" s="46">
        <f>K6*0.5+L9*0.5</f>
        <v>0.45479166666666665</v>
      </c>
      <c r="X28" s="65">
        <f>K7</f>
        <v>0.33333333333333331</v>
      </c>
    </row>
    <row r="29" spans="1:24">
      <c r="B29" s="17" t="s">
        <v>425</v>
      </c>
      <c r="P29" s="62" t="s">
        <v>92</v>
      </c>
      <c r="Q29" s="46">
        <v>0.4</v>
      </c>
      <c r="R29" s="46">
        <v>0.2</v>
      </c>
      <c r="S29" s="46">
        <v>0.25</v>
      </c>
      <c r="T29" s="46">
        <v>0.3</v>
      </c>
      <c r="U29" s="46">
        <f>POWER((V29*W29*X29),1/3)</f>
        <v>0.53012435456513962</v>
      </c>
      <c r="V29" s="46">
        <f>K3*0.5+K4*0.5</f>
        <v>0.36515151515151512</v>
      </c>
      <c r="W29" s="46">
        <v>0.85</v>
      </c>
      <c r="X29" s="65">
        <f>L2</f>
        <v>0.48</v>
      </c>
    </row>
    <row r="30" spans="1:24">
      <c r="B30" s="17" t="s">
        <v>426</v>
      </c>
      <c r="P30" s="62" t="s">
        <v>208</v>
      </c>
      <c r="Q30" s="46">
        <v>0.2</v>
      </c>
      <c r="R30" s="46">
        <v>0.3</v>
      </c>
      <c r="S30" s="46">
        <v>0.3</v>
      </c>
      <c r="T30" s="46">
        <v>0.2</v>
      </c>
      <c r="U30" s="46">
        <f>POWER((V30*W30*X30),1/3)</f>
        <v>0.42324520592357751</v>
      </c>
      <c r="V30" s="46">
        <f>K12*0.5+L11*0.5</f>
        <v>0.88850000000000007</v>
      </c>
      <c r="W30" s="46">
        <f>L13</f>
        <v>0.1066666666666668</v>
      </c>
      <c r="X30" s="65">
        <f>K12</f>
        <v>0.8</v>
      </c>
    </row>
    <row r="31" spans="1:24" ht="15.75" customHeight="1" thickBot="1">
      <c r="B31" s="16"/>
      <c r="P31" s="68" t="s">
        <v>250</v>
      </c>
      <c r="Q31" s="69">
        <v>0.1</v>
      </c>
      <c r="R31" s="69">
        <v>0.05</v>
      </c>
      <c r="S31" s="69">
        <v>0.1</v>
      </c>
      <c r="T31" s="69">
        <v>0.1</v>
      </c>
      <c r="U31" s="63">
        <f>POWER((V31*W31*X31),1/3)</f>
        <v>0.6666508440689155</v>
      </c>
      <c r="V31" s="63">
        <f>K17*0.3+K15*0.4+L16*0.3</f>
        <v>0.61724000000000001</v>
      </c>
      <c r="W31" s="63">
        <v>0.6</v>
      </c>
      <c r="X31" s="66">
        <f>K14</f>
        <v>0.79999999999999993</v>
      </c>
    </row>
    <row r="32" spans="1:24" ht="15.75" customHeight="1" thickBot="1">
      <c r="B32" s="17" t="s">
        <v>427</v>
      </c>
      <c r="P32" s="67" t="s">
        <v>53</v>
      </c>
      <c r="Q32" s="70">
        <f>SUMPRODUCT(Q28:Q31,$U28:$U31)</f>
        <v>0.4696860573786687</v>
      </c>
      <c r="R32" s="70">
        <f>SUMPRODUCT(R28:R31,$U28:$U31)</f>
        <v>0.42581425983505566</v>
      </c>
      <c r="S32" s="70">
        <f>SUMPRODUCT(S28:S31,$U28:$U31)</f>
        <v>0.45021228977975647</v>
      </c>
      <c r="T32" s="71">
        <f>SUMPRODUCT(T28:T31,$U28:$U31)</f>
        <v>0.45211435190915672</v>
      </c>
    </row>
    <row r="33" spans="2:20" ht="30.75" customHeight="1" thickBot="1">
      <c r="B33" s="16"/>
      <c r="O33" s="73" t="s">
        <v>428</v>
      </c>
      <c r="P33" s="72">
        <f>1+K18</f>
        <v>1.3333333333333333</v>
      </c>
    </row>
    <row r="34" spans="2:20" ht="15.75" customHeight="1" thickBot="1">
      <c r="B34" s="17" t="s">
        <v>429</v>
      </c>
      <c r="P34" s="83" t="s">
        <v>430</v>
      </c>
      <c r="Q34" s="80">
        <f>Q32*$P$33</f>
        <v>0.62624807650489156</v>
      </c>
      <c r="R34" s="80">
        <f>R32*$P$33</f>
        <v>0.56775234644674089</v>
      </c>
      <c r="S34" s="80">
        <f>S32*$P$33</f>
        <v>0.60028305303967522</v>
      </c>
      <c r="T34" s="80">
        <f>T32*$P$33</f>
        <v>0.60281913587887559</v>
      </c>
    </row>
    <row r="35" spans="2:20">
      <c r="B35" s="17" t="s">
        <v>431</v>
      </c>
    </row>
    <row r="36" spans="2:20">
      <c r="B36" s="16"/>
    </row>
    <row r="37" spans="2:20">
      <c r="B37" s="17" t="s">
        <v>432</v>
      </c>
    </row>
    <row r="39" spans="2:20" ht="15.75" customHeight="1">
      <c r="B39" s="26" t="s">
        <v>433</v>
      </c>
    </row>
    <row r="41" spans="2:20">
      <c r="B41" s="17" t="s">
        <v>434</v>
      </c>
    </row>
    <row r="42" spans="2:20">
      <c r="B42" s="16"/>
    </row>
    <row r="43" spans="2:20">
      <c r="B43" s="17" t="s">
        <v>435</v>
      </c>
    </row>
    <row r="44" spans="2:20">
      <c r="B44" s="16"/>
    </row>
    <row r="45" spans="2:20">
      <c r="B45" s="17" t="s">
        <v>436</v>
      </c>
    </row>
    <row r="46" spans="2:20">
      <c r="B46" s="16"/>
    </row>
    <row r="47" spans="2:20">
      <c r="B47" s="17" t="s">
        <v>437</v>
      </c>
    </row>
    <row r="49" spans="2:2" ht="15.75" customHeight="1">
      <c r="B49" s="26" t="s">
        <v>438</v>
      </c>
    </row>
    <row r="51" spans="2:2">
      <c r="B51" s="17" t="s">
        <v>439</v>
      </c>
    </row>
    <row r="52" spans="2:2">
      <c r="B52" s="16"/>
    </row>
    <row r="53" spans="2:2">
      <c r="B53" s="17" t="s">
        <v>440</v>
      </c>
    </row>
    <row r="54" spans="2:2">
      <c r="B54" s="16"/>
    </row>
    <row r="55" spans="2:2">
      <c r="B55" s="17" t="s">
        <v>441</v>
      </c>
    </row>
    <row r="56" spans="2:2">
      <c r="B56" s="16"/>
    </row>
    <row r="57" spans="2:2">
      <c r="B57" s="17" t="s">
        <v>442</v>
      </c>
    </row>
    <row r="59" spans="2:2" ht="15.75" customHeight="1">
      <c r="B59" s="26" t="s">
        <v>443</v>
      </c>
    </row>
    <row r="61" spans="2:2">
      <c r="B61" s="17" t="s">
        <v>444</v>
      </c>
    </row>
    <row r="62" spans="2:2">
      <c r="B62" s="16"/>
    </row>
    <row r="63" spans="2:2">
      <c r="B63" s="17" t="s">
        <v>445</v>
      </c>
    </row>
    <row r="64" spans="2:2">
      <c r="B64" s="16"/>
    </row>
    <row r="65" spans="2:2">
      <c r="B65" s="17" t="s">
        <v>446</v>
      </c>
    </row>
    <row r="66" spans="2:2">
      <c r="B66" s="16"/>
    </row>
    <row r="67" spans="2:2">
      <c r="B67" s="17" t="s">
        <v>447</v>
      </c>
    </row>
    <row r="70" spans="2:2" ht="18" customHeight="1">
      <c r="B70" s="15" t="s">
        <v>448</v>
      </c>
    </row>
    <row r="72" spans="2:2">
      <c r="B72" s="17" t="s">
        <v>449</v>
      </c>
    </row>
    <row r="73" spans="2:2">
      <c r="B73" s="17" t="s">
        <v>450</v>
      </c>
    </row>
    <row r="74" spans="2:2">
      <c r="B74" s="16"/>
    </row>
    <row r="75" spans="2:2">
      <c r="B75" s="17" t="s">
        <v>451</v>
      </c>
    </row>
    <row r="76" spans="2:2">
      <c r="B76" s="17" t="s">
        <v>452</v>
      </c>
    </row>
  </sheetData>
  <conditionalFormatting sqref="I2:I18">
    <cfRule type="cellIs" dxfId="19" priority="123" operator="greaterThanOrEqual">
      <formula>0.9</formula>
    </cfRule>
    <cfRule type="cellIs" dxfId="18" priority="124" operator="between">
      <formula>0.75</formula>
      <formula>0.89</formula>
    </cfRule>
    <cfRule type="cellIs" dxfId="17" priority="125" operator="between">
      <formula>0.5</formula>
      <formula>0.74</formula>
    </cfRule>
    <cfRule type="cellIs" dxfId="16" priority="126" operator="between">
      <formula>0.25</formula>
      <formula>0.49</formula>
    </cfRule>
    <cfRule type="cellIs" dxfId="15" priority="127" operator="lessThan">
      <formula>0.25</formula>
    </cfRule>
  </conditionalFormatting>
  <conditionalFormatting sqref="J2:J18">
    <cfRule type="colorScale" priority="119">
      <colorScale>
        <cfvo type="num" val="0.5"/>
        <cfvo type="num" val="1"/>
        <cfvo type="num" val="2"/>
        <color theme="8" tint="-0.249977111117893"/>
        <color theme="9" tint="0.59999389629810485"/>
        <color rgb="FFC00000"/>
      </colorScale>
    </cfRule>
    <cfRule type="colorScale" priority="120">
      <colorScale>
        <cfvo type="num" val="0.5"/>
        <cfvo type="num" val="1"/>
        <cfvo type="num" val="2"/>
        <color theme="8" tint="-0.249977111117893"/>
        <color rgb="FFFFEB84"/>
        <color rgb="FFC00000"/>
      </colorScale>
    </cfRule>
    <cfRule type="colorScale" priority="121">
      <colorScale>
        <cfvo type="num" val="0.5"/>
        <cfvo type="num" val="1.5"/>
        <cfvo type="num" val="2"/>
        <color rgb="FFC00000"/>
        <color theme="9" tint="0.39997558519241921"/>
        <color theme="8"/>
      </colorScale>
    </cfRule>
  </conditionalFormatting>
  <conditionalFormatting sqref="M2:N18">
    <cfRule type="cellIs" dxfId="14" priority="1" operator="greaterThanOrEqual">
      <formula>0.9</formula>
    </cfRule>
    <cfRule type="cellIs" dxfId="13" priority="2" operator="between">
      <formula>0.75</formula>
      <formula>0.89</formula>
    </cfRule>
    <cfRule type="cellIs" dxfId="12" priority="3" operator="between">
      <formula>0.5</formula>
      <formula>0.74</formula>
    </cfRule>
    <cfRule type="cellIs" dxfId="11" priority="4" operator="between">
      <formula>0.25</formula>
      <formula>0.49</formula>
    </cfRule>
    <cfRule type="cellIs" dxfId="10" priority="5" operator="lessThan">
      <formula>0.25</formula>
    </cfRule>
  </conditionalFormatting>
  <pageMargins left="0.7" right="0.7" top="0.75" bottom="0.75" header="0.511811023622047" footer="0.511811023622047"/>
  <pageSetup paperSize="9" orientation="portrait" horizontalDpi="300" verticalDpi="30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X15"/>
  <sheetViews>
    <sheetView zoomScaleNormal="100" workbookViewId="0">
      <selection sqref="A1:J6"/>
    </sheetView>
  </sheetViews>
  <sheetFormatPr defaultColWidth="8.7109375" defaultRowHeight="15"/>
  <cols>
    <col min="1" max="1" width="7.140625" bestFit="1" customWidth="1"/>
    <col min="2" max="2" width="24.42578125" bestFit="1" customWidth="1"/>
    <col min="3" max="3" width="8" bestFit="1" customWidth="1"/>
    <col min="4" max="4" width="21" bestFit="1" customWidth="1"/>
    <col min="5" max="7" width="8" customWidth="1"/>
    <col min="8" max="8" width="5.140625" customWidth="1"/>
    <col min="9" max="9" width="11.5703125" customWidth="1"/>
    <col min="10" max="10" width="8.28515625" bestFit="1" customWidth="1"/>
    <col min="11" max="12" width="7.7109375" bestFit="1" customWidth="1"/>
    <col min="13" max="13" width="10.42578125" bestFit="1" customWidth="1"/>
    <col min="14" max="14" width="10.140625" bestFit="1" customWidth="1"/>
    <col min="15" max="15" width="25.5703125" bestFit="1" customWidth="1"/>
    <col min="16" max="16" width="5.85546875" bestFit="1" customWidth="1"/>
    <col min="17" max="17" width="6.28515625" bestFit="1" customWidth="1"/>
    <col min="18" max="18" width="6.140625" bestFit="1" customWidth="1"/>
    <col min="19" max="20" width="6" bestFit="1" customWidth="1"/>
    <col min="21" max="21" width="11.7109375" style="1" bestFit="1" customWidth="1"/>
    <col min="22" max="22" width="11.5703125" bestFit="1" customWidth="1"/>
    <col min="23" max="24" width="11.42578125" bestFit="1" customWidth="1"/>
  </cols>
  <sheetData>
    <row r="1" spans="1:24" ht="15" customHeight="1">
      <c r="A1" s="2" t="s">
        <v>68</v>
      </c>
      <c r="B1" s="2" t="s">
        <v>69</v>
      </c>
      <c r="C1" s="2" t="s">
        <v>70</v>
      </c>
      <c r="D1" s="2" t="s">
        <v>71</v>
      </c>
      <c r="E1" s="2" t="s">
        <v>72</v>
      </c>
      <c r="F1" s="2" t="s">
        <v>73</v>
      </c>
      <c r="G1" s="2" t="s">
        <v>74</v>
      </c>
      <c r="H1" s="2" t="s">
        <v>75</v>
      </c>
      <c r="I1" s="2" t="s">
        <v>76</v>
      </c>
      <c r="J1" s="2" t="s">
        <v>77</v>
      </c>
      <c r="K1" s="2" t="s">
        <v>78</v>
      </c>
      <c r="L1" s="2" t="s">
        <v>79</v>
      </c>
      <c r="M1" s="2" t="s">
        <v>80</v>
      </c>
      <c r="N1" s="2" t="s">
        <v>81</v>
      </c>
      <c r="O1" s="2" t="s">
        <v>82</v>
      </c>
      <c r="P1" s="2" t="s">
        <v>83</v>
      </c>
      <c r="Q1" s="3" t="s">
        <v>84</v>
      </c>
      <c r="R1" s="3" t="s">
        <v>85</v>
      </c>
      <c r="S1" s="3" t="s">
        <v>86</v>
      </c>
      <c r="T1" s="3" t="s">
        <v>87</v>
      </c>
      <c r="U1" s="31" t="s">
        <v>403</v>
      </c>
      <c r="V1" s="31" t="s">
        <v>404</v>
      </c>
      <c r="W1" s="31" t="s">
        <v>405</v>
      </c>
      <c r="X1" s="34" t="s">
        <v>406</v>
      </c>
    </row>
    <row r="2" spans="1:24" ht="18.75" customHeight="1">
      <c r="A2" s="5" t="s">
        <v>92</v>
      </c>
      <c r="B2" s="5" t="s">
        <v>133</v>
      </c>
      <c r="C2" s="5">
        <f>'Modelo Variables V8'!C8</f>
        <v>1640000</v>
      </c>
      <c r="D2" s="5" t="s">
        <v>134</v>
      </c>
      <c r="E2" s="5">
        <v>1000000</v>
      </c>
      <c r="F2" s="5">
        <v>2000000</v>
      </c>
      <c r="G2" s="5">
        <v>1500000</v>
      </c>
      <c r="H2" s="6" t="s">
        <v>95</v>
      </c>
      <c r="I2" s="7">
        <f>1 - (ABS(C2 - G2) / MAX(ABS(F2 - G2), ABS(E2 - G2)))</f>
        <v>0.72</v>
      </c>
      <c r="J2" s="39">
        <v>1.5</v>
      </c>
      <c r="K2" s="8">
        <f>MAX(0,MIN(1,(C2-E2)/(F2-E2)))</f>
        <v>0.64</v>
      </c>
      <c r="L2" s="8">
        <f>MAX(0,MIN(1,1-(C2-E2)/(F2-E2)))</f>
        <v>0.36</v>
      </c>
      <c r="M2" s="8">
        <f>IF(C2&gt;=G2, 0.5+0.5*(C2-G2)/(F2-G2), 0.5*(C2-E2)/(G2-E2))</f>
        <v>0.64</v>
      </c>
      <c r="N2" s="8">
        <f>IF(C2&gt;=G2, 0.5*(1-(C2-G2)/(F2-G2)), 0.5+0.5*(1-(C2-E2)/(G2-E2)))</f>
        <v>0.36</v>
      </c>
      <c r="O2" s="12" t="s">
        <v>135</v>
      </c>
      <c r="P2" s="5" t="s">
        <v>54</v>
      </c>
      <c r="Q2" s="8">
        <f>IFERROR(IF(VALUE(TRIM(MID(O2,2,SEARCH(",",O2)-2)))&gt;=0,ABS(VALUE(TRIM(MID(O2,2,SEARCH(",",O2)-2))))*J2*M2,ABS(VALUE(TRIM(MID(O2,2,SEARCH(",",O2)-2))))*J2*N2),0)</f>
        <v>0.48</v>
      </c>
      <c r="R2" s="8">
        <f>IFERROR(IF(VALUE(TRIM(MID(O2,SEARCH(",",O2)+2,SEARCH(",",O2,SEARCH(",",O2)+1)-SEARCH(",",O2)-2)))&gt;=0,ABS(VALUE(TRIM(MID(O2,SEARCH(",",O2)+2,SEARCH(",",O2,SEARCH(",",O2)+1)-SEARCH(",",O2)-2))))*J2*M2,ABS(VALUE(TRIM(MID(O2,SEARCH(",",O2)+2,SEARCH(",",O2,SEARCH(",",O2)+1)-SEARCH(",",O2)-2))))*J2*N2),0)</f>
        <v>0.21600000000000003</v>
      </c>
      <c r="S2" s="8">
        <f>IFERROR(IF(VALUE(TRIM(MID(O2,SEARCH(",",O2,SEARCH(",",O2)+1)+2,SEARCH(",",O2,SEARCH(",",O2,SEARCH(",",O2)+1)+1)-SEARCH(",",O2,SEARCH(",",O2)+1)-2)))&gt;=0,ABS(VALUE(TRIM(MID(O2,SEARCH(",",O2,SEARCH(",",O2)+1)+2,SEARCH(",",O2,SEARCH(",",O2,SEARCH(",",O2)+1)+1)-SEARCH(",",O2,SEARCH(",",O2)+1)-2))))*J2*M2,ABS(VALUE(TRIM(MID(O2,SEARCH(",",O2,SEARCH(",",O2)+1)+2,SEARCH(",",O2,SEARCH(",",O2,SEARCH(",",O2)+1)+1)-SEARCH(",",O2,SEARCH(",",O2)+1)-2))))*J2*N2),0)</f>
        <v>9.6000000000000016E-2</v>
      </c>
      <c r="T2" s="8">
        <f>IFERROR(IF(VALUE(TRIM(MID(O2,SEARCH(",",O2,SEARCH(",",O2,SEARCH(",",O2)+1)+1)+2,SEARCH("]",O2)-SEARCH(",",O2,SEARCH(",",O2,SEARCH(",",O2)+1)+1)-2)))&gt;=0,ABS(VALUE(TRIM(MID(O2,SEARCH(",",O2,SEARCH(",",O2,SEARCH(",",O2)+1)+1)+2,SEARCH("]",O2)-SEARCH(",",O2,SEARCH(",",O2,SEARCH(",",O2)+1)+1)-2))))*J2*M2,ABS(VALUE(TRIM(MID(O2,SEARCH(",",O2,SEARCH(",",O2,SEARCH(",",O2)+1)+1)+2,SEARCH("]",O2)-SEARCH(",",O2,SEARCH(",",O2,SEARCH(",",O2)+1)+1)-2))))*J2*N2),0)</f>
        <v>0.38400000000000006</v>
      </c>
      <c r="U2" s="32">
        <f>IFERROR(IF(VALUE(TRIM(MID(O2,2,SEARCH(",",O2)-2)))&gt;=0,$Q2*$K2,$Q2*$L2),0)</f>
        <v>0.30719999999999997</v>
      </c>
      <c r="V2" s="32">
        <f>IFERROR(IF(VALUE(TRIM(MID($O2,2,SEARCH(",",$O2)-2)))&gt;=0,$R2*$K2,$R2*$L2),0)</f>
        <v>0.13824000000000003</v>
      </c>
      <c r="W2" s="32">
        <f>IFERROR(IF(VALUE(TRIM(MID($O2,SEARCH(",",$O2,SEARCH(",",$O2)+1)+2,SEARCH(",",$O2,SEARCH(",",$O2,SEARCH(",",$O2)+1)+1)-SEARCH(",",$O2,SEARCH(",",$O2)+1)-2)))&gt;=0,$S2*$K2,$S2*$L2),0)</f>
        <v>6.1440000000000008E-2</v>
      </c>
      <c r="X2" s="32">
        <f>IFERROR(IF(VALUE(TRIM(MID($O2,SEARCH(",",$O2,SEARCH(",",$O2,SEARCH(",",$O2)+1)+1)+2,SEARCH("]",$O2)-SEARCH(",",$O2,SEARCH(",",$O2,SEARCH(",",$O2)+1)+1)-2)))&gt;=0,$T2*$K2,$T2*$K2),0)</f>
        <v>0.24576000000000003</v>
      </c>
    </row>
    <row r="3" spans="1:24" ht="15" customHeight="1">
      <c r="A3" s="5" t="s">
        <v>208</v>
      </c>
      <c r="B3" s="5" t="s">
        <v>233</v>
      </c>
      <c r="C3" s="5">
        <f>'Modelo Variables V8'!C25</f>
        <v>24.5</v>
      </c>
      <c r="D3" s="5" t="s">
        <v>102</v>
      </c>
      <c r="E3" s="5">
        <v>15</v>
      </c>
      <c r="F3" s="5">
        <v>40</v>
      </c>
      <c r="G3" s="5">
        <v>30</v>
      </c>
      <c r="H3" s="6" t="s">
        <v>95</v>
      </c>
      <c r="I3" s="7">
        <f>1 - (ABS(C3 - G3) / MAX(ABS(F3 - G3), ABS(E3 - G3)))</f>
        <v>0.6333333333333333</v>
      </c>
      <c r="J3" s="39">
        <v>0.5</v>
      </c>
      <c r="K3" s="8">
        <f>MAX(0,MIN(1,(C3-E3)/(F3-E3)))</f>
        <v>0.38</v>
      </c>
      <c r="L3" s="8">
        <f>MAX(0,MIN(1,1-(C3-E3)/(F3-E3)))</f>
        <v>0.62</v>
      </c>
      <c r="M3" s="8">
        <f>IF(C3&gt;=G3, 0.5+0.5*(C3-G3)/(F3-G3), 0.5*(C3-E3)/(G3-E3))</f>
        <v>0.31666666666666665</v>
      </c>
      <c r="N3" s="8">
        <f>IF(C3&gt;=G3, 0.5*(1-(C3-G3)/(F3-G3)), 0.5+0.5*(1-(C3-E3)/(G3-E3)))</f>
        <v>0.68333333333333335</v>
      </c>
      <c r="O3" s="12" t="s">
        <v>234</v>
      </c>
      <c r="P3" s="5" t="s">
        <v>54</v>
      </c>
      <c r="Q3" s="8">
        <f>IFERROR(IF(VALUE(TRIM(MID(O3,2,SEARCH(",",O3)-2)))&gt;=0,ABS(VALUE(TRIM(MID(O3,2,SEARCH(",",O3)-2))))*J3*M3,ABS(VALUE(TRIM(MID(O3,2,SEARCH(",",O3)-2))))*J3*N3),0)</f>
        <v>3.4166666666666672E-2</v>
      </c>
      <c r="R3" s="8">
        <f>IFERROR(IF(VALUE(TRIM(MID(O3,SEARCH(",",O3)+2,SEARCH(",",O3,SEARCH(",",O3)+1)-SEARCH(",",O3)-2)))&gt;=0,ABS(VALUE(TRIM(MID(O3,SEARCH(",",O3)+2,SEARCH(",",O3,SEARCH(",",O3)+1)-SEARCH(",",O3)-2))))*J3*M3,ABS(VALUE(TRIM(MID(O3,SEARCH(",",O3)+2,SEARCH(",",O3,SEARCH(",",O3)+1)-SEARCH(",",O3)-2))))*J3*N3),0)</f>
        <v>4.7499999999999994E-2</v>
      </c>
      <c r="S3" s="8">
        <f>IFERROR(IF(VALUE(TRIM(MID(O3,SEARCH(",",O3,SEARCH(",",O3)+1)+2,SEARCH(",",O3,SEARCH(",",O3,SEARCH(",",O3)+1)+1)-SEARCH(",",O3,SEARCH(",",O3)+1)-2)))&gt;=0,ABS(VALUE(TRIM(MID(O3,SEARCH(",",O3,SEARCH(",",O3)+1)+2,SEARCH(",",O3,SEARCH(",",O3,SEARCH(",",O3)+1)+1)-SEARCH(",",O3,SEARCH(",",O3)+1)-2))))*J3*M3,ABS(VALUE(TRIM(MID(O3,SEARCH(",",O3,SEARCH(",",O3)+1)+2,SEARCH(",",O3,SEARCH(",",O3,SEARCH(",",O3)+1)+1)-SEARCH(",",O3,SEARCH(",",O3)+1)-2))))*J3*N3),0)</f>
        <v>3.4166666666666672E-2</v>
      </c>
      <c r="T3" s="8">
        <f>IFERROR(IF(VALUE(TRIM(MID(O3,SEARCH(",",O3,SEARCH(",",O3,SEARCH(",",O3)+1)+1)+2,SEARCH("]",O3)-SEARCH(",",O3,SEARCH(",",O3,SEARCH(",",O3)+1)+1)-2)))&gt;=0,ABS(VALUE(TRIM(MID(O3,SEARCH(",",O3,SEARCH(",",O3,SEARCH(",",O3)+1)+1)+2,SEARCH("]",O3)-SEARCH(",",O3,SEARCH(",",O3,SEARCH(",",O3)+1)+1)-2))))*J3*M3,ABS(VALUE(TRIM(MID(O3,SEARCH(",",O3,SEARCH(",",O3,SEARCH(",",O3)+1)+1)+2,SEARCH("]",O3)-SEARCH(",",O3,SEARCH(",",O3,SEARCH(",",O3)+1)+1)-2))))*J3*N3),0)</f>
        <v>3.1666666666666669E-2</v>
      </c>
      <c r="U3" s="32">
        <f>IFERROR(IF(VALUE(TRIM(MID(O3,2,SEARCH(",",O3)-2)))&gt;=0,$Q3*$K3,$Q3*$L3),0)</f>
        <v>2.1183333333333335E-2</v>
      </c>
      <c r="V3" s="32">
        <f>IFERROR(IF(VALUE(TRIM(MID($O3,2,SEARCH(",",$O3)-2)))&gt;=0,$R3*$K3,$R3*$L3),0)</f>
        <v>2.9449999999999997E-2</v>
      </c>
      <c r="W3" s="32">
        <f>IFERROR(IF(VALUE(TRIM(MID($O3,SEARCH(",",$O3,SEARCH(",",$O3)+1)+2,SEARCH(",",$O3,SEARCH(",",$O3,SEARCH(",",$O3)+1)+1)-SEARCH(",",$O3,SEARCH(",",$O3)+1)-2)))&gt;=0,$S3*$K3,$S3*$L3),0)</f>
        <v>2.1183333333333335E-2</v>
      </c>
      <c r="X3" s="32">
        <f>IFERROR(IF(VALUE(TRIM(MID($O3,SEARCH(",",$O3,SEARCH(",",$O3,SEARCH(",",$O3)+1)+1)+2,SEARCH("]",$O3)-SEARCH(",",$O3,SEARCH(",",$O3,SEARCH(",",$O3)+1)+1)-2)))&gt;=0,$T3*$K3,$T3*$K3),0)</f>
        <v>1.2033333333333335E-2</v>
      </c>
    </row>
    <row r="4" spans="1:24" ht="15" customHeight="1">
      <c r="A4" s="5" t="s">
        <v>250</v>
      </c>
      <c r="B4" s="5" t="s">
        <v>273</v>
      </c>
      <c r="C4" s="5">
        <f>'Modelo Variables V8'!C32</f>
        <v>5.8</v>
      </c>
      <c r="D4" s="5" t="s">
        <v>274</v>
      </c>
      <c r="E4" s="5">
        <v>5</v>
      </c>
      <c r="F4" s="5">
        <v>6.5</v>
      </c>
      <c r="G4" s="5">
        <v>6</v>
      </c>
      <c r="H4" s="6" t="s">
        <v>95</v>
      </c>
      <c r="I4" s="7">
        <f>1 - (ABS(C4 - G4) / MAX(ABS(F4 - G4), ABS(E4 - G4)))</f>
        <v>0.79999999999999982</v>
      </c>
      <c r="J4" s="39">
        <v>0.5</v>
      </c>
      <c r="K4" s="8">
        <f>MAX(0,MIN(1,(C4-E4)/(F4-E4)))</f>
        <v>0.53333333333333321</v>
      </c>
      <c r="L4" s="8">
        <f>MAX(0,MIN(1,1-(C4-E4)/(F4-E4)))</f>
        <v>0.46666666666666679</v>
      </c>
      <c r="M4" s="8">
        <f>IF(C4&gt;=G4, 0.5+0.5*(C4-G4)/(F4-G4), 0.5*(C4-E4)/(G4-E4))</f>
        <v>0.39999999999999991</v>
      </c>
      <c r="N4" s="8">
        <f>IF(C4&gt;=G4, 0.5*(1-(C4-G4)/(F4-G4)), 0.5+0.5*(1-(C4-E4)/(G4-E4)))</f>
        <v>0.60000000000000009</v>
      </c>
      <c r="O4" s="12" t="s">
        <v>275</v>
      </c>
      <c r="P4" s="5" t="s">
        <v>54</v>
      </c>
      <c r="Q4" s="8">
        <f>IFERROR(IF(VALUE(TRIM(MID(O4,2,SEARCH(",",O4)-2)))&gt;=0,ABS(VALUE(TRIM(MID(O4,2,SEARCH(",",O4)-2))))*J4*M4,ABS(VALUE(TRIM(MID(O4,2,SEARCH(",",O4)-2))))*J4*N4),0)</f>
        <v>1.9999999999999997E-2</v>
      </c>
      <c r="R4" s="8">
        <f>IFERROR(IF(VALUE(TRIM(MID(O4,SEARCH(",",O4)+2,SEARCH(",",O4,SEARCH(",",O4)+1)-SEARCH(",",O4)-2)))&gt;=0,ABS(VALUE(TRIM(MID(O4,SEARCH(",",O4)+2,SEARCH(",",O4,SEARCH(",",O4)+1)-SEARCH(",",O4)-2))))*J4*M4,ABS(VALUE(TRIM(MID(O4,SEARCH(",",O4)+2,SEARCH(",",O4,SEARCH(",",O4)+1)-SEARCH(",",O4)-2))))*J4*N4),0)</f>
        <v>3.0000000000000006E-2</v>
      </c>
      <c r="S4" s="8">
        <f>IFERROR(IF(VALUE(TRIM(MID(O4,SEARCH(",",O4,SEARCH(",",O4)+1)+2,SEARCH(",",O4,SEARCH(",",O4,SEARCH(",",O4)+1)+1)-SEARCH(",",O4,SEARCH(",",O4)+1)-2)))&gt;=0,ABS(VALUE(TRIM(MID(O4,SEARCH(",",O4,SEARCH(",",O4)+1)+2,SEARCH(",",O4,SEARCH(",",O4,SEARCH(",",O4)+1)+1)-SEARCH(",",O4,SEARCH(",",O4)+1)-2))))*J4*M4,ABS(VALUE(TRIM(MID(O4,SEARCH(",",O4,SEARCH(",",O4)+1)+2,SEARCH(",",O4,SEARCH(",",O4,SEARCH(",",O4)+1)+1)-SEARCH(",",O4,SEARCH(",",O4)+1)-2))))*J4*N4),0)</f>
        <v>0</v>
      </c>
      <c r="T4" s="8">
        <f>IFERROR(IF(VALUE(TRIM(MID(O4,SEARCH(",",O4,SEARCH(",",O4,SEARCH(",",O4)+1)+1)+2,SEARCH("]",O4)-SEARCH(",",O4,SEARCH(",",O4,SEARCH(",",O4)+1)+1)-2)))&gt;=0,ABS(VALUE(TRIM(MID(O4,SEARCH(",",O4,SEARCH(",",O4,SEARCH(",",O4)+1)+1)+2,SEARCH("]",O4)-SEARCH(",",O4,SEARCH(",",O4,SEARCH(",",O4)+1)+1)-2))))*J4*M4,ABS(VALUE(TRIM(MID(O4,SEARCH(",",O4,SEARCH(",",O4,SEARCH(",",O4)+1)+1)+2,SEARCH("]",O4)-SEARCH(",",O4,SEARCH(",",O4,SEARCH(",",O4)+1)+1)-2))))*J4*N4),0)</f>
        <v>5.9999999999999984E-2</v>
      </c>
      <c r="U4" s="32">
        <f>IFERROR(IF(VALUE(TRIM(MID(O4,2,SEARCH(",",O4)-2)))&gt;=0,$Q4*$K4,$Q4*$L4),0)</f>
        <v>1.0666666666666663E-2</v>
      </c>
      <c r="V4" s="32">
        <f>IFERROR(IF(VALUE(TRIM(MID($O4,2,SEARCH(",",$O4)-2)))&gt;=0,$R4*$K4,$R4*$L4),0)</f>
        <v>1.6E-2</v>
      </c>
      <c r="W4" s="32">
        <f>IFERROR(IF(VALUE(TRIM(MID($O4,SEARCH(",",$O4,SEARCH(",",$O4)+1)+2,SEARCH(",",$O4,SEARCH(",",$O4,SEARCH(",",$O4)+1)+1)-SEARCH(",",$O4,SEARCH(",",$O4)+1)-2)))&gt;=0,$S4*$K4,$S4*$L4),0)</f>
        <v>0</v>
      </c>
      <c r="X4" s="32">
        <f>IFERROR(IF(VALUE(TRIM(MID($O4,SEARCH(",",$O4,SEARCH(",",$O4,SEARCH(",",$O4)+1)+1)+2,SEARCH("]",$O4)-SEARCH(",",$O4,SEARCH(",",$O4,SEARCH(",",$O4)+1)+1)-2)))&gt;=0,$T4*$K4,$T4*$K4),0)</f>
        <v>3.1999999999999987E-2</v>
      </c>
    </row>
    <row r="5" spans="1:24" ht="15" customHeight="1">
      <c r="A5" s="5" t="s">
        <v>296</v>
      </c>
      <c r="B5" s="5" t="s">
        <v>371</v>
      </c>
      <c r="C5" s="5">
        <f>'Modelo Variables V8'!C48</f>
        <v>0.6170000000000001</v>
      </c>
      <c r="D5" s="5" t="s">
        <v>222</v>
      </c>
      <c r="E5" s="5">
        <v>0.4</v>
      </c>
      <c r="F5" s="5">
        <v>0.95</v>
      </c>
      <c r="G5" s="5">
        <v>0.85</v>
      </c>
      <c r="H5" s="6" t="s">
        <v>95</v>
      </c>
      <c r="I5" s="7">
        <f>1 - (ABS(C5 - G5) / MAX(ABS(F5 - G5), ABS(E5 - G5)))</f>
        <v>0.48222222222222244</v>
      </c>
      <c r="J5" s="39">
        <v>2</v>
      </c>
      <c r="K5" s="8">
        <f>MAX(0,MIN(1,(C5-E5)/(F5-E5)))</f>
        <v>0.39454545454545475</v>
      </c>
      <c r="L5" s="8">
        <f>MAX(0,MIN(1,1-(C5-E5)/(F5-E5)))</f>
        <v>0.60545454545454525</v>
      </c>
      <c r="M5" s="8">
        <f>IF(C5&gt;=G5, 0.5+0.5*(C5-G5)/(F5-G5), 0.5*(C5-E5)/(G5-E5))</f>
        <v>0.24111111111111122</v>
      </c>
      <c r="N5" s="8">
        <f>IF(C5&gt;=G5, 0.5*(1-(C5-G5)/(F5-G5)), 0.5+0.5*(1-(C5-E5)/(G5-E5)))</f>
        <v>0.75888888888888872</v>
      </c>
      <c r="O5" s="12" t="s">
        <v>357</v>
      </c>
      <c r="P5" s="5" t="s">
        <v>54</v>
      </c>
      <c r="Q5" s="8">
        <f>IFERROR(IF(VALUE(TRIM(MID(O5,2,SEARCH(",",O5)-2)))&gt;=0,ABS(VALUE(TRIM(MID(O5,2,SEARCH(",",O5)-2))))*J5*M5,ABS(VALUE(TRIM(MID(O5,2,SEARCH(",",O5)-2))))*J5*N5),0)</f>
        <v>0.15177777777777776</v>
      </c>
      <c r="R5" s="8">
        <f>IFERROR(IF(VALUE(TRIM(MID(O5,SEARCH(",",O5)+2,SEARCH(",",O5,SEARCH(",",O5)+1)-SEARCH(",",O5)-2)))&gt;=0,ABS(VALUE(TRIM(MID(O5,SEARCH(",",O5)+2,SEARCH(",",O5,SEARCH(",",O5)+1)-SEARCH(",",O5)-2))))*J5*M5,ABS(VALUE(TRIM(MID(O5,SEARCH(",",O5)+2,SEARCH(",",O5,SEARCH(",",O5)+1)-SEARCH(",",O5)-2))))*J5*N5),0)</f>
        <v>9.6444444444444499E-2</v>
      </c>
      <c r="S5" s="8">
        <f>IFERROR(IF(VALUE(TRIM(MID(O5,SEARCH(",",O5,SEARCH(",",O5)+1)+2,SEARCH(",",O5,SEARCH(",",O5,SEARCH(",",O5)+1)+1)-SEARCH(",",O5,SEARCH(",",O5)+1)-2)))&gt;=0,ABS(VALUE(TRIM(MID(O5,SEARCH(",",O5,SEARCH(",",O5)+1)+2,SEARCH(",",O5,SEARCH(",",O5,SEARCH(",",O5)+1)+1)-SEARCH(",",O5,SEARCH(",",O5)+1)-2))))*J5*M5,ABS(VALUE(TRIM(MID(O5,SEARCH(",",O5,SEARCH(",",O5)+1)+2,SEARCH(",",O5,SEARCH(",",O5,SEARCH(",",O5)+1)+1)-SEARCH(",",O5,SEARCH(",",O5)+1)-2))))*J5*N5),0)</f>
        <v>0.15177777777777776</v>
      </c>
      <c r="T5" s="8">
        <f>IFERROR(IF(VALUE(TRIM(MID(O5,SEARCH(",",O5,SEARCH(",",O5,SEARCH(",",O5)+1)+1)+2,SEARCH("]",O5)-SEARCH(",",O5,SEARCH(",",O5,SEARCH(",",O5)+1)+1)-2)))&gt;=0,ABS(VALUE(TRIM(MID(O5,SEARCH(",",O5,SEARCH(",",O5,SEARCH(",",O5)+1)+1)+2,SEARCH("]",O5)-SEARCH(",",O5,SEARCH(",",O5,SEARCH(",",O5)+1)+1)-2))))*J5*M5,ABS(VALUE(TRIM(MID(O5,SEARCH(",",O5,SEARCH(",",O5,SEARCH(",",O5)+1)+1)+2,SEARCH("]",O5)-SEARCH(",",O5,SEARCH(",",O5,SEARCH(",",O5)+1)+1)-2))))*J5*N5),0)</f>
        <v>0.43400000000000022</v>
      </c>
      <c r="U5" s="32">
        <f>IFERROR(IF(VALUE(TRIM(MID(O5,2,SEARCH(",",O5)-2)))&gt;=0,$Q5*$K5,$Q5*$L5),0)</f>
        <v>9.1894545454545409E-2</v>
      </c>
      <c r="V5" s="32">
        <f>IFERROR(IF(VALUE(TRIM(MID($O5,2,SEARCH(",",$O5)-2)))&gt;=0,$R5*$K5,$R5*$L5),0)</f>
        <v>5.8392727272727284E-2</v>
      </c>
      <c r="W5" s="32">
        <f>IFERROR(IF(VALUE(TRIM(MID($O5,SEARCH(",",$O5,SEARCH(",",$O5)+1)+2,SEARCH(",",$O5,SEARCH(",",$O5,SEARCH(",",$O5)+1)+1)-SEARCH(",",$O5,SEARCH(",",$O5)+1)-2)))&gt;=0,$S5*$K5,$S5*$L5),0)</f>
        <v>9.1894545454545409E-2</v>
      </c>
      <c r="X5" s="32">
        <f>IFERROR(IF(VALUE(TRIM(MID($O5,SEARCH(",",$O5,SEARCH(",",$O5,SEARCH(",",$O5)+1)+1)+2,SEARCH("]",$O5)-SEARCH(",",$O5,SEARCH(",",$O5,SEARCH(",",$O5)+1)+1)-2)))&gt;=0,$T5*$K5,$T5*$K5),0)</f>
        <v>0.17123272727272745</v>
      </c>
    </row>
    <row r="6" spans="1:24" ht="15" customHeight="1">
      <c r="A6" s="5" t="s">
        <v>296</v>
      </c>
      <c r="B6" s="5" t="s">
        <v>376</v>
      </c>
      <c r="C6" s="5">
        <f>'Modelo Variables V8'!C49</f>
        <v>252.3</v>
      </c>
      <c r="D6" s="5" t="s">
        <v>263</v>
      </c>
      <c r="E6" s="5">
        <v>80</v>
      </c>
      <c r="F6" s="5">
        <v>600</v>
      </c>
      <c r="G6" s="5">
        <v>315</v>
      </c>
      <c r="H6" s="6" t="s">
        <v>95</v>
      </c>
      <c r="I6" s="7">
        <f>1 - (ABS(C6 - G6) / MAX(ABS(F6 - G6), ABS(E6 - G6)))</f>
        <v>0.78</v>
      </c>
      <c r="J6" s="39">
        <v>1.5</v>
      </c>
      <c r="K6" s="8">
        <f>MAX(0,MIN(1,(C6-E6)/(F6-E6)))</f>
        <v>0.33134615384615385</v>
      </c>
      <c r="L6" s="8">
        <f>MAX(0,MIN(1,1-(C6-E6)/(F6-E6)))</f>
        <v>0.66865384615384615</v>
      </c>
      <c r="M6" s="8">
        <f>IF(C6&gt;=G6, 0.5+0.5*(C6-G6)/(F6-G6), 0.5*(C6-E6)/(G6-E6))</f>
        <v>0.3665957446808511</v>
      </c>
      <c r="N6" s="8">
        <f>IF(C6&gt;=G6, 0.5*(1-(C6-G6)/(F6-G6)), 0.5+0.5*(1-(C6-E6)/(G6-E6)))</f>
        <v>0.6334042553191489</v>
      </c>
      <c r="O6" s="12" t="s">
        <v>377</v>
      </c>
      <c r="P6" s="5" t="s">
        <v>54</v>
      </c>
      <c r="Q6" s="8">
        <f>IFERROR(IF(VALUE(TRIM(MID(O6,2,SEARCH(",",O6)-2)))&gt;=0,ABS(VALUE(TRIM(MID(O6,2,SEARCH(",",O6)-2))))*J6*M6,ABS(VALUE(TRIM(MID(O6,2,SEARCH(",",O6)-2))))*J6*N6),0)</f>
        <v>9.5010638297872346E-2</v>
      </c>
      <c r="R6" s="8">
        <f>IFERROR(IF(VALUE(TRIM(MID(O6,SEARCH(",",O6)+2,SEARCH(",",O6,SEARCH(",",O6)+1)-SEARCH(",",O6)-2)))&gt;=0,ABS(VALUE(TRIM(MID(O6,SEARCH(",",O6)+2,SEARCH(",",O6,SEARCH(",",O6)+1)-SEARCH(",",O6)-2))))*J6*M6,ABS(VALUE(TRIM(MID(O6,SEARCH(",",O6)+2,SEARCH(",",O6,SEARCH(",",O6)+1)-SEARCH(",",O6)-2))))*J6*N6),0)</f>
        <v>0.16496808510638297</v>
      </c>
      <c r="S6" s="8">
        <f>IFERROR(IF(VALUE(TRIM(MID(O6,SEARCH(",",O6,SEARCH(",",O6)+1)+2,SEARCH(",",O6,SEARCH(",",O6,SEARCH(",",O6)+1)+1)-SEARCH(",",O6,SEARCH(",",O6)+1)-2)))&gt;=0,ABS(VALUE(TRIM(MID(O6,SEARCH(",",O6,SEARCH(",",O6)+1)+2,SEARCH(",",O6,SEARCH(",",O6,SEARCH(",",O6)+1)+1)-SEARCH(",",O6,SEARCH(",",O6)+1)-2))))*J6*M6,ABS(VALUE(TRIM(MID(O6,SEARCH(",",O6,SEARCH(",",O6)+1)+2,SEARCH(",",O6,SEARCH(",",O6,SEARCH(",",O6)+1)+1)-SEARCH(",",O6,SEARCH(",",O6)+1)-2))))*J6*N6),0)</f>
        <v>9.5010638297872346E-2</v>
      </c>
      <c r="T6" s="8">
        <f>IFERROR(IF(VALUE(TRIM(MID(O6,SEARCH(",",O6,SEARCH(",",O6,SEARCH(",",O6)+1)+1)+2,SEARCH("]",O6)-SEARCH(",",O6,SEARCH(",",O6,SEARCH(",",O6)+1)+1)-2)))&gt;=0,ABS(VALUE(TRIM(MID(O6,SEARCH(",",O6,SEARCH(",",O6,SEARCH(",",O6)+1)+1)+2,SEARCH("]",O6)-SEARCH(",",O6,SEARCH(",",O6,SEARCH(",",O6)+1)+1)-2))))*J6*M6,ABS(VALUE(TRIM(MID(O6,SEARCH(",",O6,SEARCH(",",O6,SEARCH(",",O6)+1)+1)+2,SEARCH("]",O6)-SEARCH(",",O6,SEARCH(",",O6,SEARCH(",",O6)+1)+1)-2))))*J6*N6),0)</f>
        <v>0.38492553191489359</v>
      </c>
      <c r="U6" s="32">
        <f>IFERROR(IF(VALUE(TRIM(MID(O6,2,SEARCH(",",O6)-2)))&gt;=0,$Q6*$K6,$Q6*$L6),0)</f>
        <v>6.352922872340426E-2</v>
      </c>
      <c r="V6" s="32">
        <f>IFERROR(IF(VALUE(TRIM(MID($O6,2,SEARCH(",",$O6)-2)))&gt;=0,$R6*$K6,$R6*$L6),0)</f>
        <v>0.11030654459901799</v>
      </c>
      <c r="W6" s="32">
        <f>IFERROR(IF(VALUE(TRIM(MID($O6,SEARCH(",",$O6,SEARCH(",",$O6)+1)+2,SEARCH(",",$O6,SEARCH(",",$O6,SEARCH(",",$O6)+1)+1)-SEARCH(",",$O6,SEARCH(",",$O6)+1)-2)))&gt;=0,$S6*$K6,$S6*$L6),0)</f>
        <v>6.352922872340426E-2</v>
      </c>
      <c r="X6" s="32">
        <f>IFERROR(IF(VALUE(TRIM(MID($O6,SEARCH(",",$O6,SEARCH(",",$O6,SEARCH(",",$O6)+1)+1)+2,SEARCH("]",$O6)-SEARCH(",",$O6,SEARCH(",",$O6,SEARCH(",",$O6)+1)+1)-2)))&gt;=0,$T6*$K6,$T6*$K6),0)</f>
        <v>0.12754359451718494</v>
      </c>
    </row>
    <row r="7" spans="1:24">
      <c r="P7" s="49" t="s">
        <v>407</v>
      </c>
      <c r="Q7" s="49">
        <f>SUM(Q2:Q6)</f>
        <v>0.78095508274231684</v>
      </c>
      <c r="R7" s="49">
        <f>SUM(R2:R6)</f>
        <v>0.55491252955082748</v>
      </c>
      <c r="S7" s="49">
        <f>SUM(S2:S6)</f>
        <v>0.37695508274231682</v>
      </c>
      <c r="T7" s="49">
        <f>SUM(T2:T6)</f>
        <v>1.2945921985815605</v>
      </c>
    </row>
    <row r="8" spans="1:24">
      <c r="Q8" s="50"/>
      <c r="R8" s="50" t="s">
        <v>408</v>
      </c>
      <c r="S8" s="50"/>
      <c r="T8" s="50"/>
      <c r="U8" s="51">
        <f>SUMPRODUCT(U2:U6,Q2:Q6)</f>
        <v>0.16837659969279425</v>
      </c>
      <c r="V8" s="51">
        <f>SUMPRODUCT(V2:V6,R2:R6)</f>
        <v>5.5567428578615977E-2</v>
      </c>
      <c r="W8" s="51">
        <f>SUMPRODUCT(W2:W6,S2:S6)</f>
        <v>2.6605506359460945E-2</v>
      </c>
      <c r="X8" s="51">
        <f>SUMPRODUCT(X2:X6,T2:T6)</f>
        <v>0.22008268515378426</v>
      </c>
    </row>
    <row r="9" spans="1:24" ht="15.75" customHeight="1" thickBot="1"/>
    <row r="10" spans="1:24" ht="16.5" customHeight="1" thickBot="1">
      <c r="B10" s="26" t="s">
        <v>39</v>
      </c>
      <c r="O10" s="52" t="s">
        <v>409</v>
      </c>
      <c r="P10" s="52"/>
      <c r="Q10" s="52"/>
      <c r="R10" s="52"/>
      <c r="S10" s="52"/>
      <c r="T10" s="74" t="s">
        <v>54</v>
      </c>
      <c r="U10" s="75">
        <f>U8/Q7</f>
        <v>0.2156034366298524</v>
      </c>
      <c r="V10" s="75">
        <f>V8/R7</f>
        <v>0.10013727501088304</v>
      </c>
      <c r="W10" s="75">
        <f>W8/S7</f>
        <v>7.0580044088829105E-2</v>
      </c>
      <c r="X10" s="76">
        <f>X8/T7</f>
        <v>0.17000155368997372</v>
      </c>
    </row>
    <row r="12" spans="1:24">
      <c r="B12" s="17" t="s">
        <v>40</v>
      </c>
    </row>
    <row r="13" spans="1:24">
      <c r="B13" s="16"/>
    </row>
    <row r="14" spans="1:24">
      <c r="B14" s="17" t="s">
        <v>41</v>
      </c>
    </row>
    <row r="15" spans="1:24">
      <c r="B15" s="25"/>
    </row>
  </sheetData>
  <conditionalFormatting sqref="I2:I6">
    <cfRule type="cellIs" dxfId="9" priority="5" operator="greaterThanOrEqual">
      <formula>0.9</formula>
    </cfRule>
    <cfRule type="cellIs" dxfId="8" priority="6" operator="between">
      <formula>0.75</formula>
      <formula>0.89</formula>
    </cfRule>
    <cfRule type="cellIs" dxfId="7" priority="7" operator="between">
      <formula>0.5</formula>
      <formula>0.74</formula>
    </cfRule>
    <cfRule type="cellIs" dxfId="6" priority="8" operator="between">
      <formula>0.25</formula>
      <formula>0.49</formula>
    </cfRule>
    <cfRule type="cellIs" dxfId="5" priority="9" operator="lessThan">
      <formula>0.25</formula>
    </cfRule>
  </conditionalFormatting>
  <conditionalFormatting sqref="J2:J6">
    <cfRule type="colorScale" priority="1">
      <colorScale>
        <cfvo type="num" val="0.5"/>
        <cfvo type="num" val="1"/>
        <cfvo type="num" val="2"/>
        <color theme="8" tint="-0.249977111117893"/>
        <color theme="9" tint="0.59999389629810485"/>
        <color rgb="FFC00000"/>
      </colorScale>
    </cfRule>
    <cfRule type="colorScale" priority="2">
      <colorScale>
        <cfvo type="num" val="0.5"/>
        <cfvo type="num" val="1"/>
        <cfvo type="num" val="2"/>
        <color theme="8" tint="-0.249977111117893"/>
        <color rgb="FFFFEB84"/>
        <color rgb="FFC00000"/>
      </colorScale>
    </cfRule>
    <cfRule type="colorScale" priority="3">
      <colorScale>
        <cfvo type="num" val="0.5"/>
        <cfvo type="num" val="1.5"/>
        <cfvo type="num" val="2"/>
        <color rgb="FFC00000"/>
        <color theme="9" tint="0.39997558519241921"/>
        <color theme="8"/>
      </colorScale>
    </cfRule>
  </conditionalFormatting>
  <conditionalFormatting sqref="M2:N6">
    <cfRule type="cellIs" dxfId="4" priority="10" operator="greaterThanOrEqual">
      <formula>0.9</formula>
    </cfRule>
    <cfRule type="cellIs" dxfId="3" priority="11" operator="between">
      <formula>0.75</formula>
      <formula>0.89</formula>
    </cfRule>
    <cfRule type="cellIs" dxfId="2" priority="12" operator="between">
      <formula>0.5</formula>
      <formula>0.74</formula>
    </cfRule>
    <cfRule type="cellIs" dxfId="1" priority="13" operator="between">
      <formula>0.25</formula>
      <formula>0.49</formula>
    </cfRule>
    <cfRule type="cellIs" dxfId="0" priority="14" operator="lessThan">
      <formula>0.25</formula>
    </cfRule>
  </conditionalFormatting>
  <pageMargins left="0.7" right="0.7" top="0.75" bottom="0.75" header="0.511811023622047" footer="0.511811023622047"/>
  <pageSetup paperSize="9" orientation="portrait" horizontalDpi="300" verticalDpi="30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J85"/>
  <sheetViews>
    <sheetView topLeftCell="A74" zoomScaleNormal="100" workbookViewId="0">
      <selection activeCell="M14" sqref="M14"/>
    </sheetView>
  </sheetViews>
  <sheetFormatPr defaultColWidth="8.7109375" defaultRowHeight="15"/>
  <cols>
    <col min="1" max="1" width="20.7109375" customWidth="1"/>
    <col min="2" max="2" width="17.85546875" customWidth="1"/>
    <col min="3" max="3" width="17.42578125" customWidth="1"/>
  </cols>
  <sheetData>
    <row r="1" spans="1:1" ht="18.75" customHeight="1">
      <c r="A1" s="15" t="s">
        <v>1283</v>
      </c>
    </row>
    <row r="3" spans="1:1" ht="15.75" customHeight="1">
      <c r="A3" s="26" t="s">
        <v>1</v>
      </c>
    </row>
    <row r="4" spans="1:1" ht="15.75" customHeight="1"/>
    <row r="5" spans="1:1">
      <c r="A5" s="17" t="s">
        <v>2</v>
      </c>
    </row>
    <row r="6" spans="1:1" ht="15.75" customHeight="1">
      <c r="A6" s="17" t="s">
        <v>3</v>
      </c>
    </row>
    <row r="7" spans="1:1" ht="15.75" customHeight="1">
      <c r="A7" s="17" t="s">
        <v>4</v>
      </c>
    </row>
    <row r="8" spans="1:1" ht="15.75" customHeight="1">
      <c r="A8" s="17" t="s">
        <v>5</v>
      </c>
    </row>
    <row r="9" spans="1:1">
      <c r="A9" s="16"/>
    </row>
    <row r="10" spans="1:1" ht="15.75" customHeight="1">
      <c r="A10" s="17" t="s">
        <v>6</v>
      </c>
    </row>
    <row r="11" spans="1:1" ht="15.75" customHeight="1">
      <c r="A11" s="17" t="s">
        <v>7</v>
      </c>
    </row>
    <row r="12" spans="1:1" ht="15.75" customHeight="1">
      <c r="A12" s="17" t="s">
        <v>8</v>
      </c>
    </row>
    <row r="13" spans="1:1">
      <c r="A13" s="17" t="s">
        <v>9</v>
      </c>
    </row>
    <row r="14" spans="1:1">
      <c r="A14" s="17" t="s">
        <v>10</v>
      </c>
    </row>
    <row r="15" spans="1:1">
      <c r="A15" s="17" t="s">
        <v>5</v>
      </c>
    </row>
    <row r="16" spans="1:1">
      <c r="A16" s="16"/>
    </row>
    <row r="17" spans="1:1">
      <c r="A17" s="17" t="s">
        <v>11</v>
      </c>
    </row>
    <row r="18" spans="1:1">
      <c r="A18" s="16"/>
    </row>
    <row r="19" spans="1:1">
      <c r="A19" s="17" t="s">
        <v>12</v>
      </c>
    </row>
    <row r="21" spans="1:1">
      <c r="A21" s="27" t="s">
        <v>13</v>
      </c>
    </row>
    <row r="22" spans="1:1">
      <c r="A22" s="28"/>
    </row>
    <row r="23" spans="1:1">
      <c r="A23" s="28" t="s">
        <v>14</v>
      </c>
    </row>
    <row r="24" spans="1:1">
      <c r="A24" s="28" t="s">
        <v>15</v>
      </c>
    </row>
    <row r="25" spans="1:1">
      <c r="A25" s="28" t="s">
        <v>16</v>
      </c>
    </row>
    <row r="26" spans="1:1">
      <c r="A26" s="28" t="s">
        <v>17</v>
      </c>
    </row>
    <row r="27" spans="1:1">
      <c r="A27" s="28" t="s">
        <v>18</v>
      </c>
    </row>
    <row r="29" spans="1:1" ht="15.75">
      <c r="A29" s="26" t="s">
        <v>19</v>
      </c>
    </row>
    <row r="31" spans="1:1">
      <c r="A31" s="17" t="s">
        <v>20</v>
      </c>
    </row>
    <row r="32" spans="1:1">
      <c r="A32" s="17" t="s">
        <v>21</v>
      </c>
    </row>
    <row r="34" spans="1:1" ht="15.75">
      <c r="A34" s="26" t="s">
        <v>22</v>
      </c>
    </row>
    <row r="36" spans="1:1">
      <c r="A36" s="17" t="s">
        <v>23</v>
      </c>
    </row>
    <row r="37" spans="1:1">
      <c r="A37" s="17" t="s">
        <v>24</v>
      </c>
    </row>
    <row r="38" spans="1:1">
      <c r="A38" s="17" t="s">
        <v>25</v>
      </c>
    </row>
    <row r="39" spans="1:1">
      <c r="A39" s="17" t="s">
        <v>26</v>
      </c>
    </row>
    <row r="40" spans="1:1">
      <c r="A40" s="17" t="s">
        <v>27</v>
      </c>
    </row>
    <row r="41" spans="1:1">
      <c r="A41" s="17" t="s">
        <v>28</v>
      </c>
    </row>
    <row r="42" spans="1:1">
      <c r="A42" s="17" t="s">
        <v>29</v>
      </c>
    </row>
    <row r="43" spans="1:1">
      <c r="A43" s="17" t="s">
        <v>30</v>
      </c>
    </row>
    <row r="44" spans="1:1">
      <c r="A44" s="17" t="s">
        <v>31</v>
      </c>
    </row>
    <row r="45" spans="1:1">
      <c r="A45" s="16"/>
    </row>
    <row r="46" spans="1:1">
      <c r="A46" s="17" t="s">
        <v>32</v>
      </c>
    </row>
    <row r="47" spans="1:1">
      <c r="A47" s="16"/>
    </row>
    <row r="48" spans="1:1">
      <c r="A48" s="17" t="s">
        <v>33</v>
      </c>
    </row>
    <row r="49" spans="1:1">
      <c r="A49" s="136" t="s">
        <v>1284</v>
      </c>
    </row>
    <row r="50" spans="1:1">
      <c r="A50" s="17" t="s">
        <v>34</v>
      </c>
    </row>
    <row r="51" spans="1:1">
      <c r="A51" s="17" t="s">
        <v>35</v>
      </c>
    </row>
    <row r="52" spans="1:1">
      <c r="A52" s="17" t="s">
        <v>36</v>
      </c>
    </row>
    <row r="53" spans="1:1">
      <c r="A53" s="17" t="s">
        <v>37</v>
      </c>
    </row>
    <row r="54" spans="1:1">
      <c r="A54" s="16"/>
    </row>
    <row r="55" spans="1:1">
      <c r="A55" s="17" t="s">
        <v>38</v>
      </c>
    </row>
    <row r="57" spans="1:1" ht="15.75">
      <c r="A57" s="26" t="s">
        <v>39</v>
      </c>
    </row>
    <row r="59" spans="1:1">
      <c r="A59" s="17" t="s">
        <v>40</v>
      </c>
    </row>
    <row r="60" spans="1:1">
      <c r="A60" s="16"/>
    </row>
    <row r="61" spans="1:1">
      <c r="A61" s="17" t="s">
        <v>41</v>
      </c>
    </row>
    <row r="63" spans="1:1" ht="18">
      <c r="A63" s="15" t="s">
        <v>42</v>
      </c>
    </row>
    <row r="65" spans="1:10">
      <c r="A65" s="17" t="s">
        <v>43</v>
      </c>
    </row>
    <row r="66" spans="1:10">
      <c r="A66" s="17" t="s">
        <v>44</v>
      </c>
    </row>
    <row r="67" spans="1:10">
      <c r="A67" s="17" t="s">
        <v>45</v>
      </c>
    </row>
    <row r="68" spans="1:10">
      <c r="A68" s="17" t="s">
        <v>46</v>
      </c>
    </row>
    <row r="69" spans="1:10">
      <c r="A69" s="17" t="s">
        <v>47</v>
      </c>
    </row>
    <row r="71" spans="1:10" ht="18">
      <c r="A71" s="15" t="s">
        <v>48</v>
      </c>
    </row>
    <row r="72" spans="1:10" ht="15.75" thickBot="1">
      <c r="A72" s="29"/>
    </row>
    <row r="73" spans="1:10">
      <c r="A73" s="133" t="s">
        <v>49</v>
      </c>
      <c r="B73" s="92" t="s">
        <v>50</v>
      </c>
      <c r="C73" s="92" t="s">
        <v>51</v>
      </c>
      <c r="D73" s="92" t="s">
        <v>52</v>
      </c>
      <c r="E73" s="92" t="s">
        <v>53</v>
      </c>
      <c r="F73" s="92" t="s">
        <v>54</v>
      </c>
      <c r="G73" s="92" t="s">
        <v>55</v>
      </c>
      <c r="H73" s="92" t="s">
        <v>56</v>
      </c>
      <c r="I73" s="92" t="s">
        <v>57</v>
      </c>
      <c r="J73" s="93" t="s">
        <v>58</v>
      </c>
    </row>
    <row r="74" spans="1:10">
      <c r="A74" s="125" t="s">
        <v>59</v>
      </c>
      <c r="B74" s="126">
        <v>0.5</v>
      </c>
      <c r="C74" s="126">
        <v>0.16220922333409718</v>
      </c>
      <c r="D74" s="126">
        <v>0.57563083434387408</v>
      </c>
      <c r="E74" s="126">
        <v>0.62624807650489156</v>
      </c>
      <c r="F74" s="126">
        <v>0.2156034366298524</v>
      </c>
      <c r="G74" s="126">
        <v>0.40428648900772296</v>
      </c>
      <c r="H74" s="127">
        <v>1</v>
      </c>
      <c r="I74" s="126">
        <v>0.40428648900772296</v>
      </c>
      <c r="J74" s="128">
        <v>0.27955960907591187</v>
      </c>
    </row>
    <row r="75" spans="1:10">
      <c r="A75" s="125" t="s">
        <v>60</v>
      </c>
      <c r="B75" s="126">
        <v>0.125</v>
      </c>
      <c r="C75" s="126">
        <v>9.620731455621848E-3</v>
      </c>
      <c r="D75" s="126">
        <v>0.8569502932260924</v>
      </c>
      <c r="E75" s="126">
        <v>0.56775234644674089</v>
      </c>
      <c r="F75" s="126">
        <v>0.10013727501088304</v>
      </c>
      <c r="G75" s="126">
        <v>0.30070285755000448</v>
      </c>
      <c r="H75" s="127">
        <v>0.9</v>
      </c>
      <c r="I75" s="126">
        <v>0.27063257179500405</v>
      </c>
      <c r="J75" s="128">
        <v>0.18713941235066781</v>
      </c>
    </row>
    <row r="76" spans="1:10">
      <c r="A76" s="125" t="s">
        <v>61</v>
      </c>
      <c r="B76" s="126">
        <v>0.3125</v>
      </c>
      <c r="C76" s="126">
        <v>0.17439641138347875</v>
      </c>
      <c r="D76" s="126">
        <v>0.56092993309403649</v>
      </c>
      <c r="E76" s="126">
        <v>0.60028305303967522</v>
      </c>
      <c r="F76" s="126">
        <v>0.26800000000000002</v>
      </c>
      <c r="G76" s="126">
        <v>0.3594723679898022</v>
      </c>
      <c r="H76" s="127">
        <v>1.1000000000000001</v>
      </c>
      <c r="I76" s="126">
        <v>0.39541960478878246</v>
      </c>
      <c r="J76" s="128">
        <v>0.27342825729106157</v>
      </c>
    </row>
    <row r="77" spans="1:10" ht="15.75" thickBot="1">
      <c r="A77" s="129" t="s">
        <v>62</v>
      </c>
      <c r="B77" s="130">
        <v>6.25E-2</v>
      </c>
      <c r="C77" s="130">
        <v>8.0308387516221852E-2</v>
      </c>
      <c r="D77" s="130">
        <v>0.9432780690706698</v>
      </c>
      <c r="E77" s="130">
        <v>0.60281913587887559</v>
      </c>
      <c r="F77" s="130">
        <v>0.76800000000000002</v>
      </c>
      <c r="G77" s="130">
        <v>0.39559600045083188</v>
      </c>
      <c r="H77" s="131">
        <v>0.95</v>
      </c>
      <c r="I77" s="130">
        <v>0.37581620042829028</v>
      </c>
      <c r="J77" s="132">
        <v>0.25987272128235872</v>
      </c>
    </row>
    <row r="79" spans="1:10" ht="18">
      <c r="A79" s="15" t="s">
        <v>1259</v>
      </c>
    </row>
    <row r="81" spans="1:1">
      <c r="A81" t="s">
        <v>64</v>
      </c>
    </row>
    <row r="82" spans="1:1">
      <c r="A82" s="28"/>
    </row>
    <row r="83" spans="1:1">
      <c r="A83" s="28" t="s">
        <v>1258</v>
      </c>
    </row>
    <row r="84" spans="1:1">
      <c r="A84" s="28" t="s">
        <v>1257</v>
      </c>
    </row>
    <row r="85" spans="1:1">
      <c r="A85" s="30" t="s">
        <v>67</v>
      </c>
    </row>
  </sheetData>
  <pageMargins left="0.75" right="0.75" top="1" bottom="1" header="0.511811023622047" footer="0.511811023622047"/>
  <pageSetup paperSize="9" orientation="portrait" horizontalDpi="300" verticalDpi="30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981B01-4024-46E8-94A2-452D4E9A179E}">
  <sheetPr codeName="Sheet9"/>
  <dimension ref="A1:AH10002"/>
  <sheetViews>
    <sheetView workbookViewId="0">
      <selection activeCell="L14" sqref="L14:L46"/>
    </sheetView>
  </sheetViews>
  <sheetFormatPr defaultRowHeight="15"/>
  <cols>
    <col min="1" max="1" width="31" bestFit="1" customWidth="1"/>
    <col min="2" max="2" width="12" bestFit="1" customWidth="1"/>
    <col min="3" max="3" width="13.28515625" bestFit="1" customWidth="1"/>
    <col min="4" max="4" width="14.28515625" bestFit="1" customWidth="1"/>
    <col min="5" max="5" width="12" bestFit="1" customWidth="1"/>
    <col min="6" max="11" width="7.140625" bestFit="1" customWidth="1"/>
    <col min="12" max="12" width="126.7109375" bestFit="1" customWidth="1"/>
    <col min="13" max="16" width="9.140625" hidden="1" customWidth="1"/>
  </cols>
  <sheetData>
    <row r="1" spans="1:34" ht="18.75">
      <c r="A1" s="102" t="s">
        <v>1046</v>
      </c>
      <c r="M1" t="s">
        <v>1045</v>
      </c>
      <c r="AA1" t="s">
        <v>1098</v>
      </c>
      <c r="AB1" t="s">
        <v>1099</v>
      </c>
      <c r="AC1" t="s">
        <v>1098</v>
      </c>
      <c r="AD1" t="s">
        <v>1099</v>
      </c>
      <c r="AE1" t="s">
        <v>1098</v>
      </c>
      <c r="AF1" t="s">
        <v>1099</v>
      </c>
      <c r="AG1" t="s">
        <v>1098</v>
      </c>
      <c r="AH1" t="s">
        <v>1099</v>
      </c>
    </row>
    <row r="2" spans="1:34">
      <c r="A2" t="s">
        <v>1249</v>
      </c>
      <c r="M2" t="s">
        <v>59</v>
      </c>
      <c r="N2" t="s">
        <v>60</v>
      </c>
      <c r="O2" t="s">
        <v>61</v>
      </c>
      <c r="P2" t="s">
        <v>62</v>
      </c>
      <c r="AA2" t="s">
        <v>1253</v>
      </c>
      <c r="AC2" t="s">
        <v>1254</v>
      </c>
      <c r="AE2" t="s">
        <v>1255</v>
      </c>
      <c r="AG2" t="s">
        <v>1256</v>
      </c>
    </row>
    <row r="3" spans="1:34">
      <c r="A3" t="s">
        <v>1250</v>
      </c>
      <c r="C3" t="s">
        <v>1251</v>
      </c>
      <c r="M3">
        <v>0.30282431464634324</v>
      </c>
      <c r="N3">
        <v>0.1843749357302113</v>
      </c>
      <c r="O3">
        <v>0.24046705645257113</v>
      </c>
      <c r="P3">
        <v>0.27233369317087436</v>
      </c>
      <c r="AA3" s="123">
        <v>0.25354948425911961</v>
      </c>
      <c r="AB3">
        <v>28</v>
      </c>
      <c r="AC3" s="123">
        <v>0.15205603643055499</v>
      </c>
      <c r="AD3">
        <v>2</v>
      </c>
      <c r="AE3" s="123">
        <v>0.20306564992688825</v>
      </c>
      <c r="AF3">
        <v>12</v>
      </c>
      <c r="AG3" s="123">
        <v>0.2275641224194381</v>
      </c>
      <c r="AH3">
        <v>4</v>
      </c>
    </row>
    <row r="4" spans="1:34">
      <c r="M4">
        <v>0.28138228323029335</v>
      </c>
      <c r="N4">
        <v>0.1769088925540758</v>
      </c>
      <c r="O4">
        <v>0.29467415212538695</v>
      </c>
      <c r="P4">
        <v>0.24703467209024405</v>
      </c>
      <c r="AA4" s="123">
        <v>0.25885747231373968</v>
      </c>
      <c r="AB4">
        <v>135</v>
      </c>
      <c r="AC4" s="123">
        <v>0.15553912477035051</v>
      </c>
      <c r="AD4">
        <v>9</v>
      </c>
      <c r="AE4" s="123">
        <v>0.20871783119462195</v>
      </c>
      <c r="AF4">
        <v>50</v>
      </c>
      <c r="AG4" s="123">
        <v>0.23126251607707932</v>
      </c>
      <c r="AH4">
        <v>9</v>
      </c>
    </row>
    <row r="5" spans="1:34" ht="15.75">
      <c r="A5" s="113" t="s">
        <v>1047</v>
      </c>
      <c r="M5">
        <v>0.28668197275064228</v>
      </c>
      <c r="N5">
        <v>0.18043281613219658</v>
      </c>
      <c r="O5">
        <v>0.25518637656897553</v>
      </c>
      <c r="P5">
        <v>0.2776988345481855</v>
      </c>
      <c r="AA5" s="123">
        <v>0.26416546036835975</v>
      </c>
      <c r="AB5">
        <v>310</v>
      </c>
      <c r="AC5" s="123">
        <v>0.15902221311014605</v>
      </c>
      <c r="AD5">
        <v>55</v>
      </c>
      <c r="AE5" s="123">
        <v>0.21437001246235565</v>
      </c>
      <c r="AF5">
        <v>105</v>
      </c>
      <c r="AG5" s="123">
        <v>0.2349609097347205</v>
      </c>
      <c r="AH5">
        <v>33</v>
      </c>
    </row>
    <row r="6" spans="1:34">
      <c r="A6" s="124" t="s">
        <v>49</v>
      </c>
      <c r="B6" s="124" t="s">
        <v>700</v>
      </c>
      <c r="C6" s="124" t="s">
        <v>699</v>
      </c>
      <c r="D6" s="124" t="s">
        <v>698</v>
      </c>
      <c r="E6" s="124" t="s">
        <v>72</v>
      </c>
      <c r="F6" s="124" t="s">
        <v>73</v>
      </c>
      <c r="G6" s="124" t="s">
        <v>697</v>
      </c>
      <c r="H6" s="124" t="s">
        <v>696</v>
      </c>
      <c r="I6" s="124" t="s">
        <v>695</v>
      </c>
      <c r="J6" s="124" t="s">
        <v>694</v>
      </c>
      <c r="K6" s="124" t="s">
        <v>693</v>
      </c>
      <c r="M6">
        <v>0.29353607784430413</v>
      </c>
      <c r="N6">
        <v>0.18750890624439878</v>
      </c>
      <c r="O6">
        <v>0.23709213555441949</v>
      </c>
      <c r="P6">
        <v>0.28186288035687757</v>
      </c>
      <c r="AA6" s="123">
        <v>0.26947344842297982</v>
      </c>
      <c r="AB6">
        <v>537</v>
      </c>
      <c r="AC6" s="123">
        <v>0.1625053014499416</v>
      </c>
      <c r="AD6">
        <v>139</v>
      </c>
      <c r="AE6" s="123">
        <v>0.22002219373008933</v>
      </c>
      <c r="AF6">
        <v>190</v>
      </c>
      <c r="AG6" s="123">
        <v>0.23865930339236169</v>
      </c>
      <c r="AH6">
        <v>106</v>
      </c>
    </row>
    <row r="7" spans="1:34">
      <c r="A7" t="s">
        <v>59</v>
      </c>
      <c r="B7" s="114">
        <v>0.27955960907591187</v>
      </c>
      <c r="C7" s="114">
        <v>0.29250398334611671</v>
      </c>
      <c r="D7" s="114">
        <v>1.6187075619155063E-2</v>
      </c>
      <c r="E7" s="114">
        <v>0.25089549023180957</v>
      </c>
      <c r="F7" s="114">
        <v>0.35705525132421106</v>
      </c>
      <c r="G7" s="114">
        <v>0.26710282450142386</v>
      </c>
      <c r="H7" s="114">
        <v>0.28075073844087861</v>
      </c>
      <c r="I7" s="114">
        <v>0.29143481218095835</v>
      </c>
      <c r="J7" s="114">
        <v>0.30370376966016949</v>
      </c>
      <c r="K7" s="114">
        <v>0.32038051682903562</v>
      </c>
      <c r="M7">
        <v>0.30999773980018364</v>
      </c>
      <c r="N7">
        <v>0.1789104553116358</v>
      </c>
      <c r="O7">
        <v>0.24121911523996756</v>
      </c>
      <c r="P7">
        <v>0.26987268964821309</v>
      </c>
      <c r="AA7" s="123">
        <v>0.27478143647759989</v>
      </c>
      <c r="AB7">
        <v>833</v>
      </c>
      <c r="AC7" s="123">
        <v>0.16598838978973712</v>
      </c>
      <c r="AD7">
        <v>320</v>
      </c>
      <c r="AE7" s="123">
        <v>0.22567437499782303</v>
      </c>
      <c r="AF7">
        <v>329</v>
      </c>
      <c r="AG7" s="123">
        <v>0.2423576970500029</v>
      </c>
      <c r="AH7">
        <v>218</v>
      </c>
    </row>
    <row r="8" spans="1:34">
      <c r="A8" t="s">
        <v>60</v>
      </c>
      <c r="B8" s="114">
        <v>0.18713941235066781</v>
      </c>
      <c r="C8" s="114">
        <v>0.18566159340615526</v>
      </c>
      <c r="D8" s="114">
        <v>1.1414463671094549E-2</v>
      </c>
      <c r="E8" s="114">
        <v>0.15031449226065721</v>
      </c>
      <c r="F8" s="114">
        <v>0.21997625905656795</v>
      </c>
      <c r="G8" s="114">
        <v>0.16746446237112766</v>
      </c>
      <c r="H8" s="114">
        <v>0.17737536922172367</v>
      </c>
      <c r="I8" s="114">
        <v>0.18534557799730075</v>
      </c>
      <c r="J8" s="114">
        <v>0.19359330446212986</v>
      </c>
      <c r="K8" s="114">
        <v>0.20517326695283897</v>
      </c>
      <c r="M8">
        <v>0.29056554606945922</v>
      </c>
      <c r="N8">
        <v>0.18914075716867229</v>
      </c>
      <c r="O8">
        <v>0.25083363423334387</v>
      </c>
      <c r="P8">
        <v>0.26946006252852456</v>
      </c>
      <c r="AA8" s="123">
        <v>0.28008942453221997</v>
      </c>
      <c r="AB8">
        <v>1080</v>
      </c>
      <c r="AC8" s="123">
        <v>0.16947147812953267</v>
      </c>
      <c r="AD8">
        <v>534</v>
      </c>
      <c r="AE8" s="123">
        <v>0.23132655626555673</v>
      </c>
      <c r="AF8">
        <v>520</v>
      </c>
      <c r="AG8" s="123">
        <v>0.24605609070764409</v>
      </c>
      <c r="AH8">
        <v>389</v>
      </c>
    </row>
    <row r="9" spans="1:34">
      <c r="A9" t="s">
        <v>61</v>
      </c>
      <c r="B9" s="114">
        <v>0.27342825729106157</v>
      </c>
      <c r="C9" s="114">
        <v>0.25817271333242214</v>
      </c>
      <c r="D9" s="114">
        <v>1.9724630587038938E-2</v>
      </c>
      <c r="E9" s="114">
        <v>0.2002395592930214</v>
      </c>
      <c r="F9" s="114">
        <v>0.31328318464769533</v>
      </c>
      <c r="G9" s="114">
        <v>0.22571535761459693</v>
      </c>
      <c r="H9" s="114">
        <v>0.24383441065808176</v>
      </c>
      <c r="I9" s="114">
        <v>0.2582883241013969</v>
      </c>
      <c r="J9" s="114">
        <v>0.27228641759303968</v>
      </c>
      <c r="K9" s="114">
        <v>0.29050541943398178</v>
      </c>
      <c r="M9">
        <v>0.28538950805134666</v>
      </c>
      <c r="N9">
        <v>0.16934671857112332</v>
      </c>
      <c r="O9">
        <v>0.29369586478830728</v>
      </c>
      <c r="P9">
        <v>0.25156790858922262</v>
      </c>
      <c r="AA9" s="123">
        <v>0.28539741258684004</v>
      </c>
      <c r="AB9">
        <v>1223</v>
      </c>
      <c r="AC9" s="123">
        <v>0.17295456646932819</v>
      </c>
      <c r="AD9">
        <v>775</v>
      </c>
      <c r="AE9" s="123">
        <v>0.23697873753329043</v>
      </c>
      <c r="AF9">
        <v>662</v>
      </c>
      <c r="AG9" s="123">
        <v>0.2497544843652853</v>
      </c>
      <c r="AH9">
        <v>621</v>
      </c>
    </row>
    <row r="10" spans="1:34">
      <c r="A10" t="s">
        <v>62</v>
      </c>
      <c r="B10" s="114">
        <v>0.25987272128235872</v>
      </c>
      <c r="C10" s="114">
        <v>0.26366170991530397</v>
      </c>
      <c r="D10" s="114">
        <v>1.1032242658052841E-2</v>
      </c>
      <c r="E10" s="114">
        <v>0.22571492559061751</v>
      </c>
      <c r="F10" s="114">
        <v>0.29968279874344145</v>
      </c>
      <c r="G10" s="114">
        <v>0.24580544149306738</v>
      </c>
      <c r="H10" s="114">
        <v>0.25600056259831971</v>
      </c>
      <c r="I10" s="114">
        <v>0.26362436203256856</v>
      </c>
      <c r="J10" s="114">
        <v>0.27115930172405367</v>
      </c>
      <c r="K10" s="114">
        <v>0.2821211789337974</v>
      </c>
      <c r="M10">
        <v>0.31740018746541854</v>
      </c>
      <c r="N10">
        <v>0.16780053513270796</v>
      </c>
      <c r="O10">
        <v>0.25110479092780941</v>
      </c>
      <c r="P10">
        <v>0.26369448647406418</v>
      </c>
      <c r="AA10" s="123">
        <v>0.29070540064146011</v>
      </c>
      <c r="AB10">
        <v>1283</v>
      </c>
      <c r="AC10" s="123">
        <v>0.17643765480912374</v>
      </c>
      <c r="AD10">
        <v>900</v>
      </c>
      <c r="AE10" s="123">
        <v>0.24263091880102414</v>
      </c>
      <c r="AF10">
        <v>869</v>
      </c>
      <c r="AG10" s="123">
        <v>0.25345287802292649</v>
      </c>
      <c r="AH10">
        <v>903</v>
      </c>
    </row>
    <row r="11" spans="1:34">
      <c r="M11">
        <v>0.31744032316258897</v>
      </c>
      <c r="N11">
        <v>0.17823685501743727</v>
      </c>
      <c r="O11">
        <v>0.25356627168634849</v>
      </c>
      <c r="P11">
        <v>0.25075655013362524</v>
      </c>
      <c r="AA11" s="123">
        <v>0.29601338869608018</v>
      </c>
      <c r="AB11">
        <v>1120</v>
      </c>
      <c r="AC11" s="123">
        <v>0.17992074314891929</v>
      </c>
      <c r="AD11">
        <v>1051</v>
      </c>
      <c r="AE11" s="123">
        <v>0.24828310006875781</v>
      </c>
      <c r="AF11">
        <v>927</v>
      </c>
      <c r="AG11" s="123">
        <v>0.25715127168056767</v>
      </c>
      <c r="AH11">
        <v>1200</v>
      </c>
    </row>
    <row r="12" spans="1:34">
      <c r="M12">
        <v>0.32017955386319791</v>
      </c>
      <c r="N12">
        <v>0.17755369956120365</v>
      </c>
      <c r="O12">
        <v>0.23562311755238299</v>
      </c>
      <c r="P12">
        <v>0.26664362902321553</v>
      </c>
      <c r="AA12" s="123">
        <v>0.30132137675070025</v>
      </c>
      <c r="AB12">
        <v>999</v>
      </c>
      <c r="AC12" s="123">
        <v>0.18340383148871481</v>
      </c>
      <c r="AD12">
        <v>1153</v>
      </c>
      <c r="AE12" s="123">
        <v>0.25393528133649151</v>
      </c>
      <c r="AF12">
        <v>1042</v>
      </c>
      <c r="AG12" s="123">
        <v>0.26084966533820886</v>
      </c>
      <c r="AH12">
        <v>1223</v>
      </c>
    </row>
    <row r="13" spans="1:34" ht="15.75">
      <c r="A13" s="113" t="s">
        <v>1048</v>
      </c>
      <c r="M13">
        <v>0.27633985446601128</v>
      </c>
      <c r="N13">
        <v>0.18086988772429216</v>
      </c>
      <c r="O13">
        <v>0.28658442951779267</v>
      </c>
      <c r="P13">
        <v>0.2562058282919038</v>
      </c>
      <c r="AA13" s="123">
        <v>0.30662936480532033</v>
      </c>
      <c r="AB13">
        <v>881</v>
      </c>
      <c r="AC13" s="123">
        <v>0.18688691982851036</v>
      </c>
      <c r="AD13">
        <v>1111</v>
      </c>
      <c r="AE13" s="123">
        <v>0.25958746260422522</v>
      </c>
      <c r="AF13">
        <v>1082</v>
      </c>
      <c r="AG13" s="123">
        <v>0.2645480589958501</v>
      </c>
      <c r="AH13">
        <v>1266</v>
      </c>
    </row>
    <row r="14" spans="1:34" ht="18">
      <c r="A14" s="118" t="s">
        <v>69</v>
      </c>
      <c r="B14" s="118" t="s">
        <v>77</v>
      </c>
      <c r="C14" s="118" t="s">
        <v>1049</v>
      </c>
      <c r="L14" s="15" t="s">
        <v>765</v>
      </c>
      <c r="M14">
        <v>0.29230550519160237</v>
      </c>
      <c r="N14">
        <v>0.17986285713404554</v>
      </c>
      <c r="O14">
        <v>0.28702250127891438</v>
      </c>
      <c r="P14">
        <v>0.24080913639543772</v>
      </c>
      <c r="AA14" s="123">
        <v>0.31193735285994045</v>
      </c>
      <c r="AB14">
        <v>605</v>
      </c>
      <c r="AC14" s="123">
        <v>0.19037000816830588</v>
      </c>
      <c r="AD14">
        <v>1055</v>
      </c>
      <c r="AE14" s="123">
        <v>0.26523964387195892</v>
      </c>
      <c r="AF14">
        <v>986</v>
      </c>
      <c r="AG14" s="123">
        <v>0.26824645265349129</v>
      </c>
      <c r="AH14">
        <v>1217</v>
      </c>
    </row>
    <row r="15" spans="1:34">
      <c r="A15" t="s">
        <v>692</v>
      </c>
      <c r="B15">
        <v>1.5</v>
      </c>
      <c r="C15">
        <v>50.5</v>
      </c>
      <c r="M15">
        <v>0.27957478186171353</v>
      </c>
      <c r="N15">
        <v>0.19643557227036648</v>
      </c>
      <c r="O15">
        <v>0.25471350257450914</v>
      </c>
      <c r="P15">
        <v>0.26927614329341076</v>
      </c>
      <c r="AA15" s="123">
        <v>0.31724534091456053</v>
      </c>
      <c r="AB15">
        <v>436</v>
      </c>
      <c r="AC15" s="123">
        <v>0.19385309650810142</v>
      </c>
      <c r="AD15">
        <v>910</v>
      </c>
      <c r="AE15" s="123">
        <v>0.27089182513969262</v>
      </c>
      <c r="AF15">
        <v>943</v>
      </c>
      <c r="AG15" s="123">
        <v>0.27194484631113247</v>
      </c>
      <c r="AH15">
        <v>1015</v>
      </c>
    </row>
    <row r="16" spans="1:34" ht="18">
      <c r="A16" t="s">
        <v>691</v>
      </c>
      <c r="B16">
        <v>1.5</v>
      </c>
      <c r="C16">
        <v>5.2</v>
      </c>
      <c r="L16" s="15" t="s">
        <v>766</v>
      </c>
      <c r="M16">
        <v>0.28383529301127003</v>
      </c>
      <c r="N16">
        <v>0.18284768117389927</v>
      </c>
      <c r="O16">
        <v>0.27973421576881219</v>
      </c>
      <c r="P16">
        <v>0.25358281004601846</v>
      </c>
      <c r="AA16" s="123">
        <v>0.3225533289691806</v>
      </c>
      <c r="AB16">
        <v>265</v>
      </c>
      <c r="AC16" s="123">
        <v>0.19733618484789697</v>
      </c>
      <c r="AD16">
        <v>658</v>
      </c>
      <c r="AE16" s="123">
        <v>0.27654400640742632</v>
      </c>
      <c r="AF16">
        <v>755</v>
      </c>
      <c r="AG16" s="123">
        <v>0.27564323996877366</v>
      </c>
      <c r="AH16">
        <v>685</v>
      </c>
    </row>
    <row r="17" spans="1:34">
      <c r="A17" t="s">
        <v>690</v>
      </c>
      <c r="B17">
        <v>2</v>
      </c>
      <c r="C17">
        <v>289</v>
      </c>
      <c r="L17" s="28"/>
      <c r="M17">
        <v>0.29853088193450034</v>
      </c>
      <c r="N17">
        <v>0.18016645497981959</v>
      </c>
      <c r="O17">
        <v>0.2553779055185747</v>
      </c>
      <c r="P17">
        <v>0.26592475756710543</v>
      </c>
      <c r="AA17" s="123">
        <v>0.32786131702380067</v>
      </c>
      <c r="AB17">
        <v>144</v>
      </c>
      <c r="AC17" s="123">
        <v>0.20081927318769249</v>
      </c>
      <c r="AD17">
        <v>552</v>
      </c>
      <c r="AE17" s="123">
        <v>0.28219618767516003</v>
      </c>
      <c r="AF17">
        <v>615</v>
      </c>
      <c r="AG17" s="123">
        <v>0.27934163362641484</v>
      </c>
      <c r="AH17">
        <v>520</v>
      </c>
    </row>
    <row r="18" spans="1:34">
      <c r="A18" t="s">
        <v>689</v>
      </c>
      <c r="B18">
        <v>2</v>
      </c>
      <c r="C18">
        <v>-0.1</v>
      </c>
      <c r="L18" s="28" t="s">
        <v>767</v>
      </c>
      <c r="M18">
        <v>0.27567994261539464</v>
      </c>
      <c r="N18">
        <v>0.19934038565271933</v>
      </c>
      <c r="O18">
        <v>0.26817091453662273</v>
      </c>
      <c r="P18">
        <v>0.25680875719526325</v>
      </c>
      <c r="AA18" s="123">
        <v>0.33316930507842074</v>
      </c>
      <c r="AB18">
        <v>71</v>
      </c>
      <c r="AC18" s="123">
        <v>0.20430236152748804</v>
      </c>
      <c r="AD18">
        <v>349</v>
      </c>
      <c r="AE18" s="123">
        <v>0.28784836894289373</v>
      </c>
      <c r="AF18">
        <v>421</v>
      </c>
      <c r="AG18" s="123">
        <v>0.28304002728405608</v>
      </c>
      <c r="AH18">
        <v>309</v>
      </c>
    </row>
    <row r="19" spans="1:34">
      <c r="A19" t="s">
        <v>688</v>
      </c>
      <c r="B19">
        <v>1.5</v>
      </c>
      <c r="C19">
        <v>17.8</v>
      </c>
      <c r="L19" s="28" t="s">
        <v>768</v>
      </c>
      <c r="M19">
        <v>0.30212603285468181</v>
      </c>
      <c r="N19">
        <v>0.17597721004651806</v>
      </c>
      <c r="O19">
        <v>0.2666932207051923</v>
      </c>
      <c r="P19">
        <v>0.25520353639360788</v>
      </c>
      <c r="AA19" s="123">
        <v>0.33847729313304081</v>
      </c>
      <c r="AB19">
        <v>32</v>
      </c>
      <c r="AC19" s="123">
        <v>0.20778544986728356</v>
      </c>
      <c r="AD19">
        <v>230</v>
      </c>
      <c r="AE19" s="123">
        <v>0.29350055021062738</v>
      </c>
      <c r="AF19">
        <v>271</v>
      </c>
      <c r="AG19" s="123">
        <v>0.28673842094169727</v>
      </c>
      <c r="AH19">
        <v>169</v>
      </c>
    </row>
    <row r="20" spans="1:34">
      <c r="A20" t="s">
        <v>687</v>
      </c>
      <c r="B20">
        <v>1.5</v>
      </c>
      <c r="C20">
        <v>1640000</v>
      </c>
      <c r="M20">
        <v>0.30863049491406241</v>
      </c>
      <c r="N20">
        <v>0.15963802278129141</v>
      </c>
      <c r="O20">
        <v>0.29238747904169449</v>
      </c>
      <c r="P20">
        <v>0.2393440032629516</v>
      </c>
      <c r="AA20" s="123">
        <v>0.34378528118766088</v>
      </c>
      <c r="AB20">
        <v>13</v>
      </c>
      <c r="AC20" s="123">
        <v>0.21126853820707911</v>
      </c>
      <c r="AD20">
        <v>130</v>
      </c>
      <c r="AE20" s="123">
        <v>0.29915273147836108</v>
      </c>
      <c r="AF20">
        <v>158</v>
      </c>
      <c r="AG20" s="123">
        <v>0.29043681459933846</v>
      </c>
      <c r="AH20">
        <v>71</v>
      </c>
    </row>
    <row r="21" spans="1:34" ht="18">
      <c r="A21" t="s">
        <v>686</v>
      </c>
      <c r="B21">
        <v>1.5</v>
      </c>
      <c r="C21">
        <v>7</v>
      </c>
      <c r="L21" s="15" t="s">
        <v>769</v>
      </c>
      <c r="M21">
        <v>0.26549257916512498</v>
      </c>
      <c r="N21">
        <v>0.19490607778294358</v>
      </c>
      <c r="O21">
        <v>0.26873408564301432</v>
      </c>
      <c r="P21">
        <v>0.27086725740891709</v>
      </c>
      <c r="AA21" s="123">
        <v>0.34909326924228096</v>
      </c>
      <c r="AB21">
        <v>4</v>
      </c>
      <c r="AC21" s="123">
        <v>0.21475162654687463</v>
      </c>
      <c r="AD21">
        <v>48</v>
      </c>
      <c r="AE21" s="123">
        <v>0.30480491274609478</v>
      </c>
      <c r="AF21">
        <v>50</v>
      </c>
      <c r="AG21" s="123">
        <v>0.29413520825697964</v>
      </c>
      <c r="AH21">
        <v>31</v>
      </c>
    </row>
    <row r="22" spans="1:34">
      <c r="A22" t="s">
        <v>685</v>
      </c>
      <c r="B22">
        <v>1.5</v>
      </c>
      <c r="C22">
        <v>55.4</v>
      </c>
      <c r="L22" s="28"/>
      <c r="M22">
        <v>0.31660248205162073</v>
      </c>
      <c r="N22">
        <v>0.17173867897857389</v>
      </c>
      <c r="O22">
        <v>0.2461851379974507</v>
      </c>
      <c r="P22">
        <v>0.26547370097235462</v>
      </c>
      <c r="AA22" s="123">
        <v>0.35440125729690103</v>
      </c>
      <c r="AB22">
        <v>1</v>
      </c>
      <c r="AC22" s="123">
        <v>0.21823471488667018</v>
      </c>
      <c r="AD22">
        <v>19</v>
      </c>
      <c r="AE22" s="123">
        <v>0.31045709401382848</v>
      </c>
      <c r="AF22">
        <v>13</v>
      </c>
      <c r="AG22" s="123">
        <v>0.29783360191462083</v>
      </c>
      <c r="AH22">
        <v>11</v>
      </c>
    </row>
    <row r="23" spans="1:34">
      <c r="A23" t="s">
        <v>684</v>
      </c>
      <c r="B23">
        <v>1.5</v>
      </c>
      <c r="C23">
        <v>2.1</v>
      </c>
      <c r="L23" s="28" t="s">
        <v>770</v>
      </c>
      <c r="M23">
        <v>0.26835435139835828</v>
      </c>
      <c r="N23">
        <v>0.18946101637976823</v>
      </c>
      <c r="O23">
        <v>0.27594109634206548</v>
      </c>
      <c r="P23">
        <v>0.26624353587980787</v>
      </c>
    </row>
    <row r="24" spans="1:34">
      <c r="A24" t="s">
        <v>683</v>
      </c>
      <c r="B24">
        <v>2</v>
      </c>
      <c r="C24">
        <v>119.3</v>
      </c>
      <c r="L24" s="28" t="s">
        <v>771</v>
      </c>
      <c r="M24">
        <v>0.31236926176411967</v>
      </c>
      <c r="N24">
        <v>0.181946668131131</v>
      </c>
      <c r="O24">
        <v>0.23129988447072836</v>
      </c>
      <c r="P24">
        <v>0.27438418563402095</v>
      </c>
    </row>
    <row r="25" spans="1:34">
      <c r="A25" t="s">
        <v>682</v>
      </c>
      <c r="B25">
        <v>2</v>
      </c>
      <c r="C25">
        <v>29</v>
      </c>
      <c r="L25" s="28" t="s">
        <v>772</v>
      </c>
      <c r="M25">
        <v>0.30579779154756337</v>
      </c>
      <c r="N25">
        <v>0.18705129319810429</v>
      </c>
      <c r="O25">
        <v>0.22656054525725736</v>
      </c>
      <c r="P25">
        <v>0.28059036999707487</v>
      </c>
    </row>
    <row r="26" spans="1:34">
      <c r="A26" t="s">
        <v>681</v>
      </c>
      <c r="B26">
        <v>2</v>
      </c>
      <c r="C26">
        <v>1.79</v>
      </c>
      <c r="M26">
        <v>0.27763850982050264</v>
      </c>
      <c r="N26">
        <v>0.21073967571137919</v>
      </c>
      <c r="O26">
        <v>0.23671066350416342</v>
      </c>
      <c r="P26">
        <v>0.27491115096395463</v>
      </c>
    </row>
    <row r="27" spans="1:34" ht="18">
      <c r="A27" t="s">
        <v>680</v>
      </c>
      <c r="B27">
        <v>1.5</v>
      </c>
      <c r="C27">
        <v>5.7</v>
      </c>
      <c r="L27" s="15" t="s">
        <v>773</v>
      </c>
      <c r="M27">
        <v>0.32013797391255749</v>
      </c>
      <c r="N27">
        <v>0.17356263329504842</v>
      </c>
      <c r="O27">
        <v>0.23909540850016781</v>
      </c>
      <c r="P27">
        <v>0.2672039842922263</v>
      </c>
    </row>
    <row r="28" spans="1:34">
      <c r="A28" t="s">
        <v>679</v>
      </c>
      <c r="B28">
        <v>1.5</v>
      </c>
      <c r="C28">
        <v>0.6</v>
      </c>
      <c r="L28" s="28"/>
      <c r="M28">
        <v>0.28100861922347659</v>
      </c>
      <c r="N28">
        <v>0.19479672541663318</v>
      </c>
      <c r="O28">
        <v>0.25840957485125648</v>
      </c>
      <c r="P28">
        <v>0.26578508050863375</v>
      </c>
    </row>
    <row r="29" spans="1:34">
      <c r="A29" t="s">
        <v>678</v>
      </c>
      <c r="B29">
        <v>1.5</v>
      </c>
      <c r="C29">
        <v>7.8</v>
      </c>
      <c r="L29" s="30" t="s">
        <v>774</v>
      </c>
      <c r="M29">
        <v>0.27940272337451694</v>
      </c>
      <c r="N29">
        <v>0.20529559414415929</v>
      </c>
      <c r="O29">
        <v>0.25364699139555275</v>
      </c>
      <c r="P29">
        <v>0.26165469108577089</v>
      </c>
    </row>
    <row r="30" spans="1:34">
      <c r="A30" t="s">
        <v>677</v>
      </c>
      <c r="B30">
        <v>1.5</v>
      </c>
      <c r="C30">
        <v>325</v>
      </c>
      <c r="L30" s="30" t="s">
        <v>775</v>
      </c>
      <c r="M30">
        <v>0.27573543914673748</v>
      </c>
      <c r="N30">
        <v>0.20956610126863906</v>
      </c>
      <c r="O30">
        <v>0.24920852447425618</v>
      </c>
      <c r="P30">
        <v>0.26548993511036728</v>
      </c>
    </row>
    <row r="31" spans="1:34">
      <c r="A31" t="s">
        <v>676</v>
      </c>
      <c r="B31">
        <v>1.5</v>
      </c>
      <c r="C31">
        <v>393</v>
      </c>
      <c r="L31" s="30" t="s">
        <v>776</v>
      </c>
      <c r="M31">
        <v>0.29195966679663787</v>
      </c>
      <c r="N31">
        <v>0.19225570424270935</v>
      </c>
      <c r="O31">
        <v>0.24938941447449836</v>
      </c>
      <c r="P31">
        <v>0.2663952144861545</v>
      </c>
    </row>
    <row r="32" spans="1:34">
      <c r="A32" t="s">
        <v>674</v>
      </c>
      <c r="B32">
        <v>2</v>
      </c>
      <c r="C32">
        <v>1.5</v>
      </c>
      <c r="L32" s="28" t="s">
        <v>777</v>
      </c>
      <c r="M32">
        <v>0.28419367909609944</v>
      </c>
      <c r="N32">
        <v>0.19017496630961478</v>
      </c>
      <c r="O32">
        <v>0.27726181741191003</v>
      </c>
      <c r="P32">
        <v>0.24836953718237578</v>
      </c>
    </row>
    <row r="33" spans="1:16">
      <c r="A33" t="s">
        <v>673</v>
      </c>
      <c r="B33">
        <v>1.5</v>
      </c>
      <c r="C33">
        <v>0.89</v>
      </c>
      <c r="M33">
        <v>0.28494993216797887</v>
      </c>
      <c r="N33">
        <v>0.17469914341301884</v>
      </c>
      <c r="O33">
        <v>0.27997457707483903</v>
      </c>
      <c r="P33">
        <v>0.26037634734416326</v>
      </c>
    </row>
    <row r="34" spans="1:16" ht="18">
      <c r="A34" t="s">
        <v>672</v>
      </c>
      <c r="B34">
        <v>1.5</v>
      </c>
      <c r="C34">
        <v>0.24</v>
      </c>
      <c r="L34" s="15" t="s">
        <v>778</v>
      </c>
      <c r="M34">
        <v>0.31511444234486125</v>
      </c>
      <c r="N34">
        <v>0.18563553939204772</v>
      </c>
      <c r="O34">
        <v>0.23983166485229307</v>
      </c>
      <c r="P34">
        <v>0.25941835341079783</v>
      </c>
    </row>
    <row r="35" spans="1:16">
      <c r="A35" t="s">
        <v>1252</v>
      </c>
      <c r="B35">
        <v>1.5</v>
      </c>
      <c r="C35">
        <v>7.0000000000000007E-2</v>
      </c>
      <c r="L35" s="28"/>
      <c r="M35">
        <v>0.27447614102248519</v>
      </c>
      <c r="N35">
        <v>0.20153831003982456</v>
      </c>
      <c r="O35">
        <v>0.25903190094877526</v>
      </c>
      <c r="P35">
        <v>0.26495364798891502</v>
      </c>
    </row>
    <row r="36" spans="1:16">
      <c r="A36" t="s">
        <v>725</v>
      </c>
      <c r="B36">
        <v>1.5</v>
      </c>
      <c r="C36">
        <v>252.3</v>
      </c>
      <c r="L36" s="28" t="s">
        <v>779</v>
      </c>
      <c r="M36">
        <v>0.27928164297450431</v>
      </c>
      <c r="N36">
        <v>0.18602257507759434</v>
      </c>
      <c r="O36">
        <v>0.25208814315592482</v>
      </c>
      <c r="P36">
        <v>0.28260763879197653</v>
      </c>
    </row>
    <row r="37" spans="1:16">
      <c r="L37" s="28" t="s">
        <v>780</v>
      </c>
      <c r="M37">
        <v>0.26171454878790329</v>
      </c>
      <c r="N37">
        <v>0.19960828171278999</v>
      </c>
      <c r="O37">
        <v>0.26324919965571403</v>
      </c>
      <c r="P37">
        <v>0.27542796984359269</v>
      </c>
    </row>
    <row r="38" spans="1:16">
      <c r="L38" s="28" t="s">
        <v>781</v>
      </c>
      <c r="M38">
        <v>0.3106134696801906</v>
      </c>
      <c r="N38">
        <v>0.16961143130853568</v>
      </c>
      <c r="O38">
        <v>0.26592804251676549</v>
      </c>
      <c r="P38">
        <v>0.25384705649450817</v>
      </c>
    </row>
    <row r="39" spans="1:16">
      <c r="M39">
        <v>0.30211342888826009</v>
      </c>
      <c r="N39">
        <v>0.16975053067067541</v>
      </c>
      <c r="O39">
        <v>0.27918794436816236</v>
      </c>
      <c r="P39">
        <v>0.24894809607290203</v>
      </c>
    </row>
    <row r="40" spans="1:16" ht="18">
      <c r="L40" s="15" t="s">
        <v>675</v>
      </c>
      <c r="M40">
        <v>0.29669122234400097</v>
      </c>
      <c r="N40">
        <v>0.17195541368006501</v>
      </c>
      <c r="O40">
        <v>0.27953921580844127</v>
      </c>
      <c r="P40">
        <v>0.25181414816749287</v>
      </c>
    </row>
    <row r="41" spans="1:16">
      <c r="L41" s="28"/>
      <c r="M41">
        <v>0.30947376674224086</v>
      </c>
      <c r="N41">
        <v>0.17001574711494463</v>
      </c>
      <c r="O41">
        <v>0.26573617022701435</v>
      </c>
      <c r="P41">
        <v>0.25477431591580008</v>
      </c>
    </row>
    <row r="42" spans="1:16">
      <c r="L42" s="30" t="s">
        <v>782</v>
      </c>
      <c r="M42">
        <v>0.27161585785988041</v>
      </c>
      <c r="N42">
        <v>0.19870185295903969</v>
      </c>
      <c r="O42">
        <v>0.26098358360712837</v>
      </c>
      <c r="P42">
        <v>0.26869870557395148</v>
      </c>
    </row>
    <row r="43" spans="1:16">
      <c r="L43" s="30" t="s">
        <v>783</v>
      </c>
      <c r="M43">
        <v>0.31436937618169081</v>
      </c>
      <c r="N43">
        <v>0.18222380065170352</v>
      </c>
      <c r="O43">
        <v>0.25043150226269467</v>
      </c>
      <c r="P43">
        <v>0.25297532090391106</v>
      </c>
    </row>
    <row r="44" spans="1:16">
      <c r="L44" s="30" t="s">
        <v>784</v>
      </c>
      <c r="M44">
        <v>0.25339782818895823</v>
      </c>
      <c r="N44">
        <v>0.19715888617752153</v>
      </c>
      <c r="O44">
        <v>0.28259087787992665</v>
      </c>
      <c r="P44">
        <v>0.26685240775359359</v>
      </c>
    </row>
    <row r="45" spans="1:16">
      <c r="L45" s="28" t="s">
        <v>785</v>
      </c>
      <c r="M45">
        <v>0.27617338218061538</v>
      </c>
      <c r="N45">
        <v>0.19949724835518712</v>
      </c>
      <c r="O45">
        <v>0.23520925024208142</v>
      </c>
      <c r="P45">
        <v>0.28912011922211617</v>
      </c>
    </row>
    <row r="46" spans="1:16">
      <c r="L46" s="28" t="s">
        <v>786</v>
      </c>
      <c r="M46">
        <v>0.27910278808868211</v>
      </c>
      <c r="N46">
        <v>0.18419915674464174</v>
      </c>
      <c r="O46">
        <v>0.26181630461605648</v>
      </c>
      <c r="P46">
        <v>0.2748817505506197</v>
      </c>
    </row>
    <row r="47" spans="1:16">
      <c r="M47">
        <v>0.28465358690242831</v>
      </c>
      <c r="N47">
        <v>0.18591686265350435</v>
      </c>
      <c r="O47">
        <v>0.26313143593376764</v>
      </c>
      <c r="P47">
        <v>0.26629811451029978</v>
      </c>
    </row>
    <row r="48" spans="1:16">
      <c r="M48">
        <v>0.27861648870831818</v>
      </c>
      <c r="N48">
        <v>0.18171482432477903</v>
      </c>
      <c r="O48">
        <v>0.27067235086874525</v>
      </c>
      <c r="P48">
        <v>0.26899633609815765</v>
      </c>
    </row>
    <row r="49" spans="1:16">
      <c r="M49">
        <v>0.3111775946862908</v>
      </c>
      <c r="N49">
        <v>0.18946102574373788</v>
      </c>
      <c r="O49">
        <v>0.22077272004930842</v>
      </c>
      <c r="P49">
        <v>0.27858865952066281</v>
      </c>
    </row>
    <row r="50" spans="1:16">
      <c r="M50">
        <v>0.30517558137024181</v>
      </c>
      <c r="N50">
        <v>0.16746563283357552</v>
      </c>
      <c r="O50">
        <v>0.25437879104148259</v>
      </c>
      <c r="P50">
        <v>0.27297999475470003</v>
      </c>
    </row>
    <row r="51" spans="1:16">
      <c r="M51">
        <v>0.27401444483383058</v>
      </c>
      <c r="N51">
        <v>0.19804715530716496</v>
      </c>
      <c r="O51">
        <v>0.26354159528358828</v>
      </c>
      <c r="P51">
        <v>0.26439680457541614</v>
      </c>
    </row>
    <row r="52" spans="1:16">
      <c r="M52">
        <v>0.32181306305689661</v>
      </c>
      <c r="N52">
        <v>0.17145981647898378</v>
      </c>
      <c r="O52">
        <v>0.26224369967252675</v>
      </c>
      <c r="P52">
        <v>0.24448342079159285</v>
      </c>
    </row>
    <row r="53" spans="1:16">
      <c r="M53">
        <v>0.29402162413281652</v>
      </c>
      <c r="N53">
        <v>0.18319175062734747</v>
      </c>
      <c r="O53">
        <v>0.26270887963474704</v>
      </c>
      <c r="P53">
        <v>0.26007774560508889</v>
      </c>
    </row>
    <row r="54" spans="1:16">
      <c r="M54">
        <v>0.30241248891721295</v>
      </c>
      <c r="N54">
        <v>0.19058291939761174</v>
      </c>
      <c r="O54">
        <v>0.24875033099698277</v>
      </c>
      <c r="P54">
        <v>0.25825426068819246</v>
      </c>
    </row>
    <row r="55" spans="1:16">
      <c r="M55">
        <v>0.30399422040209978</v>
      </c>
      <c r="N55">
        <v>0.17695317832877092</v>
      </c>
      <c r="O55">
        <v>0.27246952494027243</v>
      </c>
      <c r="P55">
        <v>0.24658307632885701</v>
      </c>
    </row>
    <row r="56" spans="1:16">
      <c r="M56">
        <v>0.28442160253488596</v>
      </c>
      <c r="N56">
        <v>0.202675922950421</v>
      </c>
      <c r="O56">
        <v>0.23093976822185042</v>
      </c>
      <c r="P56">
        <v>0.28196270629284259</v>
      </c>
    </row>
    <row r="57" spans="1:16">
      <c r="M57">
        <v>0.31187561953105108</v>
      </c>
      <c r="N57">
        <v>0.17438096426189087</v>
      </c>
      <c r="O57">
        <v>0.25273879321638226</v>
      </c>
      <c r="P57">
        <v>0.26100462299067573</v>
      </c>
    </row>
    <row r="58" spans="1:16" ht="15.75">
      <c r="A58" s="18"/>
      <c r="M58">
        <v>0.31768965080244121</v>
      </c>
      <c r="N58">
        <v>0.1839971346018508</v>
      </c>
      <c r="O58">
        <v>0.24289826536275663</v>
      </c>
      <c r="P58">
        <v>0.25541494923295127</v>
      </c>
    </row>
    <row r="59" spans="1:16">
      <c r="M59">
        <v>0.30830939625141546</v>
      </c>
      <c r="N59">
        <v>0.17500787104936696</v>
      </c>
      <c r="O59">
        <v>0.25615063779582037</v>
      </c>
      <c r="P59">
        <v>0.26053209490339718</v>
      </c>
    </row>
    <row r="60" spans="1:16">
      <c r="M60">
        <v>0.31015459439463838</v>
      </c>
      <c r="N60">
        <v>0.19033845107800895</v>
      </c>
      <c r="O60">
        <v>0.2447406027029034</v>
      </c>
      <c r="P60">
        <v>0.25476635182444923</v>
      </c>
    </row>
    <row r="61" spans="1:16">
      <c r="M61">
        <v>0.30955559902818885</v>
      </c>
      <c r="N61">
        <v>0.15788973571492981</v>
      </c>
      <c r="O61">
        <v>0.29576627117376975</v>
      </c>
      <c r="P61">
        <v>0.23678839408311153</v>
      </c>
    </row>
    <row r="62" spans="1:16">
      <c r="M62">
        <v>0.28792855111082483</v>
      </c>
      <c r="N62">
        <v>0.18489710171135346</v>
      </c>
      <c r="O62">
        <v>0.2440933036162484</v>
      </c>
      <c r="P62">
        <v>0.28308104356157332</v>
      </c>
    </row>
    <row r="63" spans="1:16">
      <c r="M63">
        <v>0.28363834229515866</v>
      </c>
      <c r="N63">
        <v>0.18541610245834528</v>
      </c>
      <c r="O63">
        <v>0.27288828193816234</v>
      </c>
      <c r="P63">
        <v>0.25805727330833378</v>
      </c>
    </row>
    <row r="64" spans="1:16">
      <c r="M64">
        <v>0.27616209566229849</v>
      </c>
      <c r="N64">
        <v>0.19256298389731757</v>
      </c>
      <c r="O64">
        <v>0.25221388006327394</v>
      </c>
      <c r="P64">
        <v>0.27906104037710994</v>
      </c>
    </row>
    <row r="65" spans="13:16">
      <c r="M65">
        <v>0.29152436967088341</v>
      </c>
      <c r="N65">
        <v>0.17420140635707032</v>
      </c>
      <c r="O65">
        <v>0.29957199394374789</v>
      </c>
      <c r="P65">
        <v>0.2347022300282984</v>
      </c>
    </row>
    <row r="66" spans="13:16">
      <c r="M66">
        <v>0.30218421259694384</v>
      </c>
      <c r="N66">
        <v>0.18442405956921057</v>
      </c>
      <c r="O66">
        <v>0.24442172948064342</v>
      </c>
      <c r="P66">
        <v>0.26896999835320229</v>
      </c>
    </row>
    <row r="67" spans="13:16">
      <c r="M67">
        <v>0.2965528627783266</v>
      </c>
      <c r="N67">
        <v>0.182900492515745</v>
      </c>
      <c r="O67">
        <v>0.26354353025356481</v>
      </c>
      <c r="P67">
        <v>0.25700311445236357</v>
      </c>
    </row>
    <row r="68" spans="13:16">
      <c r="M68">
        <v>0.29192121319954861</v>
      </c>
      <c r="N68">
        <v>0.18519975290327667</v>
      </c>
      <c r="O68">
        <v>0.2443499294464849</v>
      </c>
      <c r="P68">
        <v>0.27852910445068979</v>
      </c>
    </row>
    <row r="69" spans="13:16">
      <c r="M69">
        <v>0.28026913943800108</v>
      </c>
      <c r="N69">
        <v>0.17408492057204683</v>
      </c>
      <c r="O69">
        <v>0.28086251122001643</v>
      </c>
      <c r="P69">
        <v>0.26478342876993566</v>
      </c>
    </row>
    <row r="70" spans="13:16">
      <c r="M70">
        <v>0.26621427147056115</v>
      </c>
      <c r="N70">
        <v>0.19997612963522027</v>
      </c>
      <c r="O70">
        <v>0.27713613052226954</v>
      </c>
      <c r="P70">
        <v>0.25667346837194904</v>
      </c>
    </row>
    <row r="71" spans="13:16">
      <c r="M71">
        <v>0.29137254772636406</v>
      </c>
      <c r="N71">
        <v>0.18458948356619106</v>
      </c>
      <c r="O71">
        <v>0.26402104306771573</v>
      </c>
      <c r="P71">
        <v>0.26001692563972911</v>
      </c>
    </row>
    <row r="72" spans="13:16">
      <c r="M72">
        <v>0.29446043271998362</v>
      </c>
      <c r="N72">
        <v>0.1713407126905708</v>
      </c>
      <c r="O72">
        <v>0.27332512614666349</v>
      </c>
      <c r="P72">
        <v>0.26087372844278212</v>
      </c>
    </row>
    <row r="73" spans="13:16">
      <c r="M73">
        <v>0.3218627943344522</v>
      </c>
      <c r="N73">
        <v>0.16847395924492184</v>
      </c>
      <c r="O73">
        <v>0.25133772676275862</v>
      </c>
      <c r="P73">
        <v>0.25832551965786726</v>
      </c>
    </row>
    <row r="74" spans="13:16">
      <c r="M74">
        <v>0.30643657919646516</v>
      </c>
      <c r="N74">
        <v>0.19218876197657489</v>
      </c>
      <c r="O74">
        <v>0.25885696280562437</v>
      </c>
      <c r="P74">
        <v>0.2425176960213356</v>
      </c>
    </row>
    <row r="75" spans="13:16">
      <c r="M75">
        <v>0.29524490125644487</v>
      </c>
      <c r="N75">
        <v>0.17202211684109886</v>
      </c>
      <c r="O75">
        <v>0.28282597973481305</v>
      </c>
      <c r="P75">
        <v>0.24990700216764331</v>
      </c>
    </row>
    <row r="76" spans="13:16">
      <c r="M76">
        <v>0.26770630221616448</v>
      </c>
      <c r="N76">
        <v>0.20926018212145583</v>
      </c>
      <c r="O76">
        <v>0.25317655355307422</v>
      </c>
      <c r="P76">
        <v>0.26985696210930532</v>
      </c>
    </row>
    <row r="77" spans="13:16">
      <c r="M77">
        <v>0.28917953817446135</v>
      </c>
      <c r="N77">
        <v>0.17943936658851742</v>
      </c>
      <c r="O77">
        <v>0.27093787605678188</v>
      </c>
      <c r="P77">
        <v>0.26044321918023944</v>
      </c>
    </row>
    <row r="78" spans="13:16">
      <c r="M78">
        <v>0.30782279828959619</v>
      </c>
      <c r="N78">
        <v>0.17080719879769496</v>
      </c>
      <c r="O78">
        <v>0.26373597074245525</v>
      </c>
      <c r="P78">
        <v>0.2576340321702536</v>
      </c>
    </row>
    <row r="79" spans="13:16">
      <c r="M79">
        <v>0.27212028117192499</v>
      </c>
      <c r="N79">
        <v>0.21118383966239901</v>
      </c>
      <c r="O79">
        <v>0.24293401064144859</v>
      </c>
      <c r="P79">
        <v>0.27376186852422757</v>
      </c>
    </row>
    <row r="80" spans="13:16">
      <c r="M80">
        <v>0.26736538764317158</v>
      </c>
      <c r="N80">
        <v>0.19465943668509986</v>
      </c>
      <c r="O80">
        <v>0.27068164839055425</v>
      </c>
      <c r="P80">
        <v>0.26729352728117428</v>
      </c>
    </row>
    <row r="81" spans="13:16">
      <c r="M81">
        <v>0.29213129645600794</v>
      </c>
      <c r="N81">
        <v>0.19761684876968369</v>
      </c>
      <c r="O81">
        <v>0.25519294384204844</v>
      </c>
      <c r="P81">
        <v>0.25505891093226002</v>
      </c>
    </row>
    <row r="82" spans="13:16">
      <c r="M82">
        <v>0.29622461856889926</v>
      </c>
      <c r="N82">
        <v>0.18458602871936386</v>
      </c>
      <c r="O82">
        <v>0.23886962065886153</v>
      </c>
      <c r="P82">
        <v>0.28031973205287519</v>
      </c>
    </row>
    <row r="83" spans="13:16">
      <c r="M83">
        <v>0.29513875244852467</v>
      </c>
      <c r="N83">
        <v>0.17966125827696205</v>
      </c>
      <c r="O83">
        <v>0.26888117517317606</v>
      </c>
      <c r="P83">
        <v>0.25631881410133722</v>
      </c>
    </row>
    <row r="84" spans="13:16">
      <c r="M84">
        <v>0.28586367263273027</v>
      </c>
      <c r="N84">
        <v>0.19140862793327121</v>
      </c>
      <c r="O84">
        <v>0.25423821573117372</v>
      </c>
      <c r="P84">
        <v>0.26848948370282483</v>
      </c>
    </row>
    <row r="85" spans="13:16">
      <c r="M85">
        <v>0.30898213120857881</v>
      </c>
      <c r="N85">
        <v>0.17507195557380303</v>
      </c>
      <c r="O85">
        <v>0.27201896657632429</v>
      </c>
      <c r="P85">
        <v>0.2439269466412938</v>
      </c>
    </row>
    <row r="86" spans="13:16">
      <c r="M86">
        <v>0.32470441840413744</v>
      </c>
      <c r="N86">
        <v>0.17652823133464335</v>
      </c>
      <c r="O86">
        <v>0.24230082002320855</v>
      </c>
      <c r="P86">
        <v>0.25646653023801064</v>
      </c>
    </row>
    <row r="87" spans="13:16">
      <c r="M87">
        <v>0.31654298129436426</v>
      </c>
      <c r="N87">
        <v>0.19316187773351493</v>
      </c>
      <c r="O87">
        <v>0.22036237981807716</v>
      </c>
      <c r="P87">
        <v>0.26993276115404358</v>
      </c>
    </row>
    <row r="88" spans="13:16">
      <c r="M88">
        <v>0.32480911803861101</v>
      </c>
      <c r="N88">
        <v>0.18022082760996594</v>
      </c>
      <c r="O88">
        <v>0.22426978813530329</v>
      </c>
      <c r="P88">
        <v>0.27070026621611976</v>
      </c>
    </row>
    <row r="89" spans="13:16">
      <c r="M89">
        <v>0.29078229674002209</v>
      </c>
      <c r="N89">
        <v>0.18997132695570465</v>
      </c>
      <c r="O89">
        <v>0.26889182305429532</v>
      </c>
      <c r="P89">
        <v>0.25035455324997796</v>
      </c>
    </row>
    <row r="90" spans="13:16">
      <c r="M90">
        <v>0.28922474975277224</v>
      </c>
      <c r="N90">
        <v>0.16609611404515168</v>
      </c>
      <c r="O90">
        <v>0.2942073451113198</v>
      </c>
      <c r="P90">
        <v>0.25047179109075624</v>
      </c>
    </row>
    <row r="91" spans="13:16">
      <c r="M91">
        <v>0.31387035165433785</v>
      </c>
      <c r="N91">
        <v>0.16307695814833853</v>
      </c>
      <c r="O91">
        <v>0.26691872226051011</v>
      </c>
      <c r="P91">
        <v>0.25613396793681353</v>
      </c>
    </row>
    <row r="92" spans="13:16">
      <c r="M92">
        <v>0.27406983211703007</v>
      </c>
      <c r="N92">
        <v>0.19072361822346537</v>
      </c>
      <c r="O92">
        <v>0.26283172984907488</v>
      </c>
      <c r="P92">
        <v>0.27237481981042971</v>
      </c>
    </row>
    <row r="93" spans="13:16">
      <c r="M93">
        <v>0.29553093542536413</v>
      </c>
      <c r="N93">
        <v>0.17484487112574698</v>
      </c>
      <c r="O93">
        <v>0.27278205366501068</v>
      </c>
      <c r="P93">
        <v>0.25684213978387821</v>
      </c>
    </row>
    <row r="94" spans="13:16">
      <c r="M94">
        <v>0.27447244506845309</v>
      </c>
      <c r="N94">
        <v>0.18221229633989733</v>
      </c>
      <c r="O94">
        <v>0.28032085237961946</v>
      </c>
      <c r="P94">
        <v>0.26299440621203019</v>
      </c>
    </row>
    <row r="95" spans="13:16">
      <c r="M95">
        <v>0.31223610414090153</v>
      </c>
      <c r="N95">
        <v>0.17338455424392737</v>
      </c>
      <c r="O95">
        <v>0.25222797015325865</v>
      </c>
      <c r="P95">
        <v>0.26215137146191247</v>
      </c>
    </row>
    <row r="96" spans="13:16">
      <c r="M96">
        <v>0.29881724348059513</v>
      </c>
      <c r="N96">
        <v>0.21005620903483296</v>
      </c>
      <c r="O96">
        <v>0.23057789099311943</v>
      </c>
      <c r="P96">
        <v>0.26054865649145237</v>
      </c>
    </row>
    <row r="97" spans="13:16">
      <c r="M97">
        <v>0.28809059816295352</v>
      </c>
      <c r="N97">
        <v>0.19727168350279015</v>
      </c>
      <c r="O97">
        <v>0.26147137706919993</v>
      </c>
      <c r="P97">
        <v>0.25316634126505627</v>
      </c>
    </row>
    <row r="98" spans="13:16">
      <c r="M98">
        <v>0.27933236162935265</v>
      </c>
      <c r="N98">
        <v>0.18221308962695651</v>
      </c>
      <c r="O98">
        <v>0.27333174726563036</v>
      </c>
      <c r="P98">
        <v>0.26512280147806039</v>
      </c>
    </row>
    <row r="99" spans="13:16">
      <c r="M99">
        <v>0.26602842534563159</v>
      </c>
      <c r="N99">
        <v>0.17905974513091716</v>
      </c>
      <c r="O99">
        <v>0.28728890465286722</v>
      </c>
      <c r="P99">
        <v>0.26762292487058414</v>
      </c>
    </row>
    <row r="100" spans="13:16">
      <c r="M100">
        <v>0.28313601442155806</v>
      </c>
      <c r="N100">
        <v>0.21460974019842419</v>
      </c>
      <c r="O100">
        <v>0.23056044658580924</v>
      </c>
      <c r="P100">
        <v>0.27169379879420852</v>
      </c>
    </row>
    <row r="101" spans="13:16">
      <c r="M101">
        <v>0.29232393482737662</v>
      </c>
      <c r="N101">
        <v>0.17946121354759959</v>
      </c>
      <c r="O101">
        <v>0.26861151866806082</v>
      </c>
      <c r="P101">
        <v>0.25960333295696292</v>
      </c>
    </row>
    <row r="102" spans="13:16">
      <c r="M102">
        <v>0.2764102873843704</v>
      </c>
      <c r="N102">
        <v>0.19379923225353476</v>
      </c>
      <c r="O102">
        <v>0.26524119554895664</v>
      </c>
      <c r="P102">
        <v>0.26454928481313811</v>
      </c>
    </row>
    <row r="103" spans="13:16">
      <c r="M103">
        <v>0.27038261769551974</v>
      </c>
      <c r="N103">
        <v>0.18245141477228616</v>
      </c>
      <c r="O103">
        <v>0.28403340749560041</v>
      </c>
      <c r="P103">
        <v>0.26313256003659385</v>
      </c>
    </row>
    <row r="104" spans="13:16">
      <c r="M104">
        <v>0.27781589521967642</v>
      </c>
      <c r="N104">
        <v>0.19216154482253422</v>
      </c>
      <c r="O104">
        <v>0.24903249694633434</v>
      </c>
      <c r="P104">
        <v>0.28099006301145507</v>
      </c>
    </row>
    <row r="105" spans="13:16">
      <c r="M105">
        <v>0.30336849597330651</v>
      </c>
      <c r="N105">
        <v>0.17101343581739123</v>
      </c>
      <c r="O105">
        <v>0.27873545678528866</v>
      </c>
      <c r="P105">
        <v>0.24688261142401355</v>
      </c>
    </row>
    <row r="106" spans="13:16">
      <c r="M106">
        <v>0.28271510031613095</v>
      </c>
      <c r="N106">
        <v>0.19149153299953223</v>
      </c>
      <c r="O106">
        <v>0.23693308659849019</v>
      </c>
      <c r="P106">
        <v>0.28886028008584674</v>
      </c>
    </row>
    <row r="107" spans="13:16">
      <c r="M107">
        <v>0.28907367773826009</v>
      </c>
      <c r="N107">
        <v>0.18099540762496899</v>
      </c>
      <c r="O107">
        <v>0.2479244810964048</v>
      </c>
      <c r="P107">
        <v>0.28200643354036625</v>
      </c>
    </row>
    <row r="108" spans="13:16">
      <c r="M108">
        <v>0.32176977064276652</v>
      </c>
      <c r="N108">
        <v>0.16734402341106777</v>
      </c>
      <c r="O108">
        <v>0.24414891987289614</v>
      </c>
      <c r="P108">
        <v>0.26673728607326957</v>
      </c>
    </row>
    <row r="109" spans="13:16">
      <c r="M109">
        <v>0.31268078987030123</v>
      </c>
      <c r="N109">
        <v>0.18341112711675414</v>
      </c>
      <c r="O109">
        <v>0.22361499039311783</v>
      </c>
      <c r="P109">
        <v>0.28029309261982677</v>
      </c>
    </row>
    <row r="110" spans="13:16">
      <c r="M110">
        <v>0.30407644840484882</v>
      </c>
      <c r="N110">
        <v>0.16705448239290602</v>
      </c>
      <c r="O110">
        <v>0.27281906276839768</v>
      </c>
      <c r="P110">
        <v>0.2560500064338474</v>
      </c>
    </row>
    <row r="111" spans="13:16">
      <c r="M111">
        <v>0.29133110635780929</v>
      </c>
      <c r="N111">
        <v>0.17104538014895757</v>
      </c>
      <c r="O111">
        <v>0.29320870112070785</v>
      </c>
      <c r="P111">
        <v>0.24441481237252538</v>
      </c>
    </row>
    <row r="112" spans="13:16">
      <c r="M112">
        <v>0.28699425959633657</v>
      </c>
      <c r="N112">
        <v>0.17881261868063936</v>
      </c>
      <c r="O112">
        <v>0.27563812219397255</v>
      </c>
      <c r="P112">
        <v>0.25855499952905142</v>
      </c>
    </row>
    <row r="113" spans="1:16">
      <c r="M113">
        <v>0.29945590476740752</v>
      </c>
      <c r="N113">
        <v>0.1736127031543003</v>
      </c>
      <c r="O113">
        <v>0.26432751081287698</v>
      </c>
      <c r="P113">
        <v>0.26260388126541528</v>
      </c>
    </row>
    <row r="114" spans="1:16">
      <c r="M114">
        <v>0.29959037950929329</v>
      </c>
      <c r="N114">
        <v>0.17111405826405232</v>
      </c>
      <c r="O114">
        <v>0.26994891478429878</v>
      </c>
      <c r="P114">
        <v>0.25934664744235558</v>
      </c>
    </row>
    <row r="115" spans="1:16">
      <c r="M115">
        <v>0.27098331327452274</v>
      </c>
      <c r="N115">
        <v>0.17749224756081236</v>
      </c>
      <c r="O115">
        <v>0.28465734125652931</v>
      </c>
      <c r="P115">
        <v>0.26686709790813551</v>
      </c>
    </row>
    <row r="116" spans="1:16">
      <c r="M116">
        <v>0.28039165523918963</v>
      </c>
      <c r="N116">
        <v>0.19870638604420413</v>
      </c>
      <c r="O116">
        <v>0.24481704968669046</v>
      </c>
      <c r="P116">
        <v>0.27608490902991578</v>
      </c>
    </row>
    <row r="117" spans="1:16">
      <c r="M117">
        <v>0.27804846866079436</v>
      </c>
      <c r="N117">
        <v>0.19415506514236</v>
      </c>
      <c r="O117">
        <v>0.25289551802198001</v>
      </c>
      <c r="P117">
        <v>0.2749009481748656</v>
      </c>
    </row>
    <row r="118" spans="1:16">
      <c r="M118">
        <v>0.3000798059321525</v>
      </c>
      <c r="N118">
        <v>0.17233569780032978</v>
      </c>
      <c r="O118">
        <v>0.28155256742559909</v>
      </c>
      <c r="P118">
        <v>0.24603192884191863</v>
      </c>
    </row>
    <row r="119" spans="1:16">
      <c r="M119">
        <v>0.30233084903240864</v>
      </c>
      <c r="N119">
        <v>0.17312622936477043</v>
      </c>
      <c r="O119">
        <v>0.27212647248852312</v>
      </c>
      <c r="P119">
        <v>0.25241644911429778</v>
      </c>
    </row>
    <row r="120" spans="1:16">
      <c r="M120">
        <v>0.3013339476735416</v>
      </c>
      <c r="N120">
        <v>0.17024791508593809</v>
      </c>
      <c r="O120">
        <v>0.2659881034367369</v>
      </c>
      <c r="P120">
        <v>0.26243003380378344</v>
      </c>
    </row>
    <row r="121" spans="1:16">
      <c r="M121">
        <v>0.3153372189137349</v>
      </c>
      <c r="N121">
        <v>0.17278618700659557</v>
      </c>
      <c r="O121">
        <v>0.25515088560134586</v>
      </c>
      <c r="P121">
        <v>0.25672570847832371</v>
      </c>
    </row>
    <row r="122" spans="1:16">
      <c r="M122">
        <v>0.29217688578881862</v>
      </c>
      <c r="N122">
        <v>0.1769650761190619</v>
      </c>
      <c r="O122">
        <v>0.27395315523892289</v>
      </c>
      <c r="P122">
        <v>0.25690488285319651</v>
      </c>
    </row>
    <row r="123" spans="1:16" hidden="1">
      <c r="A123" t="s">
        <v>1100</v>
      </c>
      <c r="B123" t="s">
        <v>59</v>
      </c>
      <c r="C123" t="s">
        <v>60</v>
      </c>
      <c r="D123" t="s">
        <v>61</v>
      </c>
      <c r="E123" t="s">
        <v>62</v>
      </c>
      <c r="M123">
        <v>0.29994362887563475</v>
      </c>
      <c r="N123">
        <v>0.19327870859450386</v>
      </c>
      <c r="O123">
        <v>0.2357392175028484</v>
      </c>
      <c r="P123">
        <v>0.27103844502701285</v>
      </c>
    </row>
    <row r="124" spans="1:16" hidden="1">
      <c r="A124" s="122">
        <v>0.05</v>
      </c>
      <c r="B124">
        <f>_xlfn.PERCENTILE.INC($M$3:$M$995,0.05)</f>
        <v>0.26706609394347147</v>
      </c>
      <c r="C124">
        <f>_xlfn.PERCENTILE.INC($N$3:$N$995,0.05)</f>
        <v>0.16846754702392122</v>
      </c>
      <c r="D124">
        <f>_xlfn.PERCENTILE.INC($O$3:$O$995,0.05)</f>
        <v>0.22653228311612922</v>
      </c>
      <c r="E124">
        <f>_xlfn.PERCENTILE.INC($P$3:$P$995,0.05)</f>
        <v>0.24666424304436746</v>
      </c>
      <c r="M124">
        <v>0.29687750315527334</v>
      </c>
      <c r="N124">
        <v>0.1786710500420903</v>
      </c>
      <c r="O124">
        <v>0.2730979807437785</v>
      </c>
      <c r="P124">
        <v>0.25135346605885783</v>
      </c>
    </row>
    <row r="125" spans="1:16" hidden="1">
      <c r="A125" s="122">
        <v>0.25</v>
      </c>
      <c r="B125">
        <f>_xlfn.PERCENTILE.INC($M$3:$M$995,0.25)</f>
        <v>0.28023935327878957</v>
      </c>
      <c r="C125">
        <f>_xlfn.PERCENTILE.INC($N$3:$N$995,0.25)</f>
        <v>0.1775843023537646</v>
      </c>
      <c r="D125">
        <f>_xlfn.PERCENTILE.INC($O$3:$O$995,0.25)</f>
        <v>0.2447406027029034</v>
      </c>
      <c r="E125">
        <f>_xlfn.PERCENTILE.INC($P$3:$P$995,0.25)</f>
        <v>0.25613396793681353</v>
      </c>
      <c r="M125">
        <v>0.30361645416899857</v>
      </c>
      <c r="N125">
        <v>0.17635814650322676</v>
      </c>
      <c r="O125">
        <v>0.2687501881213295</v>
      </c>
      <c r="P125">
        <v>0.25127521120644514</v>
      </c>
    </row>
    <row r="126" spans="1:16" hidden="1">
      <c r="A126" s="122">
        <v>0.5</v>
      </c>
      <c r="B126">
        <f>_xlfn.PERCENTILE.INC($M$3:$M$995,0.5)</f>
        <v>0.29120774527495064</v>
      </c>
      <c r="C126">
        <f>_xlfn.PERCENTILE.INC($N$3:$N$995,0.5)</f>
        <v>0.1850961598856421</v>
      </c>
      <c r="D126">
        <f>_xlfn.PERCENTILE.INC($O$3:$O$995,0.5)</f>
        <v>0.25911895349938019</v>
      </c>
      <c r="E126">
        <f>_xlfn.PERCENTILE.INC($P$3:$P$995,0.5)</f>
        <v>0.26367829636987034</v>
      </c>
      <c r="M126">
        <v>0.28806134784302273</v>
      </c>
      <c r="N126">
        <v>0.17737716080849344</v>
      </c>
      <c r="O126">
        <v>0.25434714422102117</v>
      </c>
      <c r="P126">
        <v>0.28021434712746263</v>
      </c>
    </row>
    <row r="127" spans="1:16" hidden="1">
      <c r="A127" s="122">
        <v>0.75</v>
      </c>
      <c r="B127">
        <f>_xlfn.PERCENTILE.INC($M$3:$M$995,0.75)</f>
        <v>0.30356774203701303</v>
      </c>
      <c r="C127">
        <f>_xlfn.PERCENTILE.INC($N$3:$N$995,0.75)</f>
        <v>0.19359366572272707</v>
      </c>
      <c r="D127">
        <f>_xlfn.PERCENTILE.INC($O$3:$O$995,0.75)</f>
        <v>0.27154512801657299</v>
      </c>
      <c r="E127">
        <f>_xlfn.PERCENTILE.INC($P$3:$P$995,0.75)</f>
        <v>0.2717492841377131</v>
      </c>
      <c r="M127">
        <v>0.30599492290066177</v>
      </c>
      <c r="N127">
        <v>0.18123460950631037</v>
      </c>
      <c r="O127">
        <v>0.25389886792407534</v>
      </c>
      <c r="P127">
        <v>0.25887159966895251</v>
      </c>
    </row>
    <row r="128" spans="1:16" hidden="1">
      <c r="A128" s="122">
        <v>0.95</v>
      </c>
      <c r="B128">
        <f>_xlfn.PERCENTILE.INC($M$3:$M$995,0.95)</f>
        <v>0.32066496411014178</v>
      </c>
      <c r="C128">
        <f>_xlfn.PERCENTILE.INC($N$3:$N$995,0.95)</f>
        <v>0.20576257092365713</v>
      </c>
      <c r="D128">
        <f>_xlfn.PERCENTILE.INC($O$3:$O$995,0.95)</f>
        <v>0.29108787440159578</v>
      </c>
      <c r="E128">
        <f>_xlfn.PERCENTILE.INC($P$3:$P$995,0.95)</f>
        <v>0.28197382396913595</v>
      </c>
      <c r="M128">
        <v>0.29549819416259421</v>
      </c>
      <c r="N128">
        <v>0.18538615910235828</v>
      </c>
      <c r="O128">
        <v>0.24112928327488278</v>
      </c>
      <c r="P128">
        <v>0.27798636346016481</v>
      </c>
    </row>
    <row r="129" spans="1:16">
      <c r="M129">
        <v>0.29540974426773314</v>
      </c>
      <c r="N129">
        <v>0.17230382820064291</v>
      </c>
      <c r="O129">
        <v>0.27921989247619144</v>
      </c>
      <c r="P129">
        <v>0.25306653505543242</v>
      </c>
    </row>
    <row r="130" spans="1:16">
      <c r="M130">
        <v>0.29644442093636564</v>
      </c>
      <c r="N130">
        <v>0.17538913072552501</v>
      </c>
      <c r="O130">
        <v>0.277160854189409</v>
      </c>
      <c r="P130">
        <v>0.25100559414870027</v>
      </c>
    </row>
    <row r="131" spans="1:16">
      <c r="M131">
        <v>0.30082245946144243</v>
      </c>
      <c r="N131">
        <v>0.16248435368926534</v>
      </c>
      <c r="O131">
        <v>0.28934849973247034</v>
      </c>
      <c r="P131">
        <v>0.24734468711682189</v>
      </c>
    </row>
    <row r="132" spans="1:16">
      <c r="M132">
        <v>0.28568383275734749</v>
      </c>
      <c r="N132">
        <v>0.19440017206201357</v>
      </c>
      <c r="O132">
        <v>0.26240207638905055</v>
      </c>
      <c r="P132">
        <v>0.25751391879158841</v>
      </c>
    </row>
    <row r="133" spans="1:16">
      <c r="M133">
        <v>0.28474308224445072</v>
      </c>
      <c r="N133">
        <v>0.18338820937633968</v>
      </c>
      <c r="O133">
        <v>0.26227851713218608</v>
      </c>
      <c r="P133">
        <v>0.26959019124702355</v>
      </c>
    </row>
    <row r="134" spans="1:16">
      <c r="M134">
        <v>0.29183527669216242</v>
      </c>
      <c r="N134">
        <v>0.1978456393974265</v>
      </c>
      <c r="O134">
        <v>0.23679963058956807</v>
      </c>
      <c r="P134">
        <v>0.27351945332084299</v>
      </c>
    </row>
    <row r="135" spans="1:16">
      <c r="M135">
        <v>0.29119299868122306</v>
      </c>
      <c r="N135">
        <v>0.18614701445513376</v>
      </c>
      <c r="O135">
        <v>0.26359589780182391</v>
      </c>
      <c r="P135">
        <v>0.25906408906181921</v>
      </c>
    </row>
    <row r="136" spans="1:16">
      <c r="M136">
        <v>0.25804391129458482</v>
      </c>
      <c r="N136">
        <v>0.20995321270838435</v>
      </c>
      <c r="O136">
        <v>0.26590656131925366</v>
      </c>
      <c r="P136">
        <v>0.26609631467777717</v>
      </c>
    </row>
    <row r="137" spans="1:16">
      <c r="M137">
        <v>0.31924567005191357</v>
      </c>
      <c r="N137">
        <v>0.18820986566145009</v>
      </c>
      <c r="O137">
        <v>0.22251475344176225</v>
      </c>
      <c r="P137">
        <v>0.27002971084487409</v>
      </c>
    </row>
    <row r="138" spans="1:16">
      <c r="M138">
        <v>0.26505988581635892</v>
      </c>
      <c r="N138">
        <v>0.17963219344888912</v>
      </c>
      <c r="O138">
        <v>0.29730741823102619</v>
      </c>
      <c r="P138">
        <v>0.25800050250372586</v>
      </c>
    </row>
    <row r="139" spans="1:16">
      <c r="A139" s="25"/>
      <c r="M139">
        <v>0.30437859812775703</v>
      </c>
      <c r="N139">
        <v>0.16791621003093968</v>
      </c>
      <c r="O139">
        <v>0.26998763289449312</v>
      </c>
      <c r="P139">
        <v>0.25771755894681003</v>
      </c>
    </row>
    <row r="140" spans="1:16">
      <c r="M140">
        <v>0.31552498307732818</v>
      </c>
      <c r="N140">
        <v>0.16992669677975186</v>
      </c>
      <c r="O140">
        <v>0.26553961780498736</v>
      </c>
      <c r="P140">
        <v>0.2490087023379326</v>
      </c>
    </row>
    <row r="141" spans="1:16">
      <c r="B141" s="121"/>
      <c r="C141" s="121"/>
      <c r="D141" s="121"/>
      <c r="E141" s="121"/>
      <c r="M141">
        <v>0.28277522698076885</v>
      </c>
      <c r="N141">
        <v>0.18493746702720201</v>
      </c>
      <c r="O141">
        <v>0.27086876412880639</v>
      </c>
      <c r="P141">
        <v>0.26141854186322272</v>
      </c>
    </row>
    <row r="142" spans="1:16">
      <c r="B142" s="121"/>
      <c r="C142" s="121"/>
      <c r="D142" s="121"/>
      <c r="E142" s="121"/>
      <c r="M142">
        <v>0.30638655743471699</v>
      </c>
      <c r="N142">
        <v>0.19824611934353162</v>
      </c>
      <c r="O142">
        <v>0.21901797946445856</v>
      </c>
      <c r="P142">
        <v>0.27634934375729286</v>
      </c>
    </row>
    <row r="143" spans="1:16">
      <c r="B143" s="121"/>
      <c r="C143" s="121"/>
      <c r="D143" s="121"/>
      <c r="E143" s="121"/>
      <c r="M143">
        <v>0.30085557616898306</v>
      </c>
      <c r="N143">
        <v>0.18050885867664507</v>
      </c>
      <c r="O143">
        <v>0.25320123987478238</v>
      </c>
      <c r="P143">
        <v>0.2654343252795896</v>
      </c>
    </row>
    <row r="144" spans="1:16">
      <c r="B144" s="121"/>
      <c r="C144" s="121"/>
      <c r="D144" s="121"/>
      <c r="E144" s="121"/>
      <c r="M144">
        <v>0.27868067607858793</v>
      </c>
      <c r="N144">
        <v>0.2143153591093323</v>
      </c>
      <c r="O144">
        <v>0.21942777598104962</v>
      </c>
      <c r="P144">
        <v>0.28757618883103025</v>
      </c>
    </row>
    <row r="145" spans="2:22">
      <c r="B145" s="121"/>
      <c r="C145" s="121"/>
      <c r="D145" s="121"/>
      <c r="E145" s="121"/>
      <c r="M145">
        <v>0.26783663161055166</v>
      </c>
      <c r="N145">
        <v>0.1890654967282781</v>
      </c>
      <c r="O145">
        <v>0.28780398128594825</v>
      </c>
      <c r="P145">
        <v>0.25529389037522199</v>
      </c>
    </row>
    <row r="146" spans="2:22">
      <c r="B146" s="121"/>
      <c r="C146" s="121"/>
      <c r="D146" s="121"/>
      <c r="E146" s="121"/>
      <c r="M146">
        <v>0.29676989326010955</v>
      </c>
      <c r="N146">
        <v>0.19319428379336046</v>
      </c>
      <c r="O146">
        <v>0.24472711337649869</v>
      </c>
      <c r="P146">
        <v>0.26530870957003139</v>
      </c>
    </row>
    <row r="147" spans="2:22">
      <c r="B147" s="121"/>
      <c r="C147" s="121"/>
      <c r="D147" s="121"/>
      <c r="E147" s="121"/>
      <c r="M147">
        <v>0.29951974466720288</v>
      </c>
      <c r="N147">
        <v>0.17856630532221987</v>
      </c>
      <c r="O147">
        <v>0.2659412606130705</v>
      </c>
      <c r="P147">
        <v>0.25597268939750678</v>
      </c>
    </row>
    <row r="148" spans="2:22">
      <c r="M148">
        <v>0.29818523727028134</v>
      </c>
      <c r="N148">
        <v>0.19255024175691812</v>
      </c>
      <c r="O148">
        <v>0.23982985225410083</v>
      </c>
      <c r="P148">
        <v>0.26943466871869975</v>
      </c>
    </row>
    <row r="149" spans="2:22">
      <c r="M149">
        <v>0.31840316009253389</v>
      </c>
      <c r="N149">
        <v>0.18081449943181235</v>
      </c>
      <c r="O149">
        <v>0.24476043986795368</v>
      </c>
      <c r="P149">
        <v>0.25602190060770008</v>
      </c>
    </row>
    <row r="150" spans="2:22">
      <c r="M150">
        <v>0.33414994122051689</v>
      </c>
      <c r="N150">
        <v>0.15962289489398376</v>
      </c>
      <c r="O150">
        <v>0.25752846311273769</v>
      </c>
      <c r="P150">
        <v>0.2486987007727616</v>
      </c>
    </row>
    <row r="151" spans="2:22">
      <c r="M151">
        <v>0.31013163547641853</v>
      </c>
      <c r="N151">
        <v>0.18147525207994417</v>
      </c>
      <c r="O151">
        <v>0.25911895349938019</v>
      </c>
      <c r="P151">
        <v>0.24927415894425697</v>
      </c>
    </row>
    <row r="152" spans="2:22">
      <c r="M152">
        <v>0.31850499871323001</v>
      </c>
      <c r="N152">
        <v>0.18453990678049387</v>
      </c>
      <c r="O152">
        <v>0.25074326305237332</v>
      </c>
      <c r="P152">
        <v>0.24621183145390271</v>
      </c>
    </row>
    <row r="153" spans="2:22">
      <c r="M153">
        <v>0.27317752446825055</v>
      </c>
      <c r="N153">
        <v>0.17742256865329353</v>
      </c>
      <c r="O153">
        <v>0.29330127061801614</v>
      </c>
      <c r="P153">
        <v>0.25609863626043983</v>
      </c>
      <c r="T153" t="s">
        <v>1097</v>
      </c>
      <c r="U153" t="s">
        <v>1098</v>
      </c>
      <c r="V153" t="s">
        <v>1099</v>
      </c>
    </row>
    <row r="154" spans="2:22">
      <c r="M154">
        <v>0.28831997354637551</v>
      </c>
      <c r="N154">
        <v>0.1803184609457239</v>
      </c>
      <c r="O154">
        <v>0.27178586270745131</v>
      </c>
      <c r="P154">
        <v>0.25957570280044928</v>
      </c>
      <c r="T154" s="121">
        <v>0.25440000000000002</v>
      </c>
      <c r="U154">
        <v>0.25438267454576469</v>
      </c>
    </row>
    <row r="155" spans="2:22">
      <c r="M155">
        <v>0.26895129995409406</v>
      </c>
      <c r="N155">
        <v>0.1954518397408059</v>
      </c>
      <c r="O155">
        <v>0.27336746306266446</v>
      </c>
      <c r="P155">
        <v>0.26222939724243549</v>
      </c>
    </row>
    <row r="156" spans="2:22">
      <c r="M156">
        <v>0.27367338176840461</v>
      </c>
      <c r="N156">
        <v>0.19359318404193077</v>
      </c>
      <c r="O156">
        <v>0.2468784151315144</v>
      </c>
      <c r="P156">
        <v>0.28585501905815031</v>
      </c>
    </row>
    <row r="157" spans="2:22">
      <c r="M157">
        <v>0.28292892017375137</v>
      </c>
      <c r="N157">
        <v>0.19790463916321938</v>
      </c>
      <c r="O157">
        <v>0.25729891240852892</v>
      </c>
      <c r="P157">
        <v>0.26186752825450027</v>
      </c>
    </row>
    <row r="158" spans="2:22">
      <c r="M158">
        <v>0.28266626038079923</v>
      </c>
      <c r="N158">
        <v>0.18320677638048277</v>
      </c>
      <c r="O158">
        <v>0.27247018889448976</v>
      </c>
      <c r="P158">
        <v>0.26165677434422818</v>
      </c>
    </row>
    <row r="159" spans="2:22">
      <c r="M159">
        <v>0.2917641977954088</v>
      </c>
      <c r="N159">
        <v>0.18304592200721495</v>
      </c>
      <c r="O159">
        <v>0.25773915546712967</v>
      </c>
      <c r="P159">
        <v>0.26745072473024667</v>
      </c>
    </row>
    <row r="160" spans="2:22">
      <c r="M160">
        <v>0.28845494041886111</v>
      </c>
      <c r="N160">
        <v>0.17511726928263349</v>
      </c>
      <c r="O160">
        <v>0.26772509577895592</v>
      </c>
      <c r="P160">
        <v>0.26870269451954948</v>
      </c>
    </row>
    <row r="161" spans="13:16">
      <c r="M161">
        <v>0.32202525011101674</v>
      </c>
      <c r="N161">
        <v>0.16738029773183036</v>
      </c>
      <c r="O161">
        <v>0.25599236537633741</v>
      </c>
      <c r="P161">
        <v>0.25460208678081564</v>
      </c>
    </row>
    <row r="162" spans="13:16">
      <c r="M162">
        <v>0.25934303390303071</v>
      </c>
      <c r="N162">
        <v>0.19510940845637159</v>
      </c>
      <c r="O162">
        <v>0.2847905940058304</v>
      </c>
      <c r="P162">
        <v>0.26075696363476736</v>
      </c>
    </row>
    <row r="163" spans="13:16">
      <c r="M163">
        <v>0.28212533915883586</v>
      </c>
      <c r="N163">
        <v>0.18962698489132385</v>
      </c>
      <c r="O163">
        <v>0.26051619254309039</v>
      </c>
      <c r="P163">
        <v>0.2677314834067499</v>
      </c>
    </row>
    <row r="164" spans="13:16">
      <c r="M164">
        <v>0.32041308700475157</v>
      </c>
      <c r="N164">
        <v>0.18314912855684409</v>
      </c>
      <c r="O164">
        <v>0.22455146448861776</v>
      </c>
      <c r="P164">
        <v>0.27188631994978663</v>
      </c>
    </row>
    <row r="165" spans="13:16">
      <c r="M165">
        <v>0.2941523736590449</v>
      </c>
      <c r="N165">
        <v>0.18148936299452095</v>
      </c>
      <c r="O165">
        <v>0.26773030809771375</v>
      </c>
      <c r="P165">
        <v>0.25662795524872034</v>
      </c>
    </row>
    <row r="166" spans="13:16">
      <c r="M166">
        <v>0.26180243881404047</v>
      </c>
      <c r="N166">
        <v>0.20762425722359748</v>
      </c>
      <c r="O166">
        <v>0.26808643926342091</v>
      </c>
      <c r="P166">
        <v>0.262486864698941</v>
      </c>
    </row>
    <row r="167" spans="13:16">
      <c r="M167">
        <v>0.30671604336769376</v>
      </c>
      <c r="N167">
        <v>0.1877455169575209</v>
      </c>
      <c r="O167">
        <v>0.25122110543675347</v>
      </c>
      <c r="P167">
        <v>0.25431733423803193</v>
      </c>
    </row>
    <row r="168" spans="13:16">
      <c r="M168">
        <v>0.30386962281737717</v>
      </c>
      <c r="N168">
        <v>0.17175784959503634</v>
      </c>
      <c r="O168">
        <v>0.25996845462762252</v>
      </c>
      <c r="P168">
        <v>0.26440407295996399</v>
      </c>
    </row>
    <row r="169" spans="13:16">
      <c r="M169">
        <v>0.28645085394652947</v>
      </c>
      <c r="N169">
        <v>0.1813053147999355</v>
      </c>
      <c r="O169">
        <v>0.25913659119373428</v>
      </c>
      <c r="P169">
        <v>0.27310724005980086</v>
      </c>
    </row>
    <row r="170" spans="13:16">
      <c r="M170">
        <v>0.31363403453442434</v>
      </c>
      <c r="N170">
        <v>0.1903221157220624</v>
      </c>
      <c r="O170">
        <v>0.22335523411196337</v>
      </c>
      <c r="P170">
        <v>0.27268861563154995</v>
      </c>
    </row>
    <row r="171" spans="13:16">
      <c r="M171">
        <v>0.29208058474939408</v>
      </c>
      <c r="N171">
        <v>0.21191379209126507</v>
      </c>
      <c r="O171">
        <v>0.22372449181246462</v>
      </c>
      <c r="P171">
        <v>0.27228113134687609</v>
      </c>
    </row>
    <row r="172" spans="13:16">
      <c r="M172">
        <v>0.27672357253513458</v>
      </c>
      <c r="N172">
        <v>0.18338136545417874</v>
      </c>
      <c r="O172">
        <v>0.27118467526082735</v>
      </c>
      <c r="P172">
        <v>0.26871038674985942</v>
      </c>
    </row>
    <row r="173" spans="13:16">
      <c r="M173">
        <v>0.29120437100423885</v>
      </c>
      <c r="N173">
        <v>0.19234477128115704</v>
      </c>
      <c r="O173">
        <v>0.25156361091614576</v>
      </c>
      <c r="P173">
        <v>0.26488724679845843</v>
      </c>
    </row>
    <row r="174" spans="13:16">
      <c r="M174">
        <v>0.2722129009862902</v>
      </c>
      <c r="N174">
        <v>0.18751963201003596</v>
      </c>
      <c r="O174">
        <v>0.27154512801657299</v>
      </c>
      <c r="P174">
        <v>0.26872233898710091</v>
      </c>
    </row>
    <row r="175" spans="13:16">
      <c r="M175">
        <v>0.28057183033575084</v>
      </c>
      <c r="N175">
        <v>0.19695977729352257</v>
      </c>
      <c r="O175">
        <v>0.25200870699186412</v>
      </c>
      <c r="P175">
        <v>0.2704596853788625</v>
      </c>
    </row>
    <row r="176" spans="13:16">
      <c r="M176">
        <v>0.30156010403463268</v>
      </c>
      <c r="N176">
        <v>0.19253783248038547</v>
      </c>
      <c r="O176">
        <v>0.26493685308440579</v>
      </c>
      <c r="P176">
        <v>0.24096521040057614</v>
      </c>
    </row>
    <row r="177" spans="13:22">
      <c r="M177">
        <v>0.28433903309252317</v>
      </c>
      <c r="N177">
        <v>0.18400275150166387</v>
      </c>
      <c r="O177">
        <v>0.28463676442788832</v>
      </c>
      <c r="P177">
        <v>0.24702145097792452</v>
      </c>
    </row>
    <row r="178" spans="13:22">
      <c r="M178">
        <v>0.29102728234370268</v>
      </c>
      <c r="N178">
        <v>0.17881787301195404</v>
      </c>
      <c r="O178">
        <v>0.25579211395514673</v>
      </c>
      <c r="P178">
        <v>0.27436273068919664</v>
      </c>
      <c r="T178" t="s">
        <v>1097</v>
      </c>
      <c r="U178" t="s">
        <v>1098</v>
      </c>
      <c r="V178" t="s">
        <v>1099</v>
      </c>
    </row>
    <row r="179" spans="13:22">
      <c r="M179">
        <v>0.28353010044219734</v>
      </c>
      <c r="N179">
        <v>0.19199837308666762</v>
      </c>
      <c r="O179">
        <v>0.24010142370782669</v>
      </c>
      <c r="P179">
        <v>0.28437010276330837</v>
      </c>
      <c r="T179" s="121">
        <v>0.15590000000000001</v>
      </c>
      <c r="U179">
        <v>0.15590299543959762</v>
      </c>
    </row>
    <row r="180" spans="13:22">
      <c r="M180">
        <v>0.2861598421245834</v>
      </c>
      <c r="N180">
        <v>0.19503386418325461</v>
      </c>
      <c r="O180">
        <v>0.24539869117484672</v>
      </c>
      <c r="P180">
        <v>0.27340760251731533</v>
      </c>
    </row>
    <row r="181" spans="13:22">
      <c r="M181">
        <v>0.28850834081452148</v>
      </c>
      <c r="N181">
        <v>0.19293904919093607</v>
      </c>
      <c r="O181">
        <v>0.22845862235795508</v>
      </c>
      <c r="P181">
        <v>0.29009398763658734</v>
      </c>
    </row>
    <row r="182" spans="13:22">
      <c r="M182">
        <v>0.2728759090285468</v>
      </c>
      <c r="N182">
        <v>0.20296913406495704</v>
      </c>
      <c r="O182">
        <v>0.24948343045716326</v>
      </c>
      <c r="P182">
        <v>0.27467152644933307</v>
      </c>
    </row>
    <row r="183" spans="13:22">
      <c r="M183">
        <v>0.26917847850717586</v>
      </c>
      <c r="N183">
        <v>0.20476716565708364</v>
      </c>
      <c r="O183">
        <v>0.25407667321302307</v>
      </c>
      <c r="P183">
        <v>0.27197768262271743</v>
      </c>
    </row>
    <row r="184" spans="13:22">
      <c r="M184">
        <v>0.28129941725596619</v>
      </c>
      <c r="N184">
        <v>0.18757255911469758</v>
      </c>
      <c r="O184">
        <v>0.26644423737254685</v>
      </c>
      <c r="P184">
        <v>0.2646837862567894</v>
      </c>
    </row>
    <row r="185" spans="13:22">
      <c r="M185">
        <v>0.3043870693323818</v>
      </c>
      <c r="N185">
        <v>0.17567744996443377</v>
      </c>
      <c r="O185">
        <v>0.27863610670877742</v>
      </c>
      <c r="P185">
        <v>0.24129937399440696</v>
      </c>
    </row>
    <row r="186" spans="13:22">
      <c r="M186">
        <v>0.30169159719775945</v>
      </c>
      <c r="N186">
        <v>0.18187971847577306</v>
      </c>
      <c r="O186">
        <v>0.24669716224641905</v>
      </c>
      <c r="P186">
        <v>0.26973152208004852</v>
      </c>
    </row>
    <row r="187" spans="13:22">
      <c r="M187">
        <v>0.28963638455659813</v>
      </c>
      <c r="N187">
        <v>0.19038457151095339</v>
      </c>
      <c r="O187">
        <v>0.26134484146296466</v>
      </c>
      <c r="P187">
        <v>0.25863420246948376</v>
      </c>
    </row>
    <row r="188" spans="13:22">
      <c r="M188">
        <v>0.2977960272881211</v>
      </c>
      <c r="N188">
        <v>0.186365443550602</v>
      </c>
      <c r="O188">
        <v>0.24300963523839653</v>
      </c>
      <c r="P188">
        <v>0.2728288939228804</v>
      </c>
    </row>
    <row r="189" spans="13:22">
      <c r="M189">
        <v>0.30066181336100178</v>
      </c>
      <c r="N189">
        <v>0.16948074720497949</v>
      </c>
      <c r="O189">
        <v>0.27871465882256402</v>
      </c>
      <c r="P189">
        <v>0.25114278061145473</v>
      </c>
    </row>
    <row r="190" spans="13:22">
      <c r="M190">
        <v>0.27894404085692581</v>
      </c>
      <c r="N190">
        <v>0.19362824428177725</v>
      </c>
      <c r="O190">
        <v>0.24260270213778928</v>
      </c>
      <c r="P190">
        <v>0.28482501272350769</v>
      </c>
    </row>
    <row r="191" spans="13:22">
      <c r="M191">
        <v>0.2729002609550723</v>
      </c>
      <c r="N191">
        <v>0.19414035400393986</v>
      </c>
      <c r="O191">
        <v>0.26081139968682165</v>
      </c>
      <c r="P191">
        <v>0.27214798535416607</v>
      </c>
    </row>
    <row r="192" spans="13:22">
      <c r="M192">
        <v>0.27957181742758513</v>
      </c>
      <c r="N192">
        <v>0.19300034969589575</v>
      </c>
      <c r="O192">
        <v>0.24699578884450768</v>
      </c>
      <c r="P192">
        <v>0.2804320440320115</v>
      </c>
    </row>
    <row r="193" spans="13:22">
      <c r="M193">
        <v>0.31869952305308902</v>
      </c>
      <c r="N193">
        <v>0.17193729346761286</v>
      </c>
      <c r="O193">
        <v>0.24518670766079606</v>
      </c>
      <c r="P193">
        <v>0.26417647581850212</v>
      </c>
    </row>
    <row r="194" spans="13:22">
      <c r="M194">
        <v>0.28708742161493084</v>
      </c>
      <c r="N194">
        <v>0.16901807680931899</v>
      </c>
      <c r="O194">
        <v>0.28427070263865067</v>
      </c>
      <c r="P194">
        <v>0.25962379893709958</v>
      </c>
    </row>
    <row r="195" spans="13:22">
      <c r="M195">
        <v>0.27392961456211229</v>
      </c>
      <c r="N195">
        <v>0.1725955325737884</v>
      </c>
      <c r="O195">
        <v>0.29285142529219549</v>
      </c>
      <c r="P195">
        <v>0.26062342757190382</v>
      </c>
    </row>
    <row r="196" spans="13:22">
      <c r="M196">
        <v>0.28093655352745056</v>
      </c>
      <c r="N196">
        <v>0.17264411719869505</v>
      </c>
      <c r="O196">
        <v>0.28242008085941817</v>
      </c>
      <c r="P196">
        <v>0.26399924841443617</v>
      </c>
    </row>
    <row r="197" spans="13:22">
      <c r="M197">
        <v>0.28600679788714273</v>
      </c>
      <c r="N197">
        <v>0.19117686234815318</v>
      </c>
      <c r="O197">
        <v>0.26944686208167529</v>
      </c>
      <c r="P197">
        <v>0.25336947768302881</v>
      </c>
    </row>
    <row r="198" spans="13:22">
      <c r="M198">
        <v>0.27945722119176164</v>
      </c>
      <c r="N198">
        <v>0.20581711812993581</v>
      </c>
      <c r="O198">
        <v>0.24291958812368761</v>
      </c>
      <c r="P198">
        <v>0.27180607255461503</v>
      </c>
    </row>
    <row r="199" spans="13:22">
      <c r="M199">
        <v>0.28209885821659503</v>
      </c>
      <c r="N199">
        <v>0.1887418463321284</v>
      </c>
      <c r="O199">
        <v>0.269396308090804</v>
      </c>
      <c r="P199">
        <v>0.25976298736047254</v>
      </c>
    </row>
    <row r="200" spans="13:22">
      <c r="M200">
        <v>0.30562828196366781</v>
      </c>
      <c r="N200">
        <v>0.17498104698441005</v>
      </c>
      <c r="O200">
        <v>0.24909102153382012</v>
      </c>
      <c r="P200">
        <v>0.27029964951810204</v>
      </c>
    </row>
    <row r="201" spans="13:22">
      <c r="M201">
        <v>0.31574707313423006</v>
      </c>
      <c r="N201">
        <v>0.18087270107017461</v>
      </c>
      <c r="O201">
        <v>0.24593165374356252</v>
      </c>
      <c r="P201">
        <v>0.25744857205203292</v>
      </c>
    </row>
    <row r="202" spans="13:22">
      <c r="M202">
        <v>0.29032585461529292</v>
      </c>
      <c r="N202">
        <v>0.17424023712204076</v>
      </c>
      <c r="O202">
        <v>0.27857478753214254</v>
      </c>
      <c r="P202">
        <v>0.25685912073052392</v>
      </c>
    </row>
    <row r="203" spans="13:22">
      <c r="M203">
        <v>0.31783068455996999</v>
      </c>
      <c r="N203">
        <v>0.17900052222131704</v>
      </c>
      <c r="O203">
        <v>0.2458059267059865</v>
      </c>
      <c r="P203">
        <v>0.25736286651272655</v>
      </c>
      <c r="T203" t="s">
        <v>1097</v>
      </c>
      <c r="U203" t="s">
        <v>1098</v>
      </c>
      <c r="V203" t="s">
        <v>1099</v>
      </c>
    </row>
    <row r="204" spans="13:22">
      <c r="M204">
        <v>0.32890652268628567</v>
      </c>
      <c r="N204">
        <v>0.17141339500647954</v>
      </c>
      <c r="O204">
        <v>0.24069165946555257</v>
      </c>
      <c r="P204">
        <v>0.25898842284168222</v>
      </c>
      <c r="T204" s="121">
        <v>0.20760000000000001</v>
      </c>
      <c r="U204">
        <v>0.20761011250731493</v>
      </c>
    </row>
    <row r="205" spans="13:22">
      <c r="M205">
        <v>0.28949637168533549</v>
      </c>
      <c r="N205">
        <v>0.17510710174583932</v>
      </c>
      <c r="O205">
        <v>0.28174124503605147</v>
      </c>
      <c r="P205">
        <v>0.25365528153277378</v>
      </c>
    </row>
    <row r="206" spans="13:22">
      <c r="M206">
        <v>0.28769566057348656</v>
      </c>
      <c r="N206">
        <v>0.1790115187557034</v>
      </c>
      <c r="O206">
        <v>0.26518159206915171</v>
      </c>
      <c r="P206">
        <v>0.26811122860165831</v>
      </c>
    </row>
    <row r="207" spans="13:22">
      <c r="M207">
        <v>0.32079068420830492</v>
      </c>
      <c r="N207">
        <v>0.15980040403102888</v>
      </c>
      <c r="O207">
        <v>0.26321929266510941</v>
      </c>
      <c r="P207">
        <v>0.25618961909555676</v>
      </c>
    </row>
    <row r="208" spans="13:22">
      <c r="M208">
        <v>0.30039624263255382</v>
      </c>
      <c r="N208">
        <v>0.17564001700248205</v>
      </c>
      <c r="O208">
        <v>0.26386366104068443</v>
      </c>
      <c r="P208">
        <v>0.26010007932427964</v>
      </c>
    </row>
    <row r="209" spans="13:16">
      <c r="M209">
        <v>0.31065695467968862</v>
      </c>
      <c r="N209">
        <v>0.16781335137486469</v>
      </c>
      <c r="O209">
        <v>0.28109103828236925</v>
      </c>
      <c r="P209">
        <v>0.24043865566307748</v>
      </c>
    </row>
    <row r="210" spans="13:16">
      <c r="M210">
        <v>0.29415912049226262</v>
      </c>
      <c r="N210">
        <v>0.1950968257558223</v>
      </c>
      <c r="O210">
        <v>0.25519514738935134</v>
      </c>
      <c r="P210">
        <v>0.25554890636256367</v>
      </c>
    </row>
    <row r="211" spans="13:16">
      <c r="M211">
        <v>0.29391707943351658</v>
      </c>
      <c r="N211">
        <v>0.18957850873302101</v>
      </c>
      <c r="O211">
        <v>0.26882312163822475</v>
      </c>
      <c r="P211">
        <v>0.24768129019523766</v>
      </c>
    </row>
    <row r="212" spans="13:16">
      <c r="M212">
        <v>0.29434825464135844</v>
      </c>
      <c r="N212">
        <v>0.16429820202636838</v>
      </c>
      <c r="O212">
        <v>0.29336263803524654</v>
      </c>
      <c r="P212">
        <v>0.24799090529702655</v>
      </c>
    </row>
    <row r="213" spans="13:16">
      <c r="M213">
        <v>0.26570651946935581</v>
      </c>
      <c r="N213">
        <v>0.19095113610063957</v>
      </c>
      <c r="O213">
        <v>0.26080752498058057</v>
      </c>
      <c r="P213">
        <v>0.28253481944942405</v>
      </c>
    </row>
    <row r="214" spans="13:16">
      <c r="M214">
        <v>0.27706796066546274</v>
      </c>
      <c r="N214">
        <v>0.19131078257841549</v>
      </c>
      <c r="O214">
        <v>0.2727395312629376</v>
      </c>
      <c r="P214">
        <v>0.25888172549318422</v>
      </c>
    </row>
    <row r="215" spans="13:16">
      <c r="M215">
        <v>0.33273908420369491</v>
      </c>
      <c r="N215">
        <v>0.19379061213750906</v>
      </c>
      <c r="O215">
        <v>0.20291315237312851</v>
      </c>
      <c r="P215">
        <v>0.27055715128566743</v>
      </c>
    </row>
    <row r="216" spans="13:16">
      <c r="M216">
        <v>0.27593045552023671</v>
      </c>
      <c r="N216">
        <v>0.18494341221705823</v>
      </c>
      <c r="O216">
        <v>0.25772155592068718</v>
      </c>
      <c r="P216">
        <v>0.28140457634201788</v>
      </c>
    </row>
    <row r="217" spans="13:16">
      <c r="M217">
        <v>0.28366203931082423</v>
      </c>
      <c r="N217">
        <v>0.1785937321717164</v>
      </c>
      <c r="O217">
        <v>0.28417245234954669</v>
      </c>
      <c r="P217">
        <v>0.25357177616791277</v>
      </c>
    </row>
    <row r="218" spans="13:16">
      <c r="M218">
        <v>0.31538034538797999</v>
      </c>
      <c r="N218">
        <v>0.17624854889209171</v>
      </c>
      <c r="O218">
        <v>0.24504583159895676</v>
      </c>
      <c r="P218">
        <v>0.26332527412097156</v>
      </c>
    </row>
    <row r="219" spans="13:16">
      <c r="M219">
        <v>0.30654095734993553</v>
      </c>
      <c r="N219">
        <v>0.16566619047988693</v>
      </c>
      <c r="O219">
        <v>0.27177861331630127</v>
      </c>
      <c r="P219">
        <v>0.25601423885387631</v>
      </c>
    </row>
    <row r="220" spans="13:16">
      <c r="M220">
        <v>0.33012443463806806</v>
      </c>
      <c r="N220">
        <v>0.19586182701108476</v>
      </c>
      <c r="O220">
        <v>0.20950451459035302</v>
      </c>
      <c r="P220">
        <v>0.26450922376049424</v>
      </c>
    </row>
    <row r="221" spans="13:16">
      <c r="M221">
        <v>0.2810816273045143</v>
      </c>
      <c r="N221">
        <v>0.2017444671597268</v>
      </c>
      <c r="O221">
        <v>0.23888827124351997</v>
      </c>
      <c r="P221">
        <v>0.27828563429223885</v>
      </c>
    </row>
    <row r="222" spans="13:16">
      <c r="M222">
        <v>0.30356774203701303</v>
      </c>
      <c r="N222">
        <v>0.18551313796000565</v>
      </c>
      <c r="O222">
        <v>0.25158760288707377</v>
      </c>
      <c r="P222">
        <v>0.25933151711590735</v>
      </c>
    </row>
    <row r="223" spans="13:16">
      <c r="M223">
        <v>0.27548257791085812</v>
      </c>
      <c r="N223">
        <v>0.17960695974878524</v>
      </c>
      <c r="O223">
        <v>0.28323334175086312</v>
      </c>
      <c r="P223">
        <v>0.26167712058949349</v>
      </c>
    </row>
    <row r="224" spans="13:16">
      <c r="M224">
        <v>0.30710678030228672</v>
      </c>
      <c r="N224">
        <v>0.18404206124140438</v>
      </c>
      <c r="O224">
        <v>0.23265474133344582</v>
      </c>
      <c r="P224">
        <v>0.27619641712286297</v>
      </c>
    </row>
    <row r="225" spans="13:22">
      <c r="M225">
        <v>0.31760990257264748</v>
      </c>
      <c r="N225">
        <v>0.19353438508665344</v>
      </c>
      <c r="O225">
        <v>0.22006016381231311</v>
      </c>
      <c r="P225">
        <v>0.26879554852838589</v>
      </c>
    </row>
    <row r="226" spans="13:22">
      <c r="M226">
        <v>0.27595143560497598</v>
      </c>
      <c r="N226">
        <v>0.18986355502605026</v>
      </c>
      <c r="O226">
        <v>0.26835689793416623</v>
      </c>
      <c r="P226">
        <v>0.26582811143480756</v>
      </c>
    </row>
    <row r="227" spans="13:22">
      <c r="M227">
        <v>0.29307814566000467</v>
      </c>
      <c r="N227">
        <v>0.18285786554339079</v>
      </c>
      <c r="O227">
        <v>0.2432537298404524</v>
      </c>
      <c r="P227">
        <v>0.28081025895615208</v>
      </c>
    </row>
    <row r="228" spans="13:22">
      <c r="M228">
        <v>0.31431394708115512</v>
      </c>
      <c r="N228">
        <v>0.17448850955446615</v>
      </c>
      <c r="O228">
        <v>0.24880137718701767</v>
      </c>
      <c r="P228">
        <v>0.26239616617736106</v>
      </c>
      <c r="T228" t="s">
        <v>1097</v>
      </c>
      <c r="U228" t="s">
        <v>1098</v>
      </c>
      <c r="V228" t="s">
        <v>1099</v>
      </c>
    </row>
    <row r="229" spans="13:22">
      <c r="M229">
        <v>0.28499816269927797</v>
      </c>
      <c r="N229">
        <v>0.18436034579689528</v>
      </c>
      <c r="O229">
        <v>0.2619789517170526</v>
      </c>
      <c r="P229">
        <v>0.26866253978677412</v>
      </c>
      <c r="T229" s="121">
        <v>0.23369999999999999</v>
      </c>
      <c r="U229">
        <v>0.23373861190940787</v>
      </c>
    </row>
    <row r="230" spans="13:22">
      <c r="M230">
        <v>0.28462930336511266</v>
      </c>
      <c r="N230">
        <v>0.20217725775455109</v>
      </c>
      <c r="O230">
        <v>0.23360701366533038</v>
      </c>
      <c r="P230">
        <v>0.27958642521500582</v>
      </c>
    </row>
    <row r="231" spans="13:22">
      <c r="M231">
        <v>0.30532079577504262</v>
      </c>
      <c r="N231">
        <v>0.19043513834126702</v>
      </c>
      <c r="O231">
        <v>0.24966665114049819</v>
      </c>
      <c r="P231">
        <v>0.25457741474319207</v>
      </c>
    </row>
    <row r="232" spans="13:22">
      <c r="M232">
        <v>0.27912249335670936</v>
      </c>
      <c r="N232">
        <v>0.18359018915234612</v>
      </c>
      <c r="O232">
        <v>0.26038024820481798</v>
      </c>
      <c r="P232">
        <v>0.27690706928612657</v>
      </c>
    </row>
    <row r="233" spans="13:22">
      <c r="M233">
        <v>0.26277147679524476</v>
      </c>
      <c r="N233">
        <v>0.20307827472825471</v>
      </c>
      <c r="O233">
        <v>0.25736441995970982</v>
      </c>
      <c r="P233">
        <v>0.27678582851679073</v>
      </c>
    </row>
    <row r="234" spans="13:22">
      <c r="M234">
        <v>0.27644389383144619</v>
      </c>
      <c r="N234">
        <v>0.20949521205573038</v>
      </c>
      <c r="O234">
        <v>0.24551522310249188</v>
      </c>
      <c r="P234">
        <v>0.26854567101033161</v>
      </c>
    </row>
    <row r="235" spans="13:22">
      <c r="M235">
        <v>0.2982302855534627</v>
      </c>
      <c r="N235">
        <v>0.20635520577521052</v>
      </c>
      <c r="O235">
        <v>0.23011136680623137</v>
      </c>
      <c r="P235">
        <v>0.2653031418650954</v>
      </c>
    </row>
    <row r="236" spans="13:22">
      <c r="M236">
        <v>0.32454703568948223</v>
      </c>
      <c r="N236">
        <v>0.18033857987012927</v>
      </c>
      <c r="O236">
        <v>0.22347532888976387</v>
      </c>
      <c r="P236">
        <v>0.27163905555062473</v>
      </c>
    </row>
    <row r="237" spans="13:22">
      <c r="M237">
        <v>0.30227922893471981</v>
      </c>
      <c r="N237">
        <v>0.17933556687759133</v>
      </c>
      <c r="O237">
        <v>0.23287752530826109</v>
      </c>
      <c r="P237">
        <v>0.28550767887942785</v>
      </c>
    </row>
    <row r="238" spans="13:22">
      <c r="M238">
        <v>0.27858446634138029</v>
      </c>
      <c r="N238">
        <v>0.19110456268367171</v>
      </c>
      <c r="O238">
        <v>0.24939713756928863</v>
      </c>
      <c r="P238">
        <v>0.28091383340565951</v>
      </c>
    </row>
    <row r="239" spans="13:22">
      <c r="M239">
        <v>0.28651577979611753</v>
      </c>
      <c r="N239">
        <v>0.18234310937495501</v>
      </c>
      <c r="O239">
        <v>0.27161877036223125</v>
      </c>
      <c r="P239">
        <v>0.2595223404666962</v>
      </c>
    </row>
    <row r="240" spans="13:22">
      <c r="M240">
        <v>0.27621204082000267</v>
      </c>
      <c r="N240">
        <v>0.2096638331541234</v>
      </c>
      <c r="O240">
        <v>0.24104529555047313</v>
      </c>
      <c r="P240">
        <v>0.27307883047540077</v>
      </c>
    </row>
    <row r="241" spans="13:16">
      <c r="M241">
        <v>0.28693299375599923</v>
      </c>
      <c r="N241">
        <v>0.17647413150021793</v>
      </c>
      <c r="O241">
        <v>0.28693172369788256</v>
      </c>
      <c r="P241">
        <v>0.24966115104590009</v>
      </c>
    </row>
    <row r="242" spans="13:16">
      <c r="M242">
        <v>0.29914324181037105</v>
      </c>
      <c r="N242">
        <v>0.16944545880485481</v>
      </c>
      <c r="O242">
        <v>0.27852376675530688</v>
      </c>
      <c r="P242">
        <v>0.25288753262946717</v>
      </c>
    </row>
    <row r="243" spans="13:16">
      <c r="M243">
        <v>0.28384896070828264</v>
      </c>
      <c r="N243">
        <v>0.1809718179712767</v>
      </c>
      <c r="O243">
        <v>0.25968151434127401</v>
      </c>
      <c r="P243">
        <v>0.2754977069791667</v>
      </c>
    </row>
    <row r="244" spans="13:16">
      <c r="M244">
        <v>0.30706645085799522</v>
      </c>
      <c r="N244">
        <v>0.17934333543873393</v>
      </c>
      <c r="O244">
        <v>0.2709847452273989</v>
      </c>
      <c r="P244">
        <v>0.24260546847587194</v>
      </c>
    </row>
    <row r="245" spans="13:16">
      <c r="M245">
        <v>0.29188572164519772</v>
      </c>
      <c r="N245">
        <v>0.17861897504737376</v>
      </c>
      <c r="O245">
        <v>0.27192346404223094</v>
      </c>
      <c r="P245">
        <v>0.25757183926519744</v>
      </c>
    </row>
    <row r="246" spans="13:16">
      <c r="M246">
        <v>0.29735550634433866</v>
      </c>
      <c r="N246">
        <v>0.1843543816974032</v>
      </c>
      <c r="O246">
        <v>0.24712532332390599</v>
      </c>
      <c r="P246">
        <v>0.27116478863435223</v>
      </c>
    </row>
    <row r="247" spans="13:16">
      <c r="M247">
        <v>0.28246171093565653</v>
      </c>
      <c r="N247">
        <v>0.18621884662708141</v>
      </c>
      <c r="O247">
        <v>0.25852314146098121</v>
      </c>
      <c r="P247">
        <v>0.27279630097628077</v>
      </c>
    </row>
    <row r="248" spans="13:16">
      <c r="M248">
        <v>0.27722236971161734</v>
      </c>
      <c r="N248">
        <v>0.18888257697829922</v>
      </c>
      <c r="O248">
        <v>0.27668896448517227</v>
      </c>
      <c r="P248">
        <v>0.25720608882491114</v>
      </c>
    </row>
    <row r="249" spans="13:16">
      <c r="M249">
        <v>0.27323915581522912</v>
      </c>
      <c r="N249">
        <v>0.1900123781062476</v>
      </c>
      <c r="O249">
        <v>0.2617096788056012</v>
      </c>
      <c r="P249">
        <v>0.27503878727292219</v>
      </c>
    </row>
    <row r="250" spans="13:16">
      <c r="M250">
        <v>0.26006730836062858</v>
      </c>
      <c r="N250">
        <v>0.19067094780321964</v>
      </c>
      <c r="O250">
        <v>0.29227709545047897</v>
      </c>
      <c r="P250">
        <v>0.25698464838567298</v>
      </c>
    </row>
    <row r="251" spans="13:16">
      <c r="M251">
        <v>0.30346080901198302</v>
      </c>
      <c r="N251">
        <v>0.18132610523750858</v>
      </c>
      <c r="O251">
        <v>0.25728005568502621</v>
      </c>
      <c r="P251">
        <v>0.25793303006548224</v>
      </c>
    </row>
    <row r="252" spans="13:16">
      <c r="M252">
        <v>0.29900957550381602</v>
      </c>
      <c r="N252">
        <v>0.18220248950157947</v>
      </c>
      <c r="O252">
        <v>0.24127000742293611</v>
      </c>
      <c r="P252">
        <v>0.27751792757166843</v>
      </c>
    </row>
    <row r="253" spans="13:16">
      <c r="M253">
        <v>0.28150700072872603</v>
      </c>
      <c r="N253">
        <v>0.20437296479971234</v>
      </c>
      <c r="O253">
        <v>0.25313551076291019</v>
      </c>
      <c r="P253">
        <v>0.26098452370865144</v>
      </c>
    </row>
    <row r="254" spans="13:16">
      <c r="M254">
        <v>0.29347133016552063</v>
      </c>
      <c r="N254">
        <v>0.19451712356785977</v>
      </c>
      <c r="O254">
        <v>0.25511287636451552</v>
      </c>
      <c r="P254">
        <v>0.25689866990210408</v>
      </c>
    </row>
    <row r="255" spans="13:16">
      <c r="M255">
        <v>0.2917992292435172</v>
      </c>
      <c r="N255">
        <v>0.18754659089316172</v>
      </c>
      <c r="O255">
        <v>0.25290167041792938</v>
      </c>
      <c r="P255">
        <v>0.2677525094453917</v>
      </c>
    </row>
    <row r="256" spans="13:16">
      <c r="M256">
        <v>0.32142464728501174</v>
      </c>
      <c r="N256">
        <v>0.16166364141713124</v>
      </c>
      <c r="O256">
        <v>0.25833773784443292</v>
      </c>
      <c r="P256">
        <v>0.25857397345342398</v>
      </c>
    </row>
    <row r="257" spans="13:16">
      <c r="M257">
        <v>0.30925938736081382</v>
      </c>
      <c r="N257">
        <v>0.18101782297535352</v>
      </c>
      <c r="O257">
        <v>0.24821040247499371</v>
      </c>
      <c r="P257">
        <v>0.26151238718883885</v>
      </c>
    </row>
    <row r="258" spans="13:16">
      <c r="M258">
        <v>0.31115576019765528</v>
      </c>
      <c r="N258">
        <v>0.17346673214848524</v>
      </c>
      <c r="O258">
        <v>0.26950819041474439</v>
      </c>
      <c r="P258">
        <v>0.2458693172391152</v>
      </c>
    </row>
    <row r="259" spans="13:16">
      <c r="M259">
        <v>0.28235527069712657</v>
      </c>
      <c r="N259">
        <v>0.18919080753229428</v>
      </c>
      <c r="O259">
        <v>0.26806800183294904</v>
      </c>
      <c r="P259">
        <v>0.26038591993763011</v>
      </c>
    </row>
    <row r="260" spans="13:16">
      <c r="M260">
        <v>0.29046544623154374</v>
      </c>
      <c r="N260">
        <v>0.19916919183920243</v>
      </c>
      <c r="O260">
        <v>0.23707105549208701</v>
      </c>
      <c r="P260">
        <v>0.27329430643716679</v>
      </c>
    </row>
    <row r="261" spans="13:16">
      <c r="M261">
        <v>0.29356462205994271</v>
      </c>
      <c r="N261">
        <v>0.19047458910532342</v>
      </c>
      <c r="O261">
        <v>0.26324724449198333</v>
      </c>
      <c r="P261">
        <v>0.25271354434275051</v>
      </c>
    </row>
    <row r="262" spans="13:16">
      <c r="M262">
        <v>0.28053300768912315</v>
      </c>
      <c r="N262">
        <v>0.18849373501950994</v>
      </c>
      <c r="O262">
        <v>0.26814031679349054</v>
      </c>
      <c r="P262">
        <v>0.26283294049787637</v>
      </c>
    </row>
    <row r="263" spans="13:16">
      <c r="M263">
        <v>0.27029463808738174</v>
      </c>
      <c r="N263">
        <v>0.18941002166018139</v>
      </c>
      <c r="O263">
        <v>0.27374463935867377</v>
      </c>
      <c r="P263">
        <v>0.2665507008937632</v>
      </c>
    </row>
    <row r="264" spans="13:16">
      <c r="M264">
        <v>0.31778304707293492</v>
      </c>
      <c r="N264">
        <v>0.18656773491607534</v>
      </c>
      <c r="O264">
        <v>0.22012869272704128</v>
      </c>
      <c r="P264">
        <v>0.27552052528394844</v>
      </c>
    </row>
    <row r="265" spans="13:16">
      <c r="M265">
        <v>0.3079143909344606</v>
      </c>
      <c r="N265">
        <v>0.1792606285327363</v>
      </c>
      <c r="O265">
        <v>0.23407747036474438</v>
      </c>
      <c r="P265">
        <v>0.27874751016805882</v>
      </c>
    </row>
    <row r="266" spans="13:16">
      <c r="M266">
        <v>0.27317426606871109</v>
      </c>
      <c r="N266">
        <v>0.1870414155314358</v>
      </c>
      <c r="O266">
        <v>0.27302536922854398</v>
      </c>
      <c r="P266">
        <v>0.2667589491713091</v>
      </c>
    </row>
    <row r="267" spans="13:16">
      <c r="M267">
        <v>0.26460340107490149</v>
      </c>
      <c r="N267">
        <v>0.18782172886395049</v>
      </c>
      <c r="O267">
        <v>0.27792463939020395</v>
      </c>
      <c r="P267">
        <v>0.26965023067094412</v>
      </c>
    </row>
    <row r="268" spans="13:16">
      <c r="M268">
        <v>0.29049962288164904</v>
      </c>
      <c r="N268">
        <v>0.18096944410601587</v>
      </c>
      <c r="O268">
        <v>0.27049037654256708</v>
      </c>
      <c r="P268">
        <v>0.25804055646976803</v>
      </c>
    </row>
    <row r="269" spans="13:16">
      <c r="M269">
        <v>0.27982666645324578</v>
      </c>
      <c r="N269">
        <v>0.19653433447568391</v>
      </c>
      <c r="O269">
        <v>0.26576003738932025</v>
      </c>
      <c r="P269">
        <v>0.25787896168175006</v>
      </c>
    </row>
    <row r="270" spans="13:16">
      <c r="M270">
        <v>0.28515983868242067</v>
      </c>
      <c r="N270">
        <v>0.18117612695794078</v>
      </c>
      <c r="O270">
        <v>0.26566500214125288</v>
      </c>
      <c r="P270">
        <v>0.26799903221838572</v>
      </c>
    </row>
    <row r="271" spans="13:16">
      <c r="M271">
        <v>0.27565735301450295</v>
      </c>
      <c r="N271">
        <v>0.19352834959978674</v>
      </c>
      <c r="O271">
        <v>0.25946752432438808</v>
      </c>
      <c r="P271">
        <v>0.27134677306132216</v>
      </c>
    </row>
    <row r="272" spans="13:16">
      <c r="M272">
        <v>0.29332764218971857</v>
      </c>
      <c r="N272">
        <v>0.17063222350781226</v>
      </c>
      <c r="O272">
        <v>0.28414875512353205</v>
      </c>
      <c r="P272">
        <v>0.25189137917893728</v>
      </c>
    </row>
    <row r="273" spans="13:16">
      <c r="M273">
        <v>0.27060653679845309</v>
      </c>
      <c r="N273">
        <v>0.19074763352654564</v>
      </c>
      <c r="O273">
        <v>0.28633560553427179</v>
      </c>
      <c r="P273">
        <v>0.25231022414072957</v>
      </c>
    </row>
    <row r="274" spans="13:16">
      <c r="M274">
        <v>0.27617840607323446</v>
      </c>
      <c r="N274">
        <v>0.19754259149716499</v>
      </c>
      <c r="O274">
        <v>0.26428329675054235</v>
      </c>
      <c r="P274">
        <v>0.26199570567905806</v>
      </c>
    </row>
    <row r="275" spans="13:16">
      <c r="M275">
        <v>0.27940222069697013</v>
      </c>
      <c r="N275">
        <v>0.18259675960757418</v>
      </c>
      <c r="O275">
        <v>0.25542981735076514</v>
      </c>
      <c r="P275">
        <v>0.28257120234469052</v>
      </c>
    </row>
    <row r="276" spans="13:16">
      <c r="M276">
        <v>0.28206018691917034</v>
      </c>
      <c r="N276">
        <v>0.17499277315274855</v>
      </c>
      <c r="O276">
        <v>0.26599122419282017</v>
      </c>
      <c r="P276">
        <v>0.27695581573526096</v>
      </c>
    </row>
    <row r="277" spans="13:16">
      <c r="M277">
        <v>0.3142532894830572</v>
      </c>
      <c r="N277">
        <v>0.18234239923547041</v>
      </c>
      <c r="O277">
        <v>0.23505201732723552</v>
      </c>
      <c r="P277">
        <v>0.2683522939542371</v>
      </c>
    </row>
    <row r="278" spans="13:16">
      <c r="M278">
        <v>0.27786625422486738</v>
      </c>
      <c r="N278">
        <v>0.2022430041752894</v>
      </c>
      <c r="O278">
        <v>0.25691995072656565</v>
      </c>
      <c r="P278">
        <v>0.26297079087327763</v>
      </c>
    </row>
    <row r="279" spans="13:16">
      <c r="M279">
        <v>0.26031480987687039</v>
      </c>
      <c r="N279">
        <v>0.19255259339652034</v>
      </c>
      <c r="O279">
        <v>0.2656281087366853</v>
      </c>
      <c r="P279">
        <v>0.28150448798992389</v>
      </c>
    </row>
    <row r="280" spans="13:16">
      <c r="M280">
        <v>0.28557090715529454</v>
      </c>
      <c r="N280">
        <v>0.19097045106567187</v>
      </c>
      <c r="O280">
        <v>0.2424036317631437</v>
      </c>
      <c r="P280">
        <v>0.28105501001589001</v>
      </c>
    </row>
    <row r="281" spans="13:16">
      <c r="M281">
        <v>0.26978801357325877</v>
      </c>
      <c r="N281">
        <v>0.18660967093383932</v>
      </c>
      <c r="O281">
        <v>0.2800226749602191</v>
      </c>
      <c r="P281">
        <v>0.26357964053268285</v>
      </c>
    </row>
    <row r="282" spans="13:16">
      <c r="M282">
        <v>0.29807966325966434</v>
      </c>
      <c r="N282">
        <v>0.19498757522334773</v>
      </c>
      <c r="O282">
        <v>0.22810371428351839</v>
      </c>
      <c r="P282">
        <v>0.27882904723346957</v>
      </c>
    </row>
    <row r="283" spans="13:16">
      <c r="M283">
        <v>0.29916655667057079</v>
      </c>
      <c r="N283">
        <v>0.17067887871054629</v>
      </c>
      <c r="O283">
        <v>0.27268525038759778</v>
      </c>
      <c r="P283">
        <v>0.25746931423128522</v>
      </c>
    </row>
    <row r="284" spans="13:16">
      <c r="M284">
        <v>0.27926428010923893</v>
      </c>
      <c r="N284">
        <v>0.19397144658520785</v>
      </c>
      <c r="O284">
        <v>0.25146752089624419</v>
      </c>
      <c r="P284">
        <v>0.27529675240930901</v>
      </c>
    </row>
    <row r="285" spans="13:16">
      <c r="M285">
        <v>0.27622365719278924</v>
      </c>
      <c r="N285">
        <v>0.19461885811971438</v>
      </c>
      <c r="O285">
        <v>0.26156603704306275</v>
      </c>
      <c r="P285">
        <v>0.2675914476444336</v>
      </c>
    </row>
    <row r="286" spans="13:16">
      <c r="M286">
        <v>0.3004333511831293</v>
      </c>
      <c r="N286">
        <v>0.17487082260002718</v>
      </c>
      <c r="O286">
        <v>0.27122486779407939</v>
      </c>
      <c r="P286">
        <v>0.25347095842276424</v>
      </c>
    </row>
    <row r="287" spans="13:16">
      <c r="M287">
        <v>0.30215764393234068</v>
      </c>
      <c r="N287">
        <v>0.19365651586517846</v>
      </c>
      <c r="O287">
        <v>0.22853672513610879</v>
      </c>
      <c r="P287">
        <v>0.27564911506637219</v>
      </c>
    </row>
    <row r="288" spans="13:16">
      <c r="M288">
        <v>0.29385971395015764</v>
      </c>
      <c r="N288">
        <v>0.18179759466757944</v>
      </c>
      <c r="O288">
        <v>0.23878035167108314</v>
      </c>
      <c r="P288">
        <v>0.28556233971117995</v>
      </c>
    </row>
    <row r="289" spans="13:16">
      <c r="M289">
        <v>0.28040209818762257</v>
      </c>
      <c r="N289">
        <v>0.17291551967832269</v>
      </c>
      <c r="O289">
        <v>0.28422598390261544</v>
      </c>
      <c r="P289">
        <v>0.26245639823143929</v>
      </c>
    </row>
    <row r="290" spans="13:16">
      <c r="M290">
        <v>0.29322745933904243</v>
      </c>
      <c r="N290">
        <v>0.18219704728653685</v>
      </c>
      <c r="O290">
        <v>0.2688413591125472</v>
      </c>
      <c r="P290">
        <v>0.25573413426187347</v>
      </c>
    </row>
    <row r="291" spans="13:16">
      <c r="M291">
        <v>0.30131100821398515</v>
      </c>
      <c r="N291">
        <v>0.1920069337041384</v>
      </c>
      <c r="O291">
        <v>0.23465398083555714</v>
      </c>
      <c r="P291">
        <v>0.27202807724631922</v>
      </c>
    </row>
    <row r="292" spans="13:16">
      <c r="M292">
        <v>0.29293679979713966</v>
      </c>
      <c r="N292">
        <v>0.18087692882407844</v>
      </c>
      <c r="O292">
        <v>0.25657275622445991</v>
      </c>
      <c r="P292">
        <v>0.26961351515432203</v>
      </c>
    </row>
    <row r="293" spans="13:16">
      <c r="M293">
        <v>0.27973528127849068</v>
      </c>
      <c r="N293">
        <v>0.18934042101346865</v>
      </c>
      <c r="O293">
        <v>0.25960871625876814</v>
      </c>
      <c r="P293">
        <v>0.2713155814492727</v>
      </c>
    </row>
    <row r="294" spans="13:16">
      <c r="M294">
        <v>0.28891191774163755</v>
      </c>
      <c r="N294">
        <v>0.18288136983205741</v>
      </c>
      <c r="O294">
        <v>0.26609582059967191</v>
      </c>
      <c r="P294">
        <v>0.26211089182663294</v>
      </c>
    </row>
    <row r="295" spans="13:16">
      <c r="M295">
        <v>0.29434374255562767</v>
      </c>
      <c r="N295">
        <v>0.20102382848206582</v>
      </c>
      <c r="O295">
        <v>0.229103243816069</v>
      </c>
      <c r="P295">
        <v>0.27552918514623753</v>
      </c>
    </row>
    <row r="296" spans="13:16">
      <c r="M296">
        <v>0.2883439236948287</v>
      </c>
      <c r="N296">
        <v>0.19529284435610467</v>
      </c>
      <c r="O296">
        <v>0.26237341219899596</v>
      </c>
      <c r="P296">
        <v>0.25398981975007068</v>
      </c>
    </row>
    <row r="297" spans="13:16">
      <c r="M297">
        <v>0.26809700866095926</v>
      </c>
      <c r="N297">
        <v>0.19536123628944932</v>
      </c>
      <c r="O297">
        <v>0.26965545194529472</v>
      </c>
      <c r="P297">
        <v>0.26688630310429673</v>
      </c>
    </row>
    <row r="298" spans="13:16">
      <c r="M298">
        <v>0.29432822211127913</v>
      </c>
      <c r="N298">
        <v>0.18695768098777321</v>
      </c>
      <c r="O298">
        <v>0.26624758993373476</v>
      </c>
      <c r="P298">
        <v>0.25246650696721296</v>
      </c>
    </row>
    <row r="299" spans="13:16">
      <c r="M299">
        <v>0.28852380902162439</v>
      </c>
      <c r="N299">
        <v>0.19877488274621005</v>
      </c>
      <c r="O299">
        <v>0.2280477380505094</v>
      </c>
      <c r="P299">
        <v>0.28465357018165621</v>
      </c>
    </row>
    <row r="300" spans="13:16">
      <c r="M300">
        <v>0.31702806586237608</v>
      </c>
      <c r="N300">
        <v>0.18162027529173114</v>
      </c>
      <c r="O300">
        <v>0.2460904319078642</v>
      </c>
      <c r="P300">
        <v>0.25526122693802861</v>
      </c>
    </row>
    <row r="301" spans="13:16">
      <c r="M301">
        <v>0.27017433588132844</v>
      </c>
      <c r="N301">
        <v>0.19591779592657127</v>
      </c>
      <c r="O301">
        <v>0.26111591653800248</v>
      </c>
      <c r="P301">
        <v>0.27279195165409775</v>
      </c>
    </row>
    <row r="302" spans="13:16">
      <c r="M302">
        <v>0.31195476611396744</v>
      </c>
      <c r="N302">
        <v>0.16864193164824887</v>
      </c>
      <c r="O302">
        <v>0.26151785877840045</v>
      </c>
      <c r="P302">
        <v>0.2578854434593833</v>
      </c>
    </row>
    <row r="303" spans="13:16">
      <c r="M303">
        <v>0.27160917390716299</v>
      </c>
      <c r="N303">
        <v>0.19273154728277697</v>
      </c>
      <c r="O303">
        <v>0.26295291434225204</v>
      </c>
      <c r="P303">
        <v>0.27270636446780794</v>
      </c>
    </row>
    <row r="304" spans="13:16">
      <c r="M304">
        <v>0.31205606317810197</v>
      </c>
      <c r="N304">
        <v>0.16682748060181057</v>
      </c>
      <c r="O304">
        <v>0.2607425023693431</v>
      </c>
      <c r="P304">
        <v>0.2603739538507443</v>
      </c>
    </row>
    <row r="305" spans="13:16">
      <c r="M305">
        <v>0.30684839232594241</v>
      </c>
      <c r="N305">
        <v>0.17783652667448124</v>
      </c>
      <c r="O305">
        <v>0.23181458720565948</v>
      </c>
      <c r="P305">
        <v>0.28350049379391684</v>
      </c>
    </row>
    <row r="306" spans="13:16">
      <c r="M306">
        <v>0.30016235295917137</v>
      </c>
      <c r="N306">
        <v>0.17699038185689087</v>
      </c>
      <c r="O306">
        <v>0.24637316992515323</v>
      </c>
      <c r="P306">
        <v>0.27647409525878452</v>
      </c>
    </row>
    <row r="307" spans="13:16">
      <c r="M307">
        <v>0.27647170635510893</v>
      </c>
      <c r="N307">
        <v>0.18306631821976543</v>
      </c>
      <c r="O307">
        <v>0.27788575156448203</v>
      </c>
      <c r="P307">
        <v>0.26257622386064372</v>
      </c>
    </row>
    <row r="308" spans="13:16">
      <c r="M308">
        <v>0.29405490348323177</v>
      </c>
      <c r="N308">
        <v>0.1934871380804685</v>
      </c>
      <c r="O308">
        <v>0.25337091653699129</v>
      </c>
      <c r="P308">
        <v>0.25908704189930848</v>
      </c>
    </row>
    <row r="309" spans="13:16">
      <c r="M309">
        <v>0.30503288261720657</v>
      </c>
      <c r="N309">
        <v>0.17991310003708971</v>
      </c>
      <c r="O309">
        <v>0.26319010081466937</v>
      </c>
      <c r="P309">
        <v>0.25186391653103446</v>
      </c>
    </row>
    <row r="310" spans="13:16">
      <c r="M310">
        <v>0.29595143285419728</v>
      </c>
      <c r="N310">
        <v>0.18345370785887447</v>
      </c>
      <c r="O310">
        <v>0.27259585149511156</v>
      </c>
      <c r="P310">
        <v>0.24799900779181661</v>
      </c>
    </row>
    <row r="311" spans="13:16">
      <c r="M311">
        <v>0.32058115071136634</v>
      </c>
      <c r="N311">
        <v>0.16753078179155434</v>
      </c>
      <c r="O311">
        <v>0.2571582247470911</v>
      </c>
      <c r="P311">
        <v>0.25472984274998811</v>
      </c>
    </row>
    <row r="312" spans="13:16">
      <c r="M312">
        <v>0.28851894200223926</v>
      </c>
      <c r="N312">
        <v>0.18845202233486602</v>
      </c>
      <c r="O312">
        <v>0.25622518544379153</v>
      </c>
      <c r="P312">
        <v>0.26680385021910313</v>
      </c>
    </row>
    <row r="313" spans="13:16">
      <c r="M313">
        <v>0.29300270789373578</v>
      </c>
      <c r="N313">
        <v>0.19407953013016899</v>
      </c>
      <c r="O313">
        <v>0.24508739434793694</v>
      </c>
      <c r="P313">
        <v>0.26783036762815837</v>
      </c>
    </row>
    <row r="314" spans="13:16">
      <c r="M314">
        <v>0.32038027631847021</v>
      </c>
      <c r="N314">
        <v>0.19044443260345223</v>
      </c>
      <c r="O314">
        <v>0.22275188114516528</v>
      </c>
      <c r="P314">
        <v>0.26642340993291236</v>
      </c>
    </row>
    <row r="315" spans="13:16">
      <c r="M315">
        <v>0.32848906719532117</v>
      </c>
      <c r="N315">
        <v>0.17634486776194713</v>
      </c>
      <c r="O315">
        <v>0.24217488765645129</v>
      </c>
      <c r="P315">
        <v>0.25299117738628046</v>
      </c>
    </row>
    <row r="316" spans="13:16">
      <c r="M316">
        <v>0.28817352047636435</v>
      </c>
      <c r="N316">
        <v>0.18957652315810469</v>
      </c>
      <c r="O316">
        <v>0.2636400092890665</v>
      </c>
      <c r="P316">
        <v>0.2586099470764644</v>
      </c>
    </row>
    <row r="317" spans="13:16">
      <c r="M317">
        <v>0.28477579172567624</v>
      </c>
      <c r="N317">
        <v>0.20615368619154975</v>
      </c>
      <c r="O317">
        <v>0.2408974945534415</v>
      </c>
      <c r="P317">
        <v>0.26817302752933259</v>
      </c>
    </row>
    <row r="318" spans="13:16">
      <c r="M318">
        <v>0.30692477871555379</v>
      </c>
      <c r="N318">
        <v>0.1591181680387235</v>
      </c>
      <c r="O318">
        <v>0.29468746694769871</v>
      </c>
      <c r="P318">
        <v>0.23926958629802414</v>
      </c>
    </row>
    <row r="319" spans="13:16">
      <c r="M319">
        <v>0.26907418638137509</v>
      </c>
      <c r="N319">
        <v>0.19953812759179268</v>
      </c>
      <c r="O319">
        <v>0.25155090471165054</v>
      </c>
      <c r="P319">
        <v>0.27983678131518175</v>
      </c>
    </row>
    <row r="320" spans="13:16">
      <c r="M320">
        <v>0.29013043476960054</v>
      </c>
      <c r="N320">
        <v>0.19609806700147986</v>
      </c>
      <c r="O320">
        <v>0.24346119050881709</v>
      </c>
      <c r="P320">
        <v>0.27031030772010251</v>
      </c>
    </row>
    <row r="321" spans="13:16">
      <c r="M321">
        <v>0.28434238744549978</v>
      </c>
      <c r="N321">
        <v>0.17761898496103462</v>
      </c>
      <c r="O321">
        <v>0.26062716334568403</v>
      </c>
      <c r="P321">
        <v>0.27741146424778151</v>
      </c>
    </row>
    <row r="322" spans="13:16">
      <c r="M322">
        <v>0.2859934070200274</v>
      </c>
      <c r="N322">
        <v>0.19755063646205148</v>
      </c>
      <c r="O322">
        <v>0.23734225320021768</v>
      </c>
      <c r="P322">
        <v>0.27911370331770335</v>
      </c>
    </row>
    <row r="323" spans="13:16">
      <c r="M323">
        <v>0.28889739312880697</v>
      </c>
      <c r="N323">
        <v>0.17719366063572517</v>
      </c>
      <c r="O323">
        <v>0.28563282114268357</v>
      </c>
      <c r="P323">
        <v>0.24827612509278443</v>
      </c>
    </row>
    <row r="324" spans="13:16">
      <c r="M324">
        <v>0.28545099346792374</v>
      </c>
      <c r="N324">
        <v>0.20885713052061664</v>
      </c>
      <c r="O324">
        <v>0.23581633811049144</v>
      </c>
      <c r="P324">
        <v>0.26987553790096819</v>
      </c>
    </row>
    <row r="325" spans="13:16">
      <c r="M325">
        <v>0.28152520036127138</v>
      </c>
      <c r="N325">
        <v>0.20065315645021209</v>
      </c>
      <c r="O325">
        <v>0.23689066232595427</v>
      </c>
      <c r="P325">
        <v>0.28093098086256224</v>
      </c>
    </row>
    <row r="326" spans="13:16">
      <c r="M326">
        <v>0.30785842641691918</v>
      </c>
      <c r="N326">
        <v>0.17680613647240237</v>
      </c>
      <c r="O326">
        <v>0.26159895544183603</v>
      </c>
      <c r="P326">
        <v>0.25373648166884233</v>
      </c>
    </row>
    <row r="327" spans="13:16">
      <c r="M327">
        <v>0.29143202382513583</v>
      </c>
      <c r="N327">
        <v>0.185103807891073</v>
      </c>
      <c r="O327">
        <v>0.24784777106133771</v>
      </c>
      <c r="P327">
        <v>0.27561639722245351</v>
      </c>
    </row>
    <row r="328" spans="13:16">
      <c r="M328">
        <v>0.27372810907682477</v>
      </c>
      <c r="N328">
        <v>0.19994872667531671</v>
      </c>
      <c r="O328">
        <v>0.25044527710186665</v>
      </c>
      <c r="P328">
        <v>0.27587788714599193</v>
      </c>
    </row>
    <row r="329" spans="13:16">
      <c r="M329">
        <v>0.31973704582512769</v>
      </c>
      <c r="N329">
        <v>0.19386868237913163</v>
      </c>
      <c r="O329">
        <v>0.22538063666074459</v>
      </c>
      <c r="P329">
        <v>0.26101363513499615</v>
      </c>
    </row>
    <row r="330" spans="13:16">
      <c r="M330">
        <v>0.28571247094125801</v>
      </c>
      <c r="N330">
        <v>0.18757508365670197</v>
      </c>
      <c r="O330">
        <v>0.25733251829130321</v>
      </c>
      <c r="P330">
        <v>0.26937992711073694</v>
      </c>
    </row>
    <row r="331" spans="13:16">
      <c r="M331">
        <v>0.28402299218254629</v>
      </c>
      <c r="N331">
        <v>0.17160184302344861</v>
      </c>
      <c r="O331">
        <v>0.29672452062720595</v>
      </c>
      <c r="P331">
        <v>0.24765064416679924</v>
      </c>
    </row>
    <row r="332" spans="13:16">
      <c r="M332">
        <v>0.26709310152766202</v>
      </c>
      <c r="N332">
        <v>0.18996915368220602</v>
      </c>
      <c r="O332">
        <v>0.29606508596544195</v>
      </c>
      <c r="P332">
        <v>0.24687265882468998</v>
      </c>
    </row>
    <row r="333" spans="13:16">
      <c r="M333">
        <v>0.29126287118318772</v>
      </c>
      <c r="N333">
        <v>0.19664782406092607</v>
      </c>
      <c r="O333">
        <v>0.24444351251101978</v>
      </c>
      <c r="P333">
        <v>0.26764579224486634</v>
      </c>
    </row>
    <row r="334" spans="13:16">
      <c r="M334">
        <v>0.26121933543179815</v>
      </c>
      <c r="N334">
        <v>0.18923662728218185</v>
      </c>
      <c r="O334">
        <v>0.28267947392861958</v>
      </c>
      <c r="P334">
        <v>0.26686456335740033</v>
      </c>
    </row>
    <row r="335" spans="13:16">
      <c r="M335">
        <v>0.26764944456607581</v>
      </c>
      <c r="N335">
        <v>0.17869779944261205</v>
      </c>
      <c r="O335">
        <v>0.29805224166815025</v>
      </c>
      <c r="P335">
        <v>0.25560051432316189</v>
      </c>
    </row>
    <row r="336" spans="13:16">
      <c r="M336">
        <v>0.29057171686109173</v>
      </c>
      <c r="N336">
        <v>0.19611838791940761</v>
      </c>
      <c r="O336">
        <v>0.26101329557515968</v>
      </c>
      <c r="P336">
        <v>0.25229659964434092</v>
      </c>
    </row>
    <row r="337" spans="13:16">
      <c r="M337">
        <v>0.28352633243793551</v>
      </c>
      <c r="N337">
        <v>0.19440999513626839</v>
      </c>
      <c r="O337">
        <v>0.25057877442834531</v>
      </c>
      <c r="P337">
        <v>0.27148489799745079</v>
      </c>
    </row>
    <row r="338" spans="13:16">
      <c r="M338">
        <v>0.26665402062123467</v>
      </c>
      <c r="N338">
        <v>0.19422771143936299</v>
      </c>
      <c r="O338">
        <v>0.26897803679558463</v>
      </c>
      <c r="P338">
        <v>0.27014023114381774</v>
      </c>
    </row>
    <row r="339" spans="13:16">
      <c r="M339">
        <v>0.29286601631957843</v>
      </c>
      <c r="N339">
        <v>0.18485999539618123</v>
      </c>
      <c r="O339">
        <v>0.26689937837355004</v>
      </c>
      <c r="P339">
        <v>0.25537460991069022</v>
      </c>
    </row>
    <row r="340" spans="13:16">
      <c r="M340">
        <v>0.32364212766435202</v>
      </c>
      <c r="N340">
        <v>0.17540394176637375</v>
      </c>
      <c r="O340">
        <v>0.23269415709002453</v>
      </c>
      <c r="P340">
        <v>0.26825977347924967</v>
      </c>
    </row>
    <row r="341" spans="13:16">
      <c r="M341">
        <v>0.28895929605702636</v>
      </c>
      <c r="N341">
        <v>0.16962984692123495</v>
      </c>
      <c r="O341">
        <v>0.2878639177474413</v>
      </c>
      <c r="P341">
        <v>0.25354693927429744</v>
      </c>
    </row>
    <row r="342" spans="13:16">
      <c r="M342">
        <v>0.29326091304559337</v>
      </c>
      <c r="N342">
        <v>0.21119930978584411</v>
      </c>
      <c r="O342">
        <v>0.23373271538655399</v>
      </c>
      <c r="P342">
        <v>0.26180706178200858</v>
      </c>
    </row>
    <row r="343" spans="13:16">
      <c r="M343">
        <v>0.27873901216426517</v>
      </c>
      <c r="N343">
        <v>0.19090835286687066</v>
      </c>
      <c r="O343">
        <v>0.2651646190084081</v>
      </c>
      <c r="P343">
        <v>0.26518801596045599</v>
      </c>
    </row>
    <row r="344" spans="13:16">
      <c r="M344">
        <v>0.26368677235028154</v>
      </c>
      <c r="N344">
        <v>0.19045767095283286</v>
      </c>
      <c r="O344">
        <v>0.27453106935468941</v>
      </c>
      <c r="P344">
        <v>0.27132448734219627</v>
      </c>
    </row>
    <row r="345" spans="13:16">
      <c r="M345">
        <v>0.30025705679717962</v>
      </c>
      <c r="N345">
        <v>0.19009028574794318</v>
      </c>
      <c r="O345">
        <v>0.24659421485359945</v>
      </c>
      <c r="P345">
        <v>0.26305844260127759</v>
      </c>
    </row>
    <row r="346" spans="13:16">
      <c r="M346">
        <v>0.29373951712304613</v>
      </c>
      <c r="N346">
        <v>0.16793989873456966</v>
      </c>
      <c r="O346">
        <v>0.2915653354130302</v>
      </c>
      <c r="P346">
        <v>0.24675524872935403</v>
      </c>
    </row>
    <row r="347" spans="13:16">
      <c r="M347">
        <v>0.29602814148083972</v>
      </c>
      <c r="N347">
        <v>0.19065361011617721</v>
      </c>
      <c r="O347">
        <v>0.24519977612190774</v>
      </c>
      <c r="P347">
        <v>0.26811847228107527</v>
      </c>
    </row>
    <row r="348" spans="13:16">
      <c r="M348">
        <v>0.27813598823133362</v>
      </c>
      <c r="N348">
        <v>0.19972610673224023</v>
      </c>
      <c r="O348">
        <v>0.25771027884681941</v>
      </c>
      <c r="P348">
        <v>0.2644276261896068</v>
      </c>
    </row>
    <row r="349" spans="13:16">
      <c r="M349">
        <v>0.26773611480280668</v>
      </c>
      <c r="N349">
        <v>0.1934437942883491</v>
      </c>
      <c r="O349">
        <v>0.26950007423529504</v>
      </c>
      <c r="P349">
        <v>0.26932001667354905</v>
      </c>
    </row>
    <row r="350" spans="13:16">
      <c r="M350">
        <v>0.28293259641052504</v>
      </c>
      <c r="N350">
        <v>0.20225403892803567</v>
      </c>
      <c r="O350">
        <v>0.23591837769398874</v>
      </c>
      <c r="P350">
        <v>0.27889498696745058</v>
      </c>
    </row>
    <row r="351" spans="13:16">
      <c r="M351">
        <v>0.31260140045520018</v>
      </c>
      <c r="N351">
        <v>0.17596567501147031</v>
      </c>
      <c r="O351">
        <v>0.25118687634137221</v>
      </c>
      <c r="P351">
        <v>0.26024604819195729</v>
      </c>
    </row>
    <row r="352" spans="13:16">
      <c r="M352">
        <v>0.29861353851125266</v>
      </c>
      <c r="N352">
        <v>0.18486462445497254</v>
      </c>
      <c r="O352">
        <v>0.242372491663121</v>
      </c>
      <c r="P352">
        <v>0.27414934537065366</v>
      </c>
    </row>
    <row r="353" spans="13:16">
      <c r="M353">
        <v>0.26812260064940319</v>
      </c>
      <c r="N353">
        <v>0.18606371730677118</v>
      </c>
      <c r="O353">
        <v>0.27904872461893804</v>
      </c>
      <c r="P353">
        <v>0.26676495742488759</v>
      </c>
    </row>
    <row r="354" spans="13:16">
      <c r="M354">
        <v>0.33639708951773756</v>
      </c>
      <c r="N354">
        <v>0.1733668746522109</v>
      </c>
      <c r="O354">
        <v>0.22149484807021358</v>
      </c>
      <c r="P354">
        <v>0.26874118775983802</v>
      </c>
    </row>
    <row r="355" spans="13:16">
      <c r="M355">
        <v>0.29199756931545018</v>
      </c>
      <c r="N355">
        <v>0.17546069702923348</v>
      </c>
      <c r="O355">
        <v>0.2505025542587907</v>
      </c>
      <c r="P355">
        <v>0.28203917939652556</v>
      </c>
    </row>
    <row r="356" spans="13:16">
      <c r="M356">
        <v>0.31189076443754854</v>
      </c>
      <c r="N356">
        <v>0.18835164256705939</v>
      </c>
      <c r="O356">
        <v>0.22626536171288852</v>
      </c>
      <c r="P356">
        <v>0.2734922312825035</v>
      </c>
    </row>
    <row r="357" spans="13:16">
      <c r="M357">
        <v>0.27781895310949301</v>
      </c>
      <c r="N357">
        <v>0.1843069204431371</v>
      </c>
      <c r="O357">
        <v>0.26424321445662319</v>
      </c>
      <c r="P357">
        <v>0.27363091199074685</v>
      </c>
    </row>
    <row r="358" spans="13:16">
      <c r="M358">
        <v>0.27102476753117616</v>
      </c>
      <c r="N358">
        <v>0.19249029279571117</v>
      </c>
      <c r="O358">
        <v>0.26342255369108364</v>
      </c>
      <c r="P358">
        <v>0.27306238598202909</v>
      </c>
    </row>
    <row r="359" spans="13:16">
      <c r="M359">
        <v>0.28984519039383849</v>
      </c>
      <c r="N359">
        <v>0.20645641663554823</v>
      </c>
      <c r="O359">
        <v>0.24497245171095289</v>
      </c>
      <c r="P359">
        <v>0.25872594125966031</v>
      </c>
    </row>
    <row r="360" spans="13:16">
      <c r="M360">
        <v>0.29806431522237337</v>
      </c>
      <c r="N360">
        <v>0.18957073160952817</v>
      </c>
      <c r="O360">
        <v>0.23507626755182259</v>
      </c>
      <c r="P360">
        <v>0.27728868561627584</v>
      </c>
    </row>
    <row r="361" spans="13:16">
      <c r="M361">
        <v>0.32495881652622693</v>
      </c>
      <c r="N361">
        <v>0.18302545743434731</v>
      </c>
      <c r="O361">
        <v>0.21899348532412663</v>
      </c>
      <c r="P361">
        <v>0.27302224071529924</v>
      </c>
    </row>
    <row r="362" spans="13:16">
      <c r="M362">
        <v>0.27990128425470545</v>
      </c>
      <c r="N362">
        <v>0.17485826770421156</v>
      </c>
      <c r="O362">
        <v>0.29899334852810422</v>
      </c>
      <c r="P362">
        <v>0.24624709951297863</v>
      </c>
    </row>
    <row r="363" spans="13:16">
      <c r="M363">
        <v>0.27337397225492688</v>
      </c>
      <c r="N363">
        <v>0.19198421923016315</v>
      </c>
      <c r="O363">
        <v>0.26046629427484647</v>
      </c>
      <c r="P363">
        <v>0.27417551424006348</v>
      </c>
    </row>
    <row r="364" spans="13:16">
      <c r="M364">
        <v>0.3041348182875972</v>
      </c>
      <c r="N364">
        <v>0.18088256129269303</v>
      </c>
      <c r="O364">
        <v>0.23937407686903064</v>
      </c>
      <c r="P364">
        <v>0.27560854355067915</v>
      </c>
    </row>
    <row r="365" spans="13:16">
      <c r="M365">
        <v>0.28678376085263874</v>
      </c>
      <c r="N365">
        <v>0.18046957197046071</v>
      </c>
      <c r="O365">
        <v>0.25929506383827933</v>
      </c>
      <c r="P365">
        <v>0.27345160333862129</v>
      </c>
    </row>
    <row r="366" spans="13:16">
      <c r="M366">
        <v>0.28414178236444865</v>
      </c>
      <c r="N366">
        <v>0.17957121863414602</v>
      </c>
      <c r="O366">
        <v>0.28890223923323466</v>
      </c>
      <c r="P366">
        <v>0.24738475976817068</v>
      </c>
    </row>
    <row r="367" spans="13:16">
      <c r="M367">
        <v>0.30146358258804895</v>
      </c>
      <c r="N367">
        <v>0.18410515811858069</v>
      </c>
      <c r="O367">
        <v>0.25842502263046913</v>
      </c>
      <c r="P367">
        <v>0.2560062366629014</v>
      </c>
    </row>
    <row r="368" spans="13:16">
      <c r="M368">
        <v>0.29814578588617541</v>
      </c>
      <c r="N368">
        <v>0.17190032247951637</v>
      </c>
      <c r="O368">
        <v>0.26894810807681513</v>
      </c>
      <c r="P368">
        <v>0.26100578355749326</v>
      </c>
    </row>
    <row r="369" spans="13:16">
      <c r="M369">
        <v>0.29319235234656971</v>
      </c>
      <c r="N369">
        <v>0.19995014080917042</v>
      </c>
      <c r="O369">
        <v>0.24117981727852641</v>
      </c>
      <c r="P369">
        <v>0.2656776895657334</v>
      </c>
    </row>
    <row r="370" spans="13:16">
      <c r="M370">
        <v>0.30287594941953705</v>
      </c>
      <c r="N370">
        <v>0.17871158478138408</v>
      </c>
      <c r="O370">
        <v>0.25582002363408096</v>
      </c>
      <c r="P370">
        <v>0.26259244216499789</v>
      </c>
    </row>
    <row r="371" spans="13:16">
      <c r="M371">
        <v>0.28597091757477383</v>
      </c>
      <c r="N371">
        <v>0.194086605071254</v>
      </c>
      <c r="O371">
        <v>0.24408685965734539</v>
      </c>
      <c r="P371">
        <v>0.27585561769662681</v>
      </c>
    </row>
    <row r="372" spans="13:16">
      <c r="M372">
        <v>0.29458096610835371</v>
      </c>
      <c r="N372">
        <v>0.17859995427057646</v>
      </c>
      <c r="O372">
        <v>0.27627093975761957</v>
      </c>
      <c r="P372">
        <v>0.25054813986345015</v>
      </c>
    </row>
    <row r="373" spans="13:16">
      <c r="M373">
        <v>0.28574165684909381</v>
      </c>
      <c r="N373">
        <v>0.19143048395662385</v>
      </c>
      <c r="O373">
        <v>0.27082810852917549</v>
      </c>
      <c r="P373">
        <v>0.25199975066510688</v>
      </c>
    </row>
    <row r="374" spans="13:16">
      <c r="M374">
        <v>0.29372283925319059</v>
      </c>
      <c r="N374">
        <v>0.18820544691853347</v>
      </c>
      <c r="O374">
        <v>0.24657996372517052</v>
      </c>
      <c r="P374">
        <v>0.27149175010310544</v>
      </c>
    </row>
    <row r="375" spans="13:16">
      <c r="M375">
        <v>0.28316455050457673</v>
      </c>
      <c r="N375">
        <v>0.18692721871017789</v>
      </c>
      <c r="O375">
        <v>0.26847267633470584</v>
      </c>
      <c r="P375">
        <v>0.26143555445053951</v>
      </c>
    </row>
    <row r="376" spans="13:16">
      <c r="M376">
        <v>0.30253319098886744</v>
      </c>
      <c r="N376">
        <v>0.18665852632295749</v>
      </c>
      <c r="O376">
        <v>0.24220523956687948</v>
      </c>
      <c r="P376">
        <v>0.26860304312129557</v>
      </c>
    </row>
    <row r="377" spans="13:16">
      <c r="M377">
        <v>0.33084214914199261</v>
      </c>
      <c r="N377">
        <v>0.1829124228032028</v>
      </c>
      <c r="O377">
        <v>0.20906712392214205</v>
      </c>
      <c r="P377">
        <v>0.27717830413266242</v>
      </c>
    </row>
    <row r="378" spans="13:16">
      <c r="M378">
        <v>0.29048682815374205</v>
      </c>
      <c r="N378">
        <v>0.19748274460855675</v>
      </c>
      <c r="O378">
        <v>0.2606836577033913</v>
      </c>
      <c r="P378">
        <v>0.25134676953430984</v>
      </c>
    </row>
    <row r="379" spans="13:16">
      <c r="M379">
        <v>0.3048641478694874</v>
      </c>
      <c r="N379">
        <v>0.17667768717959162</v>
      </c>
      <c r="O379">
        <v>0.27121193585295289</v>
      </c>
      <c r="P379">
        <v>0.24724622909796809</v>
      </c>
    </row>
    <row r="380" spans="13:16">
      <c r="M380">
        <v>0.28439438634161185</v>
      </c>
      <c r="N380">
        <v>0.18429889311456082</v>
      </c>
      <c r="O380">
        <v>0.27449955354274863</v>
      </c>
      <c r="P380">
        <v>0.25680716700107875</v>
      </c>
    </row>
    <row r="381" spans="13:16">
      <c r="M381">
        <v>0.26874214605926888</v>
      </c>
      <c r="N381">
        <v>0.19492540979627521</v>
      </c>
      <c r="O381">
        <v>0.26245863733322983</v>
      </c>
      <c r="P381">
        <v>0.27387380681122608</v>
      </c>
    </row>
    <row r="382" spans="13:16">
      <c r="M382">
        <v>0.30519400837761401</v>
      </c>
      <c r="N382">
        <v>0.17646188851373509</v>
      </c>
      <c r="O382">
        <v>0.25385144209327204</v>
      </c>
      <c r="P382">
        <v>0.26449266101537894</v>
      </c>
    </row>
    <row r="383" spans="13:16">
      <c r="M383">
        <v>0.31487331812053948</v>
      </c>
      <c r="N383">
        <v>0.18802746825260819</v>
      </c>
      <c r="O383">
        <v>0.226489889904437</v>
      </c>
      <c r="P383">
        <v>0.27060932372241531</v>
      </c>
    </row>
    <row r="384" spans="13:16">
      <c r="M384">
        <v>0.31305512802503077</v>
      </c>
      <c r="N384">
        <v>0.17907530583393283</v>
      </c>
      <c r="O384">
        <v>0.26449876665119137</v>
      </c>
      <c r="P384">
        <v>0.24337079948984514</v>
      </c>
    </row>
    <row r="385" spans="13:16">
      <c r="M385">
        <v>0.30483196374641647</v>
      </c>
      <c r="N385">
        <v>0.17645749910850203</v>
      </c>
      <c r="O385">
        <v>0.25617429086464405</v>
      </c>
      <c r="P385">
        <v>0.26253624628043765</v>
      </c>
    </row>
    <row r="386" spans="13:16">
      <c r="M386">
        <v>0.28476544007625387</v>
      </c>
      <c r="N386">
        <v>0.19338075303823177</v>
      </c>
      <c r="O386">
        <v>0.24540612910876788</v>
      </c>
      <c r="P386">
        <v>0.27644767777674645</v>
      </c>
    </row>
    <row r="387" spans="13:16">
      <c r="M387">
        <v>0.30677933192938506</v>
      </c>
      <c r="N387">
        <v>0.17633687596069306</v>
      </c>
      <c r="O387">
        <v>0.26168683041433061</v>
      </c>
      <c r="P387">
        <v>0.2551969616955912</v>
      </c>
    </row>
    <row r="388" spans="13:16">
      <c r="M388">
        <v>0.27740940040311723</v>
      </c>
      <c r="N388">
        <v>0.19855644952947768</v>
      </c>
      <c r="O388">
        <v>0.24637287517680781</v>
      </c>
      <c r="P388">
        <v>0.27766127489059728</v>
      </c>
    </row>
    <row r="389" spans="13:16">
      <c r="M389">
        <v>0.27867559441167677</v>
      </c>
      <c r="N389">
        <v>0.20350953572438418</v>
      </c>
      <c r="O389">
        <v>0.26272586158362582</v>
      </c>
      <c r="P389">
        <v>0.25508900828031322</v>
      </c>
    </row>
    <row r="390" spans="13:16">
      <c r="M390">
        <v>0.29309732275070277</v>
      </c>
      <c r="N390">
        <v>0.17771671889144716</v>
      </c>
      <c r="O390">
        <v>0.27514338977458552</v>
      </c>
      <c r="P390">
        <v>0.25404256858326457</v>
      </c>
    </row>
    <row r="391" spans="13:16">
      <c r="M391">
        <v>0.31027269254707773</v>
      </c>
      <c r="N391">
        <v>0.17101257412450654</v>
      </c>
      <c r="O391">
        <v>0.26993109290405548</v>
      </c>
      <c r="P391">
        <v>0.24878364042436016</v>
      </c>
    </row>
    <row r="392" spans="13:16">
      <c r="M392">
        <v>0.28217646059662965</v>
      </c>
      <c r="N392">
        <v>0.20129874709700649</v>
      </c>
      <c r="O392">
        <v>0.26039211325014283</v>
      </c>
      <c r="P392">
        <v>0.25613267905622095</v>
      </c>
    </row>
    <row r="393" spans="13:16">
      <c r="M393">
        <v>0.30708832445937062</v>
      </c>
      <c r="N393">
        <v>0.17524211604743403</v>
      </c>
      <c r="O393">
        <v>0.26745384300107305</v>
      </c>
      <c r="P393">
        <v>0.25021571649212226</v>
      </c>
    </row>
    <row r="394" spans="13:16">
      <c r="M394">
        <v>0.30727427310861333</v>
      </c>
      <c r="N394">
        <v>0.17652324586791918</v>
      </c>
      <c r="O394">
        <v>0.24475764189949364</v>
      </c>
      <c r="P394">
        <v>0.27144483912397382</v>
      </c>
    </row>
    <row r="395" spans="13:16">
      <c r="M395">
        <v>0.29519481057966235</v>
      </c>
      <c r="N395">
        <v>0.17828508223038755</v>
      </c>
      <c r="O395">
        <v>0.28640373356369536</v>
      </c>
      <c r="P395">
        <v>0.24011637362625476</v>
      </c>
    </row>
    <row r="396" spans="13:16">
      <c r="M396">
        <v>0.28474861029131088</v>
      </c>
      <c r="N396">
        <v>0.18297363646269432</v>
      </c>
      <c r="O396">
        <v>0.25967265813178836</v>
      </c>
      <c r="P396">
        <v>0.27260509511420639</v>
      </c>
    </row>
    <row r="397" spans="13:16">
      <c r="M397">
        <v>0.29635367012348607</v>
      </c>
      <c r="N397">
        <v>0.18269891408291761</v>
      </c>
      <c r="O397">
        <v>0.23325645476109602</v>
      </c>
      <c r="P397">
        <v>0.28769096103250019</v>
      </c>
    </row>
    <row r="398" spans="13:16">
      <c r="M398">
        <v>0.26891110520564299</v>
      </c>
      <c r="N398">
        <v>0.19168645345549615</v>
      </c>
      <c r="O398">
        <v>0.27508459060265988</v>
      </c>
      <c r="P398">
        <v>0.26431785073620112</v>
      </c>
    </row>
    <row r="399" spans="13:16">
      <c r="M399">
        <v>0.25813433135960967</v>
      </c>
      <c r="N399">
        <v>0.18882250613081406</v>
      </c>
      <c r="O399">
        <v>0.29408458060210696</v>
      </c>
      <c r="P399">
        <v>0.25895858190746934</v>
      </c>
    </row>
    <row r="400" spans="13:16">
      <c r="M400">
        <v>0.28633849454163079</v>
      </c>
      <c r="N400">
        <v>0.21588585344201583</v>
      </c>
      <c r="O400">
        <v>0.22581905410030134</v>
      </c>
      <c r="P400">
        <v>0.27195659791605198</v>
      </c>
    </row>
    <row r="401" spans="13:16">
      <c r="M401">
        <v>0.30656929662943955</v>
      </c>
      <c r="N401">
        <v>0.17048181701657525</v>
      </c>
      <c r="O401">
        <v>0.28513609517230659</v>
      </c>
      <c r="P401">
        <v>0.23781279118167861</v>
      </c>
    </row>
    <row r="402" spans="13:16">
      <c r="M402">
        <v>0.30480791178264716</v>
      </c>
      <c r="N402">
        <v>0.17454866963789367</v>
      </c>
      <c r="O402">
        <v>0.26611525530024333</v>
      </c>
      <c r="P402">
        <v>0.25452816327921574</v>
      </c>
    </row>
    <row r="403" spans="13:16">
      <c r="M403">
        <v>0.29787597850411918</v>
      </c>
      <c r="N403">
        <v>0.17769794308531647</v>
      </c>
      <c r="O403">
        <v>0.24463959507231936</v>
      </c>
      <c r="P403">
        <v>0.27978648333824507</v>
      </c>
    </row>
    <row r="404" spans="13:16">
      <c r="M404">
        <v>0.2830517466768252</v>
      </c>
      <c r="N404">
        <v>0.18995698003525152</v>
      </c>
      <c r="O404">
        <v>0.26538981454523008</v>
      </c>
      <c r="P404">
        <v>0.26160145874269336</v>
      </c>
    </row>
    <row r="405" spans="13:16">
      <c r="M405">
        <v>0.28008533250092815</v>
      </c>
      <c r="N405">
        <v>0.1711643344762081</v>
      </c>
      <c r="O405">
        <v>0.2834722993645864</v>
      </c>
      <c r="P405">
        <v>0.26527803365827729</v>
      </c>
    </row>
    <row r="406" spans="13:16">
      <c r="M406">
        <v>0.32281832996799181</v>
      </c>
      <c r="N406">
        <v>0.16113514472728771</v>
      </c>
      <c r="O406">
        <v>0.26176101318207901</v>
      </c>
      <c r="P406">
        <v>0.25428551212264139</v>
      </c>
    </row>
    <row r="407" spans="13:16">
      <c r="M407">
        <v>0.31127739070692939</v>
      </c>
      <c r="N407">
        <v>0.19911734435093595</v>
      </c>
      <c r="O407">
        <v>0.21685160332898559</v>
      </c>
      <c r="P407">
        <v>0.27275366161314896</v>
      </c>
    </row>
    <row r="408" spans="13:16">
      <c r="M408">
        <v>0.29382186492730727</v>
      </c>
      <c r="N408">
        <v>0.17020558993828669</v>
      </c>
      <c r="O408">
        <v>0.28756101549179247</v>
      </c>
      <c r="P408">
        <v>0.24841152964261357</v>
      </c>
    </row>
    <row r="409" spans="13:16">
      <c r="M409">
        <v>0.30019172166170316</v>
      </c>
      <c r="N409">
        <v>0.19592180317614502</v>
      </c>
      <c r="O409">
        <v>0.25026159730873665</v>
      </c>
      <c r="P409">
        <v>0.25362487785341531</v>
      </c>
    </row>
    <row r="410" spans="13:16">
      <c r="M410">
        <v>0.27703174778292217</v>
      </c>
      <c r="N410">
        <v>0.18325654281269274</v>
      </c>
      <c r="O410">
        <v>0.26651607933576738</v>
      </c>
      <c r="P410">
        <v>0.27319563006861791</v>
      </c>
    </row>
    <row r="411" spans="13:16">
      <c r="M411">
        <v>0.29203910971298758</v>
      </c>
      <c r="N411">
        <v>0.17981735266918411</v>
      </c>
      <c r="O411">
        <v>0.27670175013145148</v>
      </c>
      <c r="P411">
        <v>0.25144178748637691</v>
      </c>
    </row>
    <row r="412" spans="13:16">
      <c r="M412">
        <v>0.27339845980725735</v>
      </c>
      <c r="N412">
        <v>0.19711947931926743</v>
      </c>
      <c r="O412">
        <v>0.27432231461539591</v>
      </c>
      <c r="P412">
        <v>0.25515974625807936</v>
      </c>
    </row>
    <row r="413" spans="13:16">
      <c r="M413">
        <v>0.28255371263680729</v>
      </c>
      <c r="N413">
        <v>0.19600286138908785</v>
      </c>
      <c r="O413">
        <v>0.24353528035709968</v>
      </c>
      <c r="P413">
        <v>0.27790814561700516</v>
      </c>
    </row>
    <row r="414" spans="13:16">
      <c r="M414">
        <v>0.33345593923742983</v>
      </c>
      <c r="N414">
        <v>0.17832241331978452</v>
      </c>
      <c r="O414">
        <v>0.22507151839414985</v>
      </c>
      <c r="P414">
        <v>0.26315012904863588</v>
      </c>
    </row>
    <row r="415" spans="13:16">
      <c r="M415">
        <v>0.30754065765502436</v>
      </c>
      <c r="N415">
        <v>0.18377144234530507</v>
      </c>
      <c r="O415">
        <v>0.25336126900142875</v>
      </c>
      <c r="P415">
        <v>0.25532663099824177</v>
      </c>
    </row>
    <row r="416" spans="13:16">
      <c r="M416">
        <v>0.30039526975336883</v>
      </c>
      <c r="N416">
        <v>0.17121655419022544</v>
      </c>
      <c r="O416">
        <v>0.27647949709615272</v>
      </c>
      <c r="P416">
        <v>0.25190867896025304</v>
      </c>
    </row>
    <row r="417" spans="13:16">
      <c r="M417">
        <v>0.29180243728195043</v>
      </c>
      <c r="N417">
        <v>0.16657005050132939</v>
      </c>
      <c r="O417">
        <v>0.29512414389167191</v>
      </c>
      <c r="P417">
        <v>0.24650336832504832</v>
      </c>
    </row>
    <row r="418" spans="13:16">
      <c r="M418">
        <v>0.2861432833175509</v>
      </c>
      <c r="N418">
        <v>0.17910804586456577</v>
      </c>
      <c r="O418">
        <v>0.28095781385394153</v>
      </c>
      <c r="P418">
        <v>0.25379085696394188</v>
      </c>
    </row>
    <row r="419" spans="13:16">
      <c r="M419">
        <v>0.27165272997910694</v>
      </c>
      <c r="N419">
        <v>0.19373664682827066</v>
      </c>
      <c r="O419">
        <v>0.26309350569356682</v>
      </c>
      <c r="P419">
        <v>0.27151711749905555</v>
      </c>
    </row>
    <row r="420" spans="13:16">
      <c r="M420">
        <v>0.27968967674201511</v>
      </c>
      <c r="N420">
        <v>0.20003901725556442</v>
      </c>
      <c r="O420">
        <v>0.25459551952992066</v>
      </c>
      <c r="P420">
        <v>0.26567578647249973</v>
      </c>
    </row>
    <row r="421" spans="13:16">
      <c r="M421">
        <v>0.28725989904980953</v>
      </c>
      <c r="N421">
        <v>0.18053663632506084</v>
      </c>
      <c r="O421">
        <v>0.24963030682827103</v>
      </c>
      <c r="P421">
        <v>0.28257315779685871</v>
      </c>
    </row>
    <row r="422" spans="13:16">
      <c r="M422">
        <v>0.2925295583462813</v>
      </c>
      <c r="N422">
        <v>0.16703393528190785</v>
      </c>
      <c r="O422">
        <v>0.29170622275207253</v>
      </c>
      <c r="P422">
        <v>0.24873028361973837</v>
      </c>
    </row>
    <row r="423" spans="13:16">
      <c r="M423">
        <v>0.3113820882225436</v>
      </c>
      <c r="N423">
        <v>0.17223558919957957</v>
      </c>
      <c r="O423">
        <v>0.25392624550612614</v>
      </c>
      <c r="P423">
        <v>0.26245607707175067</v>
      </c>
    </row>
    <row r="424" spans="13:16">
      <c r="M424">
        <v>0.28094895878162141</v>
      </c>
      <c r="N424">
        <v>0.18213995057372001</v>
      </c>
      <c r="O424">
        <v>0.25997127703781853</v>
      </c>
      <c r="P424">
        <v>0.27693981360684017</v>
      </c>
    </row>
    <row r="425" spans="13:16">
      <c r="M425">
        <v>0.27099099517431091</v>
      </c>
      <c r="N425">
        <v>0.19088921927061894</v>
      </c>
      <c r="O425">
        <v>0.27624697200898846</v>
      </c>
      <c r="P425">
        <v>0.26187281354608172</v>
      </c>
    </row>
    <row r="426" spans="13:16">
      <c r="M426">
        <v>0.29319125143031355</v>
      </c>
      <c r="N426">
        <v>0.17898266980631278</v>
      </c>
      <c r="O426">
        <v>0.26909920723134556</v>
      </c>
      <c r="P426">
        <v>0.25872687153202806</v>
      </c>
    </row>
    <row r="427" spans="13:16">
      <c r="M427">
        <v>0.26796376889607887</v>
      </c>
      <c r="N427">
        <v>0.20960934968239359</v>
      </c>
      <c r="O427">
        <v>0.24816779848548234</v>
      </c>
      <c r="P427">
        <v>0.27425908293604523</v>
      </c>
    </row>
    <row r="428" spans="13:16">
      <c r="M428">
        <v>0.26781409806718454</v>
      </c>
      <c r="N428">
        <v>0.20841401888966246</v>
      </c>
      <c r="O428">
        <v>0.25531503391575755</v>
      </c>
      <c r="P428">
        <v>0.26845684912739542</v>
      </c>
    </row>
    <row r="429" spans="13:16">
      <c r="M429">
        <v>0.31005064902116636</v>
      </c>
      <c r="N429">
        <v>0.20366932848379402</v>
      </c>
      <c r="O429">
        <v>0.22313788861477327</v>
      </c>
      <c r="P429">
        <v>0.26314213388026636</v>
      </c>
    </row>
    <row r="430" spans="13:16">
      <c r="M430">
        <v>0.28621690079813433</v>
      </c>
      <c r="N430">
        <v>0.18944436731159198</v>
      </c>
      <c r="O430">
        <v>0.25447359108994555</v>
      </c>
      <c r="P430">
        <v>0.2698651408003282</v>
      </c>
    </row>
    <row r="431" spans="13:16">
      <c r="M431">
        <v>0.27444855017713582</v>
      </c>
      <c r="N431">
        <v>0.19687738268679225</v>
      </c>
      <c r="O431">
        <v>0.26435365628112867</v>
      </c>
      <c r="P431">
        <v>0.26432041085494323</v>
      </c>
    </row>
    <row r="432" spans="13:16">
      <c r="M432">
        <v>0.30438488720413898</v>
      </c>
      <c r="N432">
        <v>0.18926870197874182</v>
      </c>
      <c r="O432">
        <v>0.23663805642598013</v>
      </c>
      <c r="P432">
        <v>0.26970835439113905</v>
      </c>
    </row>
    <row r="433" spans="13:16">
      <c r="M433">
        <v>0.27427163306990004</v>
      </c>
      <c r="N433">
        <v>0.19663739580147116</v>
      </c>
      <c r="O433">
        <v>0.26601070716503172</v>
      </c>
      <c r="P433">
        <v>0.26308026396359713</v>
      </c>
    </row>
    <row r="434" spans="13:16">
      <c r="M434">
        <v>0.28061400572282441</v>
      </c>
      <c r="N434">
        <v>0.18586861301583749</v>
      </c>
      <c r="O434">
        <v>0.2835638542096614</v>
      </c>
      <c r="P434">
        <v>0.2499535270516767</v>
      </c>
    </row>
    <row r="435" spans="13:16">
      <c r="M435">
        <v>0.30431179146278498</v>
      </c>
      <c r="N435">
        <v>0.19742039965208011</v>
      </c>
      <c r="O435">
        <v>0.22763478151415839</v>
      </c>
      <c r="P435">
        <v>0.27063302737097644</v>
      </c>
    </row>
    <row r="436" spans="13:16">
      <c r="M436">
        <v>0.28511513521121074</v>
      </c>
      <c r="N436">
        <v>0.1794667087658289</v>
      </c>
      <c r="O436">
        <v>0.25093099643528516</v>
      </c>
      <c r="P436">
        <v>0.28448715958767523</v>
      </c>
    </row>
    <row r="437" spans="13:16">
      <c r="M437">
        <v>0.31339876291502905</v>
      </c>
      <c r="N437">
        <v>0.18336281629358414</v>
      </c>
      <c r="O437">
        <v>0.23974164569092585</v>
      </c>
      <c r="P437">
        <v>0.26349677510046082</v>
      </c>
    </row>
    <row r="438" spans="13:16">
      <c r="M438">
        <v>0.30986941094903181</v>
      </c>
      <c r="N438">
        <v>0.19100343026582892</v>
      </c>
      <c r="O438">
        <v>0.24783974983975185</v>
      </c>
      <c r="P438">
        <v>0.25128740894538748</v>
      </c>
    </row>
    <row r="439" spans="13:16">
      <c r="M439">
        <v>0.28955076745136477</v>
      </c>
      <c r="N439">
        <v>0.1823298173526845</v>
      </c>
      <c r="O439">
        <v>0.26411524668726372</v>
      </c>
      <c r="P439">
        <v>0.26400416850868702</v>
      </c>
    </row>
    <row r="440" spans="13:16">
      <c r="M440">
        <v>0.29107706787966914</v>
      </c>
      <c r="N440">
        <v>0.19162082649807299</v>
      </c>
      <c r="O440">
        <v>0.25301838127380039</v>
      </c>
      <c r="P440">
        <v>0.26428372434845754</v>
      </c>
    </row>
    <row r="441" spans="13:16">
      <c r="M441">
        <v>0.26285440322420278</v>
      </c>
      <c r="N441">
        <v>0.18700434408449221</v>
      </c>
      <c r="O441">
        <v>0.28911439410323636</v>
      </c>
      <c r="P441">
        <v>0.26102685858806868</v>
      </c>
    </row>
    <row r="442" spans="13:16">
      <c r="M442">
        <v>0.29430997931015274</v>
      </c>
      <c r="N442">
        <v>0.19421056584769555</v>
      </c>
      <c r="O442">
        <v>0.23031053874259036</v>
      </c>
      <c r="P442">
        <v>0.28116891609956129</v>
      </c>
    </row>
    <row r="443" spans="13:16">
      <c r="M443">
        <v>0.30378626822616583</v>
      </c>
      <c r="N443">
        <v>0.17366878449645123</v>
      </c>
      <c r="O443">
        <v>0.26601223297006121</v>
      </c>
      <c r="P443">
        <v>0.25653271430732166</v>
      </c>
    </row>
    <row r="444" spans="13:16">
      <c r="M444">
        <v>0.29323114221244884</v>
      </c>
      <c r="N444">
        <v>0.17986836285482433</v>
      </c>
      <c r="O444">
        <v>0.2620516458369927</v>
      </c>
      <c r="P444">
        <v>0.2648488490957342</v>
      </c>
    </row>
    <row r="445" spans="13:16">
      <c r="M445">
        <v>0.27258015925346729</v>
      </c>
      <c r="N445">
        <v>0.17555434671011097</v>
      </c>
      <c r="O445">
        <v>0.28818719766655154</v>
      </c>
      <c r="P445">
        <v>0.26367829636987034</v>
      </c>
    </row>
    <row r="446" spans="13:16">
      <c r="M446">
        <v>0.30322231743944889</v>
      </c>
      <c r="N446">
        <v>0.17531987306142832</v>
      </c>
      <c r="O446">
        <v>0.26651214981013654</v>
      </c>
      <c r="P446">
        <v>0.25494565968898619</v>
      </c>
    </row>
    <row r="447" spans="13:16">
      <c r="M447">
        <v>0.29511980975732427</v>
      </c>
      <c r="N447">
        <v>0.18345447865835179</v>
      </c>
      <c r="O447">
        <v>0.25055077121455921</v>
      </c>
      <c r="P447">
        <v>0.27087494036976484</v>
      </c>
    </row>
    <row r="448" spans="13:16">
      <c r="M448">
        <v>0.27814635966843509</v>
      </c>
      <c r="N448">
        <v>0.21088461735856928</v>
      </c>
      <c r="O448">
        <v>0.23945099091517594</v>
      </c>
      <c r="P448">
        <v>0.27151803205781955</v>
      </c>
    </row>
    <row r="449" spans="13:16">
      <c r="M449">
        <v>0.28480266798558068</v>
      </c>
      <c r="N449">
        <v>0.1842155580781491</v>
      </c>
      <c r="O449">
        <v>0.25656255472455813</v>
      </c>
      <c r="P449">
        <v>0.27441921921171197</v>
      </c>
    </row>
    <row r="450" spans="13:16">
      <c r="M450">
        <v>0.30370209427965605</v>
      </c>
      <c r="N450">
        <v>0.16902639776889478</v>
      </c>
      <c r="O450">
        <v>0.26666409573268451</v>
      </c>
      <c r="P450">
        <v>0.26060741221876449</v>
      </c>
    </row>
    <row r="451" spans="13:16">
      <c r="M451">
        <v>0.29687336519436369</v>
      </c>
      <c r="N451">
        <v>0.1927027609249142</v>
      </c>
      <c r="O451">
        <v>0.26260576441574535</v>
      </c>
      <c r="P451">
        <v>0.2478181094649767</v>
      </c>
    </row>
    <row r="452" spans="13:16">
      <c r="M452">
        <v>0.29177680972325792</v>
      </c>
      <c r="N452">
        <v>0.1852239026356908</v>
      </c>
      <c r="O452">
        <v>0.27346055314849138</v>
      </c>
      <c r="P452">
        <v>0.24953873449255989</v>
      </c>
    </row>
    <row r="453" spans="13:16">
      <c r="M453">
        <v>0.26789375906615565</v>
      </c>
      <c r="N453">
        <v>0.19528687764736821</v>
      </c>
      <c r="O453">
        <v>0.28564387918957113</v>
      </c>
      <c r="P453">
        <v>0.25117548409690499</v>
      </c>
    </row>
    <row r="454" spans="13:16">
      <c r="M454">
        <v>0.26941362738019548</v>
      </c>
      <c r="N454">
        <v>0.1824598382237127</v>
      </c>
      <c r="O454">
        <v>0.27677149245534899</v>
      </c>
      <c r="P454">
        <v>0.27135504194074284</v>
      </c>
    </row>
    <row r="455" spans="13:16">
      <c r="M455">
        <v>0.31738168803759659</v>
      </c>
      <c r="N455">
        <v>0.17395068045344594</v>
      </c>
      <c r="O455">
        <v>0.25763417119106491</v>
      </c>
      <c r="P455">
        <v>0.25103346031789248</v>
      </c>
    </row>
    <row r="456" spans="13:16">
      <c r="M456">
        <v>0.26844874543335306</v>
      </c>
      <c r="N456">
        <v>0.18059999675840469</v>
      </c>
      <c r="O456">
        <v>0.29872824929883757</v>
      </c>
      <c r="P456">
        <v>0.25222300850940477</v>
      </c>
    </row>
    <row r="457" spans="13:16">
      <c r="M457">
        <v>0.29459565057670922</v>
      </c>
      <c r="N457">
        <v>0.17838503723108773</v>
      </c>
      <c r="O457">
        <v>0.27870389312429816</v>
      </c>
      <c r="P457">
        <v>0.24831541906790497</v>
      </c>
    </row>
    <row r="458" spans="13:16">
      <c r="M458">
        <v>0.31877857412154192</v>
      </c>
      <c r="N458">
        <v>0.17397879234551597</v>
      </c>
      <c r="O458">
        <v>0.25753076922656493</v>
      </c>
      <c r="P458">
        <v>0.24971186430637707</v>
      </c>
    </row>
    <row r="459" spans="13:16">
      <c r="M459">
        <v>0.27067333296384977</v>
      </c>
      <c r="N459">
        <v>0.18173165400804578</v>
      </c>
      <c r="O459">
        <v>0.28783202231733584</v>
      </c>
      <c r="P459">
        <v>0.25976299071076853</v>
      </c>
    </row>
    <row r="460" spans="13:16">
      <c r="M460">
        <v>0.28413094968277519</v>
      </c>
      <c r="N460">
        <v>0.19974748741305021</v>
      </c>
      <c r="O460">
        <v>0.23979394691420419</v>
      </c>
      <c r="P460">
        <v>0.27632761598997041</v>
      </c>
    </row>
    <row r="461" spans="13:16">
      <c r="M461">
        <v>0.26922862744955034</v>
      </c>
      <c r="N461">
        <v>0.20885267681743022</v>
      </c>
      <c r="O461">
        <v>0.25443357925602922</v>
      </c>
      <c r="P461">
        <v>0.2674851164769903</v>
      </c>
    </row>
    <row r="462" spans="13:16">
      <c r="M462">
        <v>0.30786985338231793</v>
      </c>
      <c r="N462">
        <v>0.17350677909115736</v>
      </c>
      <c r="O462">
        <v>0.26587804002986581</v>
      </c>
      <c r="P462">
        <v>0.25274532749665901</v>
      </c>
    </row>
    <row r="463" spans="13:16">
      <c r="M463">
        <v>0.32228095316042549</v>
      </c>
      <c r="N463">
        <v>0.17502019295770235</v>
      </c>
      <c r="O463">
        <v>0.25678522369636059</v>
      </c>
      <c r="P463">
        <v>0.24591363018551163</v>
      </c>
    </row>
    <row r="464" spans="13:16">
      <c r="M464">
        <v>0.27001501610641798</v>
      </c>
      <c r="N464">
        <v>0.18833596708577294</v>
      </c>
      <c r="O464">
        <v>0.27436791676782779</v>
      </c>
      <c r="P464">
        <v>0.26728110003998123</v>
      </c>
    </row>
    <row r="465" spans="13:16">
      <c r="M465">
        <v>0.31351008011226994</v>
      </c>
      <c r="N465">
        <v>0.17148805686278629</v>
      </c>
      <c r="O465">
        <v>0.25450909454269038</v>
      </c>
      <c r="P465">
        <v>0.26049276848225339</v>
      </c>
    </row>
    <row r="466" spans="13:16">
      <c r="M466">
        <v>0.3106580653612106</v>
      </c>
      <c r="N466">
        <v>0.18381017160495422</v>
      </c>
      <c r="O466">
        <v>0.25763317170071781</v>
      </c>
      <c r="P466">
        <v>0.24789859133311737</v>
      </c>
    </row>
    <row r="467" spans="13:16">
      <c r="M467">
        <v>0.31259498653119916</v>
      </c>
      <c r="N467">
        <v>0.19133648702442171</v>
      </c>
      <c r="O467">
        <v>0.23888062140336863</v>
      </c>
      <c r="P467">
        <v>0.25718790504101058</v>
      </c>
    </row>
    <row r="468" spans="13:16">
      <c r="M468">
        <v>0.28568502385645089</v>
      </c>
      <c r="N468">
        <v>0.1954136815521097</v>
      </c>
      <c r="O468">
        <v>0.24701639692609095</v>
      </c>
      <c r="P468">
        <v>0.27188489766534862</v>
      </c>
    </row>
    <row r="469" spans="13:16">
      <c r="M469">
        <v>0.28408319682821792</v>
      </c>
      <c r="N469">
        <v>0.19904125859952562</v>
      </c>
      <c r="O469">
        <v>0.25386725677417343</v>
      </c>
      <c r="P469">
        <v>0.26300828779808294</v>
      </c>
    </row>
    <row r="470" spans="13:16">
      <c r="M470">
        <v>0.29428060487999497</v>
      </c>
      <c r="N470">
        <v>0.18573001946551992</v>
      </c>
      <c r="O470">
        <v>0.25975287882762854</v>
      </c>
      <c r="P470">
        <v>0.26023649682685662</v>
      </c>
    </row>
    <row r="471" spans="13:16">
      <c r="M471">
        <v>0.2650200089057827</v>
      </c>
      <c r="N471">
        <v>0.19655045865135301</v>
      </c>
      <c r="O471">
        <v>0.27166768577268186</v>
      </c>
      <c r="P471">
        <v>0.26676184667018249</v>
      </c>
    </row>
    <row r="472" spans="13:16">
      <c r="M472">
        <v>0.28391248708648448</v>
      </c>
      <c r="N472">
        <v>0.19986402715034118</v>
      </c>
      <c r="O472">
        <v>0.25536454474041209</v>
      </c>
      <c r="P472">
        <v>0.2608589410227623</v>
      </c>
    </row>
    <row r="473" spans="13:16">
      <c r="M473">
        <v>0.28775088360225093</v>
      </c>
      <c r="N473">
        <v>0.189079319639917</v>
      </c>
      <c r="O473">
        <v>0.24428964343973633</v>
      </c>
      <c r="P473">
        <v>0.27888015331809579</v>
      </c>
    </row>
    <row r="474" spans="13:16">
      <c r="M474">
        <v>0.34413824871601933</v>
      </c>
      <c r="N474">
        <v>0.17152867921758072</v>
      </c>
      <c r="O474">
        <v>0.21496611239086819</v>
      </c>
      <c r="P474">
        <v>0.26936695967553193</v>
      </c>
    </row>
    <row r="475" spans="13:16">
      <c r="M475">
        <v>0.2894475737513692</v>
      </c>
      <c r="N475">
        <v>0.20099882034559138</v>
      </c>
      <c r="O475">
        <v>0.25433101675237813</v>
      </c>
      <c r="P475">
        <v>0.25522258915066132</v>
      </c>
    </row>
    <row r="476" spans="13:16">
      <c r="M476">
        <v>0.28516182595991857</v>
      </c>
      <c r="N476">
        <v>0.19282563363296307</v>
      </c>
      <c r="O476">
        <v>0.24272417705015664</v>
      </c>
      <c r="P476">
        <v>0.27928836335696167</v>
      </c>
    </row>
    <row r="477" spans="13:16">
      <c r="M477">
        <v>0.28533712095492431</v>
      </c>
      <c r="N477">
        <v>0.19108958737064469</v>
      </c>
      <c r="O477">
        <v>0.26185581201500274</v>
      </c>
      <c r="P477">
        <v>0.26171747965942821</v>
      </c>
    </row>
    <row r="478" spans="13:16">
      <c r="M478">
        <v>0.29638070482787826</v>
      </c>
      <c r="N478">
        <v>0.19467791038935381</v>
      </c>
      <c r="O478">
        <v>0.23644018581952456</v>
      </c>
      <c r="P478">
        <v>0.27250119896324343</v>
      </c>
    </row>
    <row r="479" spans="13:16">
      <c r="M479">
        <v>0.26676286398320453</v>
      </c>
      <c r="N479">
        <v>0.17456721748566642</v>
      </c>
      <c r="O479">
        <v>0.29913370734329275</v>
      </c>
      <c r="P479">
        <v>0.25953621118783626</v>
      </c>
    </row>
    <row r="480" spans="13:16">
      <c r="M480">
        <v>0.31178864968019226</v>
      </c>
      <c r="N480">
        <v>0.17918955068049947</v>
      </c>
      <c r="O480">
        <v>0.25320883758192275</v>
      </c>
      <c r="P480">
        <v>0.25581296205738541</v>
      </c>
    </row>
    <row r="481" spans="13:16">
      <c r="M481">
        <v>0.30212996764658612</v>
      </c>
      <c r="N481">
        <v>0.1846866972098814</v>
      </c>
      <c r="O481">
        <v>0.24177724801401387</v>
      </c>
      <c r="P481">
        <v>0.27140608712951864</v>
      </c>
    </row>
    <row r="482" spans="13:16">
      <c r="M482">
        <v>0.26300284554162567</v>
      </c>
      <c r="N482">
        <v>0.20051596907823818</v>
      </c>
      <c r="O482">
        <v>0.27335292619287688</v>
      </c>
      <c r="P482">
        <v>0.26312825918725918</v>
      </c>
    </row>
    <row r="483" spans="13:16">
      <c r="M483">
        <v>0.28705186282174083</v>
      </c>
      <c r="N483">
        <v>0.17539047272590549</v>
      </c>
      <c r="O483">
        <v>0.27665599098396226</v>
      </c>
      <c r="P483">
        <v>0.2609016734683916</v>
      </c>
    </row>
    <row r="484" spans="13:16">
      <c r="M484">
        <v>0.27857989644670006</v>
      </c>
      <c r="N484">
        <v>0.20067142507006638</v>
      </c>
      <c r="O484">
        <v>0.2619362547526804</v>
      </c>
      <c r="P484">
        <v>0.25881242373055319</v>
      </c>
    </row>
    <row r="485" spans="13:16">
      <c r="M485">
        <v>0.28935685154175167</v>
      </c>
      <c r="N485">
        <v>0.1882567548388803</v>
      </c>
      <c r="O485">
        <v>0.27564962910158319</v>
      </c>
      <c r="P485">
        <v>0.24673676451778473</v>
      </c>
    </row>
    <row r="486" spans="13:16">
      <c r="M486">
        <v>0.30308916760539134</v>
      </c>
      <c r="N486">
        <v>0.19348741912336781</v>
      </c>
      <c r="O486">
        <v>0.25429419704483491</v>
      </c>
      <c r="P486">
        <v>0.24912921622640596</v>
      </c>
    </row>
    <row r="487" spans="13:16">
      <c r="M487">
        <v>0.28639060704889913</v>
      </c>
      <c r="N487">
        <v>0.19759927525741344</v>
      </c>
      <c r="O487">
        <v>0.23604412995903243</v>
      </c>
      <c r="P487">
        <v>0.27996598773465503</v>
      </c>
    </row>
    <row r="488" spans="13:16">
      <c r="M488">
        <v>0.30110028982727638</v>
      </c>
      <c r="N488">
        <v>0.17312322605726402</v>
      </c>
      <c r="O488">
        <v>0.25941798259332549</v>
      </c>
      <c r="P488">
        <v>0.26635850152213408</v>
      </c>
    </row>
    <row r="489" spans="13:16">
      <c r="M489">
        <v>0.28992079644329999</v>
      </c>
      <c r="N489">
        <v>0.18713023750225674</v>
      </c>
      <c r="O489">
        <v>0.27463995828767074</v>
      </c>
      <c r="P489">
        <v>0.24830900776677253</v>
      </c>
    </row>
    <row r="490" spans="13:16">
      <c r="M490">
        <v>0.26752901522746925</v>
      </c>
      <c r="N490">
        <v>0.21012873345267472</v>
      </c>
      <c r="O490">
        <v>0.24421640714753562</v>
      </c>
      <c r="P490">
        <v>0.27812584417232039</v>
      </c>
    </row>
    <row r="491" spans="13:16">
      <c r="M491">
        <v>0.26593245174065411</v>
      </c>
      <c r="N491">
        <v>0.18034185356747387</v>
      </c>
      <c r="O491">
        <v>0.28803517095073528</v>
      </c>
      <c r="P491">
        <v>0.26569052374113689</v>
      </c>
    </row>
    <row r="492" spans="13:16">
      <c r="M492">
        <v>0.28782879509467824</v>
      </c>
      <c r="N492">
        <v>0.18140654836568723</v>
      </c>
      <c r="O492">
        <v>0.28508247445021834</v>
      </c>
      <c r="P492">
        <v>0.24568218208941628</v>
      </c>
    </row>
    <row r="493" spans="13:16">
      <c r="M493">
        <v>0.3337310516378626</v>
      </c>
      <c r="N493">
        <v>0.17574116400473505</v>
      </c>
      <c r="O493">
        <v>0.22676458941124261</v>
      </c>
      <c r="P493">
        <v>0.26376319494615963</v>
      </c>
    </row>
    <row r="494" spans="13:16">
      <c r="M494">
        <v>0.29394666236465639</v>
      </c>
      <c r="N494">
        <v>0.20572620611947134</v>
      </c>
      <c r="O494">
        <v>0.24109747400676496</v>
      </c>
      <c r="P494">
        <v>0.25922965750910737</v>
      </c>
    </row>
    <row r="495" spans="13:16">
      <c r="M495">
        <v>0.32534646624444052</v>
      </c>
      <c r="N495">
        <v>0.18388818356915851</v>
      </c>
      <c r="O495">
        <v>0.22573278895741228</v>
      </c>
      <c r="P495">
        <v>0.26503256122898872</v>
      </c>
    </row>
    <row r="496" spans="13:16">
      <c r="M496">
        <v>0.2861792155837577</v>
      </c>
      <c r="N496">
        <v>0.19792433659112513</v>
      </c>
      <c r="O496">
        <v>0.24670818678235371</v>
      </c>
      <c r="P496">
        <v>0.26918826104276344</v>
      </c>
    </row>
    <row r="497" spans="13:16">
      <c r="M497">
        <v>0.28706109193890256</v>
      </c>
      <c r="N497">
        <v>0.17693359067290079</v>
      </c>
      <c r="O497">
        <v>0.26017821795855872</v>
      </c>
      <c r="P497">
        <v>0.27582709942963779</v>
      </c>
    </row>
    <row r="498" spans="13:16">
      <c r="M498">
        <v>0.30839667327573062</v>
      </c>
      <c r="N498">
        <v>0.18802084412397879</v>
      </c>
      <c r="O498">
        <v>0.2443133550255854</v>
      </c>
      <c r="P498">
        <v>0.25926912757470527</v>
      </c>
    </row>
    <row r="499" spans="13:16">
      <c r="M499">
        <v>0.27766596083714423</v>
      </c>
      <c r="N499">
        <v>0.19791368044478214</v>
      </c>
      <c r="O499">
        <v>0.26131293430834257</v>
      </c>
      <c r="P499">
        <v>0.26310742440973106</v>
      </c>
    </row>
    <row r="500" spans="13:16">
      <c r="M500">
        <v>0.28451547615880618</v>
      </c>
      <c r="N500">
        <v>0.20908947592266475</v>
      </c>
      <c r="O500">
        <v>0.23474137812039242</v>
      </c>
      <c r="P500">
        <v>0.27165366979813677</v>
      </c>
    </row>
    <row r="501" spans="13:16">
      <c r="M501">
        <v>0.27203228661912837</v>
      </c>
      <c r="N501">
        <v>0.20798929671882882</v>
      </c>
      <c r="O501">
        <v>0.24745058023070024</v>
      </c>
      <c r="P501">
        <v>0.2725278364313426</v>
      </c>
    </row>
    <row r="502" spans="13:16">
      <c r="M502">
        <v>0.27615182357967899</v>
      </c>
      <c r="N502">
        <v>0.19620418471914483</v>
      </c>
      <c r="O502">
        <v>0.24831033788665255</v>
      </c>
      <c r="P502">
        <v>0.27933365381452363</v>
      </c>
    </row>
    <row r="503" spans="13:16">
      <c r="M503">
        <v>0.30225650547037608</v>
      </c>
      <c r="N503">
        <v>0.15967568437701582</v>
      </c>
      <c r="O503">
        <v>0.29176131698951613</v>
      </c>
      <c r="P503">
        <v>0.24630649316309206</v>
      </c>
    </row>
    <row r="504" spans="13:16">
      <c r="M504">
        <v>0.28303812333206352</v>
      </c>
      <c r="N504">
        <v>0.20450591971760626</v>
      </c>
      <c r="O504">
        <v>0.22411882462767893</v>
      </c>
      <c r="P504">
        <v>0.28833713232265129</v>
      </c>
    </row>
    <row r="505" spans="13:16">
      <c r="M505">
        <v>0.2727259572991233</v>
      </c>
      <c r="N505">
        <v>0.16935362630575537</v>
      </c>
      <c r="O505">
        <v>0.29976233880747988</v>
      </c>
      <c r="P505">
        <v>0.25815807758764153</v>
      </c>
    </row>
    <row r="506" spans="13:16">
      <c r="M506">
        <v>0.30623583475687749</v>
      </c>
      <c r="N506">
        <v>0.19011277362933532</v>
      </c>
      <c r="O506">
        <v>0.23245369268130248</v>
      </c>
      <c r="P506">
        <v>0.2711976989324848</v>
      </c>
    </row>
    <row r="507" spans="13:16">
      <c r="M507">
        <v>0.32144975488941824</v>
      </c>
      <c r="N507">
        <v>0.17585420363885182</v>
      </c>
      <c r="O507">
        <v>0.24283944765470089</v>
      </c>
      <c r="P507">
        <v>0.25985659381702902</v>
      </c>
    </row>
    <row r="508" spans="13:16">
      <c r="M508">
        <v>0.30398868636735271</v>
      </c>
      <c r="N508">
        <v>0.17562725983251459</v>
      </c>
      <c r="O508">
        <v>0.26254745909855204</v>
      </c>
      <c r="P508">
        <v>0.25783659470158071</v>
      </c>
    </row>
    <row r="509" spans="13:16">
      <c r="M509">
        <v>0.26389797354063771</v>
      </c>
      <c r="N509">
        <v>0.18836368491268493</v>
      </c>
      <c r="O509">
        <v>0.28978508531131209</v>
      </c>
      <c r="P509">
        <v>0.2579532562353653</v>
      </c>
    </row>
    <row r="510" spans="13:16">
      <c r="M510">
        <v>0.29434153817788183</v>
      </c>
      <c r="N510">
        <v>0.18325525469980022</v>
      </c>
      <c r="O510">
        <v>0.24784874470273976</v>
      </c>
      <c r="P510">
        <v>0.2745544624195782</v>
      </c>
    </row>
    <row r="511" spans="13:16">
      <c r="M511">
        <v>0.28231764704798412</v>
      </c>
      <c r="N511">
        <v>0.17146646098950388</v>
      </c>
      <c r="O511">
        <v>0.30195915135282264</v>
      </c>
      <c r="P511">
        <v>0.24425674060968927</v>
      </c>
    </row>
    <row r="512" spans="13:16">
      <c r="M512">
        <v>0.27337769273467549</v>
      </c>
      <c r="N512">
        <v>0.19519700116310496</v>
      </c>
      <c r="O512">
        <v>0.2700535346322267</v>
      </c>
      <c r="P512">
        <v>0.26137177146999285</v>
      </c>
    </row>
    <row r="513" spans="13:16">
      <c r="M513">
        <v>0.26110795005750914</v>
      </c>
      <c r="N513">
        <v>0.2018046732899926</v>
      </c>
      <c r="O513">
        <v>0.25961972826869445</v>
      </c>
      <c r="P513">
        <v>0.27746764838380389</v>
      </c>
    </row>
    <row r="514" spans="13:16">
      <c r="M514">
        <v>0.28250401775153372</v>
      </c>
      <c r="N514">
        <v>0.21689319415231603</v>
      </c>
      <c r="O514">
        <v>0.22136817204597428</v>
      </c>
      <c r="P514">
        <v>0.27923461605017591</v>
      </c>
    </row>
    <row r="515" spans="13:16">
      <c r="M515">
        <v>0.29519895489981368</v>
      </c>
      <c r="N515">
        <v>0.19160253918913558</v>
      </c>
      <c r="O515">
        <v>0.24043409244674047</v>
      </c>
      <c r="P515">
        <v>0.27276441346431018</v>
      </c>
    </row>
    <row r="516" spans="13:16">
      <c r="M516">
        <v>0.27827348237156296</v>
      </c>
      <c r="N516">
        <v>0.20314669909069114</v>
      </c>
      <c r="O516">
        <v>0.24668304891533607</v>
      </c>
      <c r="P516">
        <v>0.27189676962240983</v>
      </c>
    </row>
    <row r="517" spans="13:16">
      <c r="M517">
        <v>0.28019875086088852</v>
      </c>
      <c r="N517">
        <v>0.18220668645751847</v>
      </c>
      <c r="O517">
        <v>0.28623200228898171</v>
      </c>
      <c r="P517">
        <v>0.25136256039261129</v>
      </c>
    </row>
    <row r="518" spans="13:16">
      <c r="M518">
        <v>0.294423049372523</v>
      </c>
      <c r="N518">
        <v>0.19407053123209742</v>
      </c>
      <c r="O518">
        <v>0.24960205293579513</v>
      </c>
      <c r="P518">
        <v>0.26190436645958454</v>
      </c>
    </row>
    <row r="519" spans="13:16">
      <c r="M519">
        <v>0.32765013554825684</v>
      </c>
      <c r="N519">
        <v>0.18745740943005823</v>
      </c>
      <c r="O519">
        <v>0.21173707063707037</v>
      </c>
      <c r="P519">
        <v>0.27315538438461451</v>
      </c>
    </row>
    <row r="520" spans="13:16">
      <c r="M520">
        <v>0.29120774527495064</v>
      </c>
      <c r="N520">
        <v>0.18665584465156046</v>
      </c>
      <c r="O520">
        <v>0.23950058221858148</v>
      </c>
      <c r="P520">
        <v>0.28263582785490754</v>
      </c>
    </row>
    <row r="521" spans="13:16">
      <c r="M521">
        <v>0.28331673444342731</v>
      </c>
      <c r="N521">
        <v>0.18310701568079521</v>
      </c>
      <c r="O521">
        <v>0.27202737491168377</v>
      </c>
      <c r="P521">
        <v>0.26154887496409379</v>
      </c>
    </row>
    <row r="522" spans="13:16">
      <c r="M522">
        <v>0.2642604821396552</v>
      </c>
      <c r="N522">
        <v>0.18921956332020279</v>
      </c>
      <c r="O522">
        <v>0.2659415022239936</v>
      </c>
      <c r="P522">
        <v>0.28057845231614842</v>
      </c>
    </row>
    <row r="523" spans="13:16">
      <c r="M523">
        <v>0.28896737396000438</v>
      </c>
      <c r="N523">
        <v>0.18639966292325819</v>
      </c>
      <c r="O523">
        <v>0.24131899330386783</v>
      </c>
      <c r="P523">
        <v>0.28331396981286971</v>
      </c>
    </row>
    <row r="524" spans="13:16">
      <c r="M524">
        <v>0.26946351559177006</v>
      </c>
      <c r="N524">
        <v>0.18066176276874293</v>
      </c>
      <c r="O524">
        <v>0.28547237159063843</v>
      </c>
      <c r="P524">
        <v>0.26440235004884866</v>
      </c>
    </row>
    <row r="525" spans="13:16">
      <c r="M525">
        <v>0.28414991237583026</v>
      </c>
      <c r="N525">
        <v>0.17165097002411686</v>
      </c>
      <c r="O525">
        <v>0.27312473245473012</v>
      </c>
      <c r="P525">
        <v>0.27107438514532278</v>
      </c>
    </row>
    <row r="526" spans="13:16">
      <c r="M526">
        <v>0.30029000463759431</v>
      </c>
      <c r="N526">
        <v>0.20195157081726919</v>
      </c>
      <c r="O526">
        <v>0.23113842098061754</v>
      </c>
      <c r="P526">
        <v>0.26662000356451909</v>
      </c>
    </row>
    <row r="527" spans="13:16">
      <c r="M527">
        <v>0.28183342817286933</v>
      </c>
      <c r="N527">
        <v>0.17978795936049222</v>
      </c>
      <c r="O527">
        <v>0.27919053542470468</v>
      </c>
      <c r="P527">
        <v>0.25918807704193386</v>
      </c>
    </row>
    <row r="528" spans="13:16">
      <c r="M528">
        <v>0.27707871925420968</v>
      </c>
      <c r="N528">
        <v>0.17060928913858719</v>
      </c>
      <c r="O528">
        <v>0.29496346589307348</v>
      </c>
      <c r="P528">
        <v>0.25734852571412969</v>
      </c>
    </row>
    <row r="529" spans="13:16">
      <c r="M529">
        <v>0.29652769149329639</v>
      </c>
      <c r="N529">
        <v>0.17848863376562635</v>
      </c>
      <c r="O529">
        <v>0.27129856608930031</v>
      </c>
      <c r="P529">
        <v>0.25368510865177696</v>
      </c>
    </row>
    <row r="530" spans="13:16">
      <c r="M530">
        <v>0.27994450412347283</v>
      </c>
      <c r="N530">
        <v>0.20088939084609075</v>
      </c>
      <c r="O530">
        <v>0.27078258794826354</v>
      </c>
      <c r="P530">
        <v>0.24838351708217285</v>
      </c>
    </row>
    <row r="531" spans="13:16">
      <c r="M531">
        <v>0.29667326118882409</v>
      </c>
      <c r="N531">
        <v>0.17841532490328621</v>
      </c>
      <c r="O531">
        <v>0.2865390425726923</v>
      </c>
      <c r="P531">
        <v>0.2383723713351974</v>
      </c>
    </row>
    <row r="532" spans="13:16">
      <c r="M532">
        <v>0.30487657906522664</v>
      </c>
      <c r="N532">
        <v>0.17768304596556242</v>
      </c>
      <c r="O532">
        <v>0.26046804373030197</v>
      </c>
      <c r="P532">
        <v>0.25697233123890906</v>
      </c>
    </row>
    <row r="533" spans="13:16">
      <c r="M533">
        <v>0.27911631780263352</v>
      </c>
      <c r="N533">
        <v>0.19451325624812726</v>
      </c>
      <c r="O533">
        <v>0.2504090173744089</v>
      </c>
      <c r="P533">
        <v>0.27596140857483026</v>
      </c>
    </row>
    <row r="534" spans="13:16">
      <c r="M534">
        <v>0.30587058899866243</v>
      </c>
      <c r="N534">
        <v>0.18199773346972145</v>
      </c>
      <c r="O534">
        <v>0.23985808828162847</v>
      </c>
      <c r="P534">
        <v>0.27227358924998757</v>
      </c>
    </row>
    <row r="535" spans="13:16">
      <c r="M535">
        <v>0.32170393357540544</v>
      </c>
      <c r="N535">
        <v>0.17650470742054894</v>
      </c>
      <c r="O535">
        <v>0.2532787095703703</v>
      </c>
      <c r="P535">
        <v>0.24851264943367538</v>
      </c>
    </row>
    <row r="536" spans="13:16">
      <c r="M536">
        <v>0.27366060327930136</v>
      </c>
      <c r="N536">
        <v>0.20772699695205596</v>
      </c>
      <c r="O536">
        <v>0.25293701845129296</v>
      </c>
      <c r="P536">
        <v>0.26567538131734975</v>
      </c>
    </row>
    <row r="537" spans="13:16">
      <c r="M537">
        <v>0.26463521165665049</v>
      </c>
      <c r="N537">
        <v>0.18233650531924694</v>
      </c>
      <c r="O537">
        <v>0.2909379708297356</v>
      </c>
      <c r="P537">
        <v>0.2620903121943669</v>
      </c>
    </row>
    <row r="538" spans="13:16">
      <c r="M538">
        <v>0.31564187128377758</v>
      </c>
      <c r="N538">
        <v>0.18003763105939657</v>
      </c>
      <c r="O538">
        <v>0.23900315423208054</v>
      </c>
      <c r="P538">
        <v>0.26531734342474528</v>
      </c>
    </row>
    <row r="539" spans="13:16">
      <c r="M539">
        <v>0.28534195983723704</v>
      </c>
      <c r="N539">
        <v>0.19056343166446918</v>
      </c>
      <c r="O539">
        <v>0.27782701140409233</v>
      </c>
      <c r="P539">
        <v>0.24626759709420143</v>
      </c>
    </row>
    <row r="540" spans="13:16">
      <c r="M540">
        <v>0.2722926723486383</v>
      </c>
      <c r="N540">
        <v>0.18303438981538978</v>
      </c>
      <c r="O540">
        <v>0.28716950633138894</v>
      </c>
      <c r="P540">
        <v>0.2575034315045831</v>
      </c>
    </row>
    <row r="541" spans="13:16">
      <c r="M541">
        <v>0.2547539600094017</v>
      </c>
      <c r="N541">
        <v>0.20538126721639663</v>
      </c>
      <c r="O541">
        <v>0.27743186124538211</v>
      </c>
      <c r="P541">
        <v>0.26243291152881965</v>
      </c>
    </row>
    <row r="542" spans="13:16">
      <c r="M542">
        <v>0.29376062280332921</v>
      </c>
      <c r="N542">
        <v>0.18012690953258059</v>
      </c>
      <c r="O542">
        <v>0.27007278143332702</v>
      </c>
      <c r="P542">
        <v>0.25603968623076306</v>
      </c>
    </row>
    <row r="543" spans="13:16">
      <c r="M543">
        <v>0.32103257132928564</v>
      </c>
      <c r="N543">
        <v>0.17076508669994667</v>
      </c>
      <c r="O543">
        <v>0.24416209213035028</v>
      </c>
      <c r="P543">
        <v>0.26404024984041741</v>
      </c>
    </row>
    <row r="544" spans="13:16">
      <c r="M544">
        <v>0.29299648792392985</v>
      </c>
      <c r="N544">
        <v>0.18810205227852705</v>
      </c>
      <c r="O544">
        <v>0.25801757231023459</v>
      </c>
      <c r="P544">
        <v>0.26088388748730862</v>
      </c>
    </row>
    <row r="545" spans="13:16">
      <c r="M545">
        <v>0.29716864945860555</v>
      </c>
      <c r="N545">
        <v>0.19085111220135012</v>
      </c>
      <c r="O545">
        <v>0.22125770233418271</v>
      </c>
      <c r="P545">
        <v>0.29072253600586151</v>
      </c>
    </row>
    <row r="546" spans="13:16">
      <c r="M546">
        <v>0.28378256375419791</v>
      </c>
      <c r="N546">
        <v>0.18730334800288631</v>
      </c>
      <c r="O546">
        <v>0.24838316778061839</v>
      </c>
      <c r="P546">
        <v>0.2805309204622975</v>
      </c>
    </row>
    <row r="547" spans="13:16">
      <c r="M547">
        <v>0.30149107544300574</v>
      </c>
      <c r="N547">
        <v>0.1807009801627</v>
      </c>
      <c r="O547">
        <v>0.25223307269511103</v>
      </c>
      <c r="P547">
        <v>0.26557487169918315</v>
      </c>
    </row>
    <row r="548" spans="13:16">
      <c r="M548">
        <v>0.26926400011148782</v>
      </c>
      <c r="N548">
        <v>0.19179410779964839</v>
      </c>
      <c r="O548">
        <v>0.26632994861301068</v>
      </c>
      <c r="P548">
        <v>0.27261194347585305</v>
      </c>
    </row>
    <row r="549" spans="13:16">
      <c r="M549">
        <v>0.28621708747995195</v>
      </c>
      <c r="N549">
        <v>0.19634760110835633</v>
      </c>
      <c r="O549">
        <v>0.24857848638641611</v>
      </c>
      <c r="P549">
        <v>0.26885682502527558</v>
      </c>
    </row>
    <row r="550" spans="13:16">
      <c r="M550">
        <v>0.31781151007895497</v>
      </c>
      <c r="N550">
        <v>0.1729549929796832</v>
      </c>
      <c r="O550">
        <v>0.24583357077699405</v>
      </c>
      <c r="P550">
        <v>0.26339992616436775</v>
      </c>
    </row>
    <row r="551" spans="13:16">
      <c r="M551">
        <v>0.28720106590174432</v>
      </c>
      <c r="N551">
        <v>0.1830534157524446</v>
      </c>
      <c r="O551">
        <v>0.26752808297216879</v>
      </c>
      <c r="P551">
        <v>0.26221743537364217</v>
      </c>
    </row>
    <row r="552" spans="13:16">
      <c r="M552">
        <v>0.3140021291167216</v>
      </c>
      <c r="N552">
        <v>0.16895928467069496</v>
      </c>
      <c r="O552">
        <v>0.24933821013211993</v>
      </c>
      <c r="P552">
        <v>0.2677003760804636</v>
      </c>
    </row>
    <row r="553" spans="13:16">
      <c r="M553">
        <v>0.2973018621541661</v>
      </c>
      <c r="N553">
        <v>0.17227132741778822</v>
      </c>
      <c r="O553">
        <v>0.25623437744965977</v>
      </c>
      <c r="P553">
        <v>0.27419243297838586</v>
      </c>
    </row>
    <row r="554" spans="13:16">
      <c r="M554">
        <v>0.30336291163206919</v>
      </c>
      <c r="N554">
        <v>0.18843586701939383</v>
      </c>
      <c r="O554">
        <v>0.24295595636150349</v>
      </c>
      <c r="P554">
        <v>0.2652452649870336</v>
      </c>
    </row>
    <row r="555" spans="13:16">
      <c r="M555">
        <v>0.30672775533278163</v>
      </c>
      <c r="N555">
        <v>0.17171248163324218</v>
      </c>
      <c r="O555">
        <v>0.2631137046376823</v>
      </c>
      <c r="P555">
        <v>0.25844605839629392</v>
      </c>
    </row>
    <row r="556" spans="13:16">
      <c r="M556">
        <v>0.29571839061189487</v>
      </c>
      <c r="N556">
        <v>0.1864286049251917</v>
      </c>
      <c r="O556">
        <v>0.25866126483013679</v>
      </c>
      <c r="P556">
        <v>0.25919173963277675</v>
      </c>
    </row>
    <row r="557" spans="13:16">
      <c r="M557">
        <v>0.27710455005701351</v>
      </c>
      <c r="N557">
        <v>0.20371528767002797</v>
      </c>
      <c r="O557">
        <v>0.24195599616191263</v>
      </c>
      <c r="P557">
        <v>0.27722416611104583</v>
      </c>
    </row>
    <row r="558" spans="13:16">
      <c r="M558">
        <v>0.30390555801471353</v>
      </c>
      <c r="N558">
        <v>0.18032663406342123</v>
      </c>
      <c r="O558">
        <v>0.26225692281717644</v>
      </c>
      <c r="P558">
        <v>0.25351088510468872</v>
      </c>
    </row>
    <row r="559" spans="13:16">
      <c r="M559">
        <v>0.3164390486602463</v>
      </c>
      <c r="N559">
        <v>0.18444202358778941</v>
      </c>
      <c r="O559">
        <v>0.22347271122708492</v>
      </c>
      <c r="P559">
        <v>0.27564621652487931</v>
      </c>
    </row>
    <row r="560" spans="13:16">
      <c r="M560">
        <v>0.28533722965622849</v>
      </c>
      <c r="N560">
        <v>0.18539055154730774</v>
      </c>
      <c r="O560">
        <v>0.27349317897284486</v>
      </c>
      <c r="P560">
        <v>0.25577903982361883</v>
      </c>
    </row>
    <row r="561" spans="13:16">
      <c r="M561">
        <v>0.28606425642073674</v>
      </c>
      <c r="N561">
        <v>0.20601130007058921</v>
      </c>
      <c r="O561">
        <v>0.23361923229551157</v>
      </c>
      <c r="P561">
        <v>0.27430521121316259</v>
      </c>
    </row>
    <row r="562" spans="13:16">
      <c r="M562">
        <v>0.27808124340250195</v>
      </c>
      <c r="N562">
        <v>0.19312812083897288</v>
      </c>
      <c r="O562">
        <v>0.26341737251839864</v>
      </c>
      <c r="P562">
        <v>0.2653732632401265</v>
      </c>
    </row>
    <row r="563" spans="13:16">
      <c r="M563">
        <v>0.28379797705730675</v>
      </c>
      <c r="N563">
        <v>0.21529119962388804</v>
      </c>
      <c r="O563">
        <v>0.22850211671386492</v>
      </c>
      <c r="P563">
        <v>0.27240870660494021</v>
      </c>
    </row>
    <row r="564" spans="13:16">
      <c r="M564">
        <v>0.32444531420799649</v>
      </c>
      <c r="N564">
        <v>0.16404967811147295</v>
      </c>
      <c r="O564">
        <v>0.26099950755388718</v>
      </c>
      <c r="P564">
        <v>0.25050550012664341</v>
      </c>
    </row>
    <row r="565" spans="13:16">
      <c r="M565">
        <v>0.30143645534883801</v>
      </c>
      <c r="N565">
        <v>0.18992058840040166</v>
      </c>
      <c r="O565">
        <v>0.24641718297633278</v>
      </c>
      <c r="P565">
        <v>0.26222577327442737</v>
      </c>
    </row>
    <row r="566" spans="13:16">
      <c r="M566">
        <v>0.27429382658471668</v>
      </c>
      <c r="N566">
        <v>0.19655592653853779</v>
      </c>
      <c r="O566">
        <v>0.26320606197223578</v>
      </c>
      <c r="P566">
        <v>0.26594418490450983</v>
      </c>
    </row>
    <row r="567" spans="13:16">
      <c r="M567">
        <v>0.29634819823560282</v>
      </c>
      <c r="N567">
        <v>0.1860074798738291</v>
      </c>
      <c r="O567">
        <v>0.26818590584342938</v>
      </c>
      <c r="P567">
        <v>0.24945841604713875</v>
      </c>
    </row>
    <row r="568" spans="13:16">
      <c r="M568">
        <v>0.30744218789910199</v>
      </c>
      <c r="N568">
        <v>0.18689369673504952</v>
      </c>
      <c r="O568">
        <v>0.24576846988449338</v>
      </c>
      <c r="P568">
        <v>0.25989564548135519</v>
      </c>
    </row>
    <row r="569" spans="13:16">
      <c r="M569">
        <v>0.31630588770190449</v>
      </c>
      <c r="N569">
        <v>0.18222143178754699</v>
      </c>
      <c r="O569">
        <v>0.2381214077243019</v>
      </c>
      <c r="P569">
        <v>0.26335127278624643</v>
      </c>
    </row>
    <row r="570" spans="13:16">
      <c r="M570">
        <v>0.29463254059561023</v>
      </c>
      <c r="N570">
        <v>0.19711551466078406</v>
      </c>
      <c r="O570">
        <v>0.2424464986922423</v>
      </c>
      <c r="P570">
        <v>0.26580544605136341</v>
      </c>
    </row>
    <row r="571" spans="13:16">
      <c r="M571">
        <v>0.29702182320367809</v>
      </c>
      <c r="N571">
        <v>0.19251106382912284</v>
      </c>
      <c r="O571">
        <v>0.25337701098397242</v>
      </c>
      <c r="P571">
        <v>0.25709010198322657</v>
      </c>
    </row>
    <row r="572" spans="13:16">
      <c r="M572">
        <v>0.28662340183110668</v>
      </c>
      <c r="N572">
        <v>0.18706027933462044</v>
      </c>
      <c r="O572">
        <v>0.2550291222676645</v>
      </c>
      <c r="P572">
        <v>0.27128719656660838</v>
      </c>
    </row>
    <row r="573" spans="13:16">
      <c r="M573">
        <v>0.2730620680493846</v>
      </c>
      <c r="N573">
        <v>0.17871841867107041</v>
      </c>
      <c r="O573">
        <v>0.27838875985711942</v>
      </c>
      <c r="P573">
        <v>0.26983075342242552</v>
      </c>
    </row>
    <row r="574" spans="13:16">
      <c r="M574">
        <v>0.31518276591333055</v>
      </c>
      <c r="N574">
        <v>0.16867020686215817</v>
      </c>
      <c r="O574">
        <v>0.26065570630954177</v>
      </c>
      <c r="P574">
        <v>0.25549132091496946</v>
      </c>
    </row>
    <row r="575" spans="13:16">
      <c r="M575">
        <v>0.29410324237767549</v>
      </c>
      <c r="N575">
        <v>0.1995793133148914</v>
      </c>
      <c r="O575">
        <v>0.23694631273411587</v>
      </c>
      <c r="P575">
        <v>0.26937113157331716</v>
      </c>
    </row>
    <row r="576" spans="13:16">
      <c r="M576">
        <v>0.29842867805348033</v>
      </c>
      <c r="N576">
        <v>0.18969762060789258</v>
      </c>
      <c r="O576">
        <v>0.25342163814225244</v>
      </c>
      <c r="P576">
        <v>0.25845206319637465</v>
      </c>
    </row>
    <row r="577" spans="13:16">
      <c r="M577">
        <v>0.29120851026402561</v>
      </c>
      <c r="N577">
        <v>0.18267362014328467</v>
      </c>
      <c r="O577">
        <v>0.24356645216876088</v>
      </c>
      <c r="P577">
        <v>0.28255141742392892</v>
      </c>
    </row>
    <row r="578" spans="13:16">
      <c r="M578">
        <v>0.2829964137759779</v>
      </c>
      <c r="N578">
        <v>0.20257577172176117</v>
      </c>
      <c r="O578">
        <v>0.23869385195167023</v>
      </c>
      <c r="P578">
        <v>0.27573396255059079</v>
      </c>
    </row>
    <row r="579" spans="13:16">
      <c r="M579">
        <v>0.27120465596202392</v>
      </c>
      <c r="N579">
        <v>0.20599228827799482</v>
      </c>
      <c r="O579">
        <v>0.2576222393072084</v>
      </c>
      <c r="P579">
        <v>0.26518081645277286</v>
      </c>
    </row>
    <row r="580" spans="13:16">
      <c r="M580">
        <v>0.3005326914735939</v>
      </c>
      <c r="N580">
        <v>0.16677341388779346</v>
      </c>
      <c r="O580">
        <v>0.28055455658972123</v>
      </c>
      <c r="P580">
        <v>0.25213933804889127</v>
      </c>
    </row>
    <row r="581" spans="13:16">
      <c r="M581">
        <v>0.29650661710242754</v>
      </c>
      <c r="N581">
        <v>0.18232421689732181</v>
      </c>
      <c r="O581">
        <v>0.25619364923332005</v>
      </c>
      <c r="P581">
        <v>0.26497551676693071</v>
      </c>
    </row>
    <row r="582" spans="13:16">
      <c r="M582">
        <v>0.29688258840928866</v>
      </c>
      <c r="N582">
        <v>0.2022844827429052</v>
      </c>
      <c r="O582">
        <v>0.22870928643608335</v>
      </c>
      <c r="P582">
        <v>0.27212364241172282</v>
      </c>
    </row>
    <row r="583" spans="13:16">
      <c r="M583">
        <v>0.28941275237815106</v>
      </c>
      <c r="N583">
        <v>0.19585838014979162</v>
      </c>
      <c r="O583">
        <v>0.22736225637596275</v>
      </c>
      <c r="P583">
        <v>0.28736661109609446</v>
      </c>
    </row>
    <row r="584" spans="13:16">
      <c r="M584">
        <v>0.27877617099978208</v>
      </c>
      <c r="N584">
        <v>0.20210665315980453</v>
      </c>
      <c r="O584">
        <v>0.23796302792468185</v>
      </c>
      <c r="P584">
        <v>0.28115414791573157</v>
      </c>
    </row>
    <row r="585" spans="13:16">
      <c r="M585">
        <v>0.31694240327594936</v>
      </c>
      <c r="N585">
        <v>0.1821563087755764</v>
      </c>
      <c r="O585">
        <v>0.22901662548342983</v>
      </c>
      <c r="P585">
        <v>0.27188466246504445</v>
      </c>
    </row>
    <row r="586" spans="13:16">
      <c r="M586">
        <v>0.29918384330879949</v>
      </c>
      <c r="N586">
        <v>0.1763327760567843</v>
      </c>
      <c r="O586">
        <v>0.25744102054867413</v>
      </c>
      <c r="P586">
        <v>0.26704236008574211</v>
      </c>
    </row>
    <row r="587" spans="13:16">
      <c r="M587">
        <v>0.30540824505611314</v>
      </c>
      <c r="N587">
        <v>0.164616098765515</v>
      </c>
      <c r="O587">
        <v>0.28151683478150907</v>
      </c>
      <c r="P587">
        <v>0.24845882139686282</v>
      </c>
    </row>
    <row r="588" spans="13:16">
      <c r="M588">
        <v>0.29880067624832329</v>
      </c>
      <c r="N588">
        <v>0.18309632847735319</v>
      </c>
      <c r="O588">
        <v>0.2652897500818221</v>
      </c>
      <c r="P588">
        <v>0.25281324519250142</v>
      </c>
    </row>
    <row r="589" spans="13:16">
      <c r="M589">
        <v>0.27777428947428395</v>
      </c>
      <c r="N589">
        <v>0.1757322365792468</v>
      </c>
      <c r="O589">
        <v>0.28505964929620703</v>
      </c>
      <c r="P589">
        <v>0.26143382465026221</v>
      </c>
    </row>
    <row r="590" spans="13:16">
      <c r="M590">
        <v>0.28040647064342411</v>
      </c>
      <c r="N590">
        <v>0.19768378699259853</v>
      </c>
      <c r="O590">
        <v>0.2510663390316264</v>
      </c>
      <c r="P590">
        <v>0.27084340333235096</v>
      </c>
    </row>
    <row r="591" spans="13:16">
      <c r="M591">
        <v>0.26479774441373166</v>
      </c>
      <c r="N591">
        <v>0.19434394962250293</v>
      </c>
      <c r="O591">
        <v>0.27861648711405879</v>
      </c>
      <c r="P591">
        <v>0.26224181884970665</v>
      </c>
    </row>
    <row r="592" spans="13:16">
      <c r="M592">
        <v>0.2625990908906406</v>
      </c>
      <c r="N592">
        <v>0.18068744394734293</v>
      </c>
      <c r="O592">
        <v>0.29542997901672935</v>
      </c>
      <c r="P592">
        <v>0.26128348614528735</v>
      </c>
    </row>
    <row r="593" spans="13:16">
      <c r="M593">
        <v>0.32474367219624306</v>
      </c>
      <c r="N593">
        <v>0.18150933939341696</v>
      </c>
      <c r="O593">
        <v>0.23992390817192072</v>
      </c>
      <c r="P593">
        <v>0.25382308023841943</v>
      </c>
    </row>
    <row r="594" spans="13:16">
      <c r="M594">
        <v>0.30745413644110714</v>
      </c>
      <c r="N594">
        <v>0.19502759882686416</v>
      </c>
      <c r="O594">
        <v>0.25129428443007812</v>
      </c>
      <c r="P594">
        <v>0.24622398030195064</v>
      </c>
    </row>
    <row r="595" spans="13:16">
      <c r="M595">
        <v>0.32568466694907788</v>
      </c>
      <c r="N595">
        <v>0.17110699173502131</v>
      </c>
      <c r="O595">
        <v>0.24275075873047788</v>
      </c>
      <c r="P595">
        <v>0.26045758258542295</v>
      </c>
    </row>
    <row r="596" spans="13:16">
      <c r="M596">
        <v>0.28623611288824863</v>
      </c>
      <c r="N596">
        <v>0.19531628032222217</v>
      </c>
      <c r="O596">
        <v>0.2499343069518932</v>
      </c>
      <c r="P596">
        <v>0.268513299837636</v>
      </c>
    </row>
    <row r="597" spans="13:16">
      <c r="M597">
        <v>0.27816547119721463</v>
      </c>
      <c r="N597">
        <v>0.20211533178276461</v>
      </c>
      <c r="O597">
        <v>0.25085795449702625</v>
      </c>
      <c r="P597">
        <v>0.26886124252299448</v>
      </c>
    </row>
    <row r="598" spans="13:16">
      <c r="M598">
        <v>0.29750504133617767</v>
      </c>
      <c r="N598">
        <v>0.17418198419922895</v>
      </c>
      <c r="O598">
        <v>0.26123390978707473</v>
      </c>
      <c r="P598">
        <v>0.26707906467751868</v>
      </c>
    </row>
    <row r="599" spans="13:16">
      <c r="M599">
        <v>0.28587329425730473</v>
      </c>
      <c r="N599">
        <v>0.17018146983437046</v>
      </c>
      <c r="O599">
        <v>0.28627748290740923</v>
      </c>
      <c r="P599">
        <v>0.25766775300091554</v>
      </c>
    </row>
    <row r="600" spans="13:16">
      <c r="M600">
        <v>0.31350063651265658</v>
      </c>
      <c r="N600">
        <v>0.17447651703039457</v>
      </c>
      <c r="O600">
        <v>0.25423327641727667</v>
      </c>
      <c r="P600">
        <v>0.25778957003967218</v>
      </c>
    </row>
    <row r="601" spans="13:16">
      <c r="M601">
        <v>0.27600406620929729</v>
      </c>
      <c r="N601">
        <v>0.18870154269586262</v>
      </c>
      <c r="O601">
        <v>0.25956254031236897</v>
      </c>
      <c r="P601">
        <v>0.27573185078247109</v>
      </c>
    </row>
    <row r="602" spans="13:16">
      <c r="M602">
        <v>0.29172979309988584</v>
      </c>
      <c r="N602">
        <v>0.18622070850462882</v>
      </c>
      <c r="O602">
        <v>0.26923211052158741</v>
      </c>
      <c r="P602">
        <v>0.2528173878738979</v>
      </c>
    </row>
    <row r="603" spans="13:16">
      <c r="M603">
        <v>0.28307720677729581</v>
      </c>
      <c r="N603">
        <v>0.19182758183207144</v>
      </c>
      <c r="O603">
        <v>0.24816403433808246</v>
      </c>
      <c r="P603">
        <v>0.27693117705255027</v>
      </c>
    </row>
    <row r="604" spans="13:16">
      <c r="M604">
        <v>0.30910366344894402</v>
      </c>
      <c r="N604">
        <v>0.16837667370289824</v>
      </c>
      <c r="O604">
        <v>0.26159233601669257</v>
      </c>
      <c r="P604">
        <v>0.26092732683146519</v>
      </c>
    </row>
    <row r="605" spans="13:16">
      <c r="M605">
        <v>0.26340373257776473</v>
      </c>
      <c r="N605">
        <v>0.19060804900782344</v>
      </c>
      <c r="O605">
        <v>0.27183566946755733</v>
      </c>
      <c r="P605">
        <v>0.27415254894685448</v>
      </c>
    </row>
    <row r="606" spans="13:16">
      <c r="M606">
        <v>0.28558886053975141</v>
      </c>
      <c r="N606">
        <v>0.17668324016471645</v>
      </c>
      <c r="O606">
        <v>0.28232356370566847</v>
      </c>
      <c r="P606">
        <v>0.2554043355898637</v>
      </c>
    </row>
    <row r="607" spans="13:16">
      <c r="M607">
        <v>0.2920460029286796</v>
      </c>
      <c r="N607">
        <v>0.17187099570955405</v>
      </c>
      <c r="O607">
        <v>0.29124973049914521</v>
      </c>
      <c r="P607">
        <v>0.24483327086262113</v>
      </c>
    </row>
    <row r="608" spans="13:16">
      <c r="M608">
        <v>0.31606192222683022</v>
      </c>
      <c r="N608">
        <v>0.18446436021348794</v>
      </c>
      <c r="O608">
        <v>0.2235690584229548</v>
      </c>
      <c r="P608">
        <v>0.27590465913672702</v>
      </c>
    </row>
    <row r="609" spans="13:16">
      <c r="M609">
        <v>0.27851696206679299</v>
      </c>
      <c r="N609">
        <v>0.17371749142555612</v>
      </c>
      <c r="O609">
        <v>0.281125999178094</v>
      </c>
      <c r="P609">
        <v>0.26663954732955691</v>
      </c>
    </row>
    <row r="610" spans="13:16">
      <c r="M610">
        <v>0.28391532460007485</v>
      </c>
      <c r="N610">
        <v>0.20253821858280555</v>
      </c>
      <c r="O610">
        <v>0.24013251049999834</v>
      </c>
      <c r="P610">
        <v>0.27341394631712118</v>
      </c>
    </row>
    <row r="611" spans="13:16">
      <c r="M611">
        <v>0.31351451613022058</v>
      </c>
      <c r="N611">
        <v>0.18607779255020754</v>
      </c>
      <c r="O611">
        <v>0.24254235832052548</v>
      </c>
      <c r="P611">
        <v>0.2578653329990464</v>
      </c>
    </row>
    <row r="612" spans="13:16">
      <c r="M612">
        <v>0.32667621380624601</v>
      </c>
      <c r="N612">
        <v>0.18359535116685144</v>
      </c>
      <c r="O612">
        <v>0.21926651389555907</v>
      </c>
      <c r="P612">
        <v>0.27046192113134349</v>
      </c>
    </row>
    <row r="613" spans="13:16">
      <c r="M613">
        <v>0.29392296790108657</v>
      </c>
      <c r="N613">
        <v>0.1741686475731625</v>
      </c>
      <c r="O613">
        <v>0.27713817057189272</v>
      </c>
      <c r="P613">
        <v>0.25477021395385824</v>
      </c>
    </row>
    <row r="614" spans="13:16">
      <c r="M614">
        <v>0.28508766825319298</v>
      </c>
      <c r="N614">
        <v>0.16994744691806263</v>
      </c>
      <c r="O614">
        <v>0.2917770060503137</v>
      </c>
      <c r="P614">
        <v>0.25318787877843063</v>
      </c>
    </row>
    <row r="615" spans="13:16">
      <c r="M615">
        <v>0.2798760979634764</v>
      </c>
      <c r="N615">
        <v>0.17594880894132539</v>
      </c>
      <c r="O615">
        <v>0.29072280650669752</v>
      </c>
      <c r="P615">
        <v>0.25345228658850072</v>
      </c>
    </row>
    <row r="616" spans="13:16">
      <c r="M616">
        <v>0.29324060365222226</v>
      </c>
      <c r="N616">
        <v>0.18460497137940238</v>
      </c>
      <c r="O616">
        <v>0.2742853435255253</v>
      </c>
      <c r="P616">
        <v>0.24786908144284997</v>
      </c>
    </row>
    <row r="617" spans="13:16">
      <c r="M617">
        <v>0.29015917271189035</v>
      </c>
      <c r="N617">
        <v>0.19733594661382403</v>
      </c>
      <c r="O617">
        <v>0.26625104244222042</v>
      </c>
      <c r="P617">
        <v>0.24625383823206529</v>
      </c>
    </row>
    <row r="618" spans="13:16">
      <c r="M618">
        <v>0.31194070034582311</v>
      </c>
      <c r="N618">
        <v>0.1674850414748022</v>
      </c>
      <c r="O618">
        <v>0.26633806521583425</v>
      </c>
      <c r="P618">
        <v>0.25423619296354039</v>
      </c>
    </row>
    <row r="619" spans="13:16">
      <c r="M619">
        <v>0.27145912559572355</v>
      </c>
      <c r="N619">
        <v>0.19816150393219123</v>
      </c>
      <c r="O619">
        <v>0.25750502313254814</v>
      </c>
      <c r="P619">
        <v>0.27287434733953703</v>
      </c>
    </row>
    <row r="620" spans="13:16">
      <c r="M620">
        <v>0.28179500722896395</v>
      </c>
      <c r="N620">
        <v>0.19991269214339025</v>
      </c>
      <c r="O620">
        <v>0.25657823352692893</v>
      </c>
      <c r="P620">
        <v>0.26171406710071687</v>
      </c>
    </row>
    <row r="621" spans="13:16">
      <c r="M621">
        <v>0.28414533771785988</v>
      </c>
      <c r="N621">
        <v>0.17972358785041265</v>
      </c>
      <c r="O621">
        <v>0.26014698644108875</v>
      </c>
      <c r="P621">
        <v>0.27598408799063873</v>
      </c>
    </row>
    <row r="622" spans="13:16">
      <c r="M622">
        <v>0.30232105396944042</v>
      </c>
      <c r="N622">
        <v>0.18408089415748333</v>
      </c>
      <c r="O622">
        <v>0.25723197877904808</v>
      </c>
      <c r="P622">
        <v>0.25636607309402809</v>
      </c>
    </row>
    <row r="623" spans="13:16">
      <c r="M623">
        <v>0.27611492424598627</v>
      </c>
      <c r="N623">
        <v>0.18631894115325928</v>
      </c>
      <c r="O623">
        <v>0.26244640620366866</v>
      </c>
      <c r="P623">
        <v>0.27511972839708587</v>
      </c>
    </row>
    <row r="624" spans="13:16">
      <c r="M624">
        <v>0.29171083172101453</v>
      </c>
      <c r="N624">
        <v>0.19078876434440514</v>
      </c>
      <c r="O624">
        <v>0.24511869234819844</v>
      </c>
      <c r="P624">
        <v>0.2723817115863818</v>
      </c>
    </row>
    <row r="625" spans="13:16">
      <c r="M625">
        <v>0.26557570599266678</v>
      </c>
      <c r="N625">
        <v>0.20786607923522396</v>
      </c>
      <c r="O625">
        <v>0.26130876515019996</v>
      </c>
      <c r="P625">
        <v>0.26524944962190916</v>
      </c>
    </row>
    <row r="626" spans="13:16">
      <c r="M626">
        <v>0.28375046352193539</v>
      </c>
      <c r="N626">
        <v>0.18273701886776422</v>
      </c>
      <c r="O626">
        <v>0.28951941036209505</v>
      </c>
      <c r="P626">
        <v>0.24399310724820519</v>
      </c>
    </row>
    <row r="627" spans="13:16">
      <c r="M627">
        <v>0.27737647600482906</v>
      </c>
      <c r="N627">
        <v>0.1850961598856421</v>
      </c>
      <c r="O627">
        <v>0.26395441762623756</v>
      </c>
      <c r="P627">
        <v>0.27357294648329139</v>
      </c>
    </row>
    <row r="628" spans="13:16">
      <c r="M628">
        <v>0.29499842263728382</v>
      </c>
      <c r="N628">
        <v>0.1732906594653324</v>
      </c>
      <c r="O628">
        <v>0.26204775087323939</v>
      </c>
      <c r="P628">
        <v>0.26966316702414445</v>
      </c>
    </row>
    <row r="629" spans="13:16">
      <c r="M629">
        <v>0.26878853259092117</v>
      </c>
      <c r="N629">
        <v>0.18782799247129989</v>
      </c>
      <c r="O629">
        <v>0.2644441598099963</v>
      </c>
      <c r="P629">
        <v>0.27893931512778253</v>
      </c>
    </row>
    <row r="630" spans="13:16">
      <c r="M630">
        <v>0.26403648582446804</v>
      </c>
      <c r="N630">
        <v>0.2010817549325587</v>
      </c>
      <c r="O630">
        <v>0.27726865152029351</v>
      </c>
      <c r="P630">
        <v>0.25761310772267976</v>
      </c>
    </row>
    <row r="631" spans="13:16">
      <c r="M631">
        <v>0.30922515057174482</v>
      </c>
      <c r="N631">
        <v>0.16325349439948506</v>
      </c>
      <c r="O631">
        <v>0.27061144595971015</v>
      </c>
      <c r="P631">
        <v>0.25690990906905997</v>
      </c>
    </row>
    <row r="632" spans="13:16">
      <c r="M632">
        <v>0.26290864063471614</v>
      </c>
      <c r="N632">
        <v>0.18402770347950487</v>
      </c>
      <c r="O632">
        <v>0.29839784548462944</v>
      </c>
      <c r="P632">
        <v>0.25466581040114955</v>
      </c>
    </row>
    <row r="633" spans="13:16">
      <c r="M633">
        <v>0.3214818183991624</v>
      </c>
      <c r="N633">
        <v>0.15972084249569929</v>
      </c>
      <c r="O633">
        <v>0.27693961202148282</v>
      </c>
      <c r="P633">
        <v>0.24185772708365544</v>
      </c>
    </row>
    <row r="634" spans="13:16">
      <c r="M634">
        <v>0.29740180691952545</v>
      </c>
      <c r="N634">
        <v>0.19098163849287716</v>
      </c>
      <c r="O634">
        <v>0.24742709296605381</v>
      </c>
      <c r="P634">
        <v>0.26418946162154344</v>
      </c>
    </row>
    <row r="635" spans="13:16">
      <c r="M635">
        <v>0.30263526977724342</v>
      </c>
      <c r="N635">
        <v>0.1902841245243693</v>
      </c>
      <c r="O635">
        <v>0.24790258940510332</v>
      </c>
      <c r="P635">
        <v>0.25917801629328407</v>
      </c>
    </row>
    <row r="636" spans="13:16">
      <c r="M636">
        <v>0.2726374930803136</v>
      </c>
      <c r="N636">
        <v>0.21485910996748275</v>
      </c>
      <c r="O636">
        <v>0.23651171508124944</v>
      </c>
      <c r="P636">
        <v>0.2759916818709543</v>
      </c>
    </row>
    <row r="637" spans="13:16">
      <c r="M637">
        <v>0.34037817714228114</v>
      </c>
      <c r="N637">
        <v>0.16808509275066272</v>
      </c>
      <c r="O637">
        <v>0.2407316030414742</v>
      </c>
      <c r="P637">
        <v>0.250805127065582</v>
      </c>
    </row>
    <row r="638" spans="13:16">
      <c r="M638">
        <v>0.29278197611348206</v>
      </c>
      <c r="N638">
        <v>0.186520728847171</v>
      </c>
      <c r="O638">
        <v>0.27212937635981277</v>
      </c>
      <c r="P638">
        <v>0.24856791867953418</v>
      </c>
    </row>
    <row r="639" spans="13:16">
      <c r="M639">
        <v>0.2680935568685221</v>
      </c>
      <c r="N639">
        <v>0.19483815824208525</v>
      </c>
      <c r="O639">
        <v>0.27418784980460331</v>
      </c>
      <c r="P639">
        <v>0.26288043508478925</v>
      </c>
    </row>
    <row r="640" spans="13:16">
      <c r="M640">
        <v>0.31210270169348042</v>
      </c>
      <c r="N640">
        <v>0.17608935084007335</v>
      </c>
      <c r="O640">
        <v>0.25713406724192162</v>
      </c>
      <c r="P640">
        <v>0.25467388022452475</v>
      </c>
    </row>
    <row r="641" spans="13:16">
      <c r="M641">
        <v>0.25530187652322761</v>
      </c>
      <c r="N641">
        <v>0.19772730617898149</v>
      </c>
      <c r="O641">
        <v>0.28700926908321012</v>
      </c>
      <c r="P641">
        <v>0.2599615482145809</v>
      </c>
    </row>
    <row r="642" spans="13:16">
      <c r="M642">
        <v>0.27468706748327315</v>
      </c>
      <c r="N642">
        <v>0.18619125709635431</v>
      </c>
      <c r="O642">
        <v>0.27923251958566164</v>
      </c>
      <c r="P642">
        <v>0.25988915583471095</v>
      </c>
    </row>
    <row r="643" spans="13:16">
      <c r="M643">
        <v>0.28324172868618502</v>
      </c>
      <c r="N643">
        <v>0.18992182316619652</v>
      </c>
      <c r="O643">
        <v>0.25699536271078527</v>
      </c>
      <c r="P643">
        <v>0.26984108543683305</v>
      </c>
    </row>
    <row r="644" spans="13:16">
      <c r="M644">
        <v>0.29669621400282181</v>
      </c>
      <c r="N644">
        <v>0.18876155321452043</v>
      </c>
      <c r="O644">
        <v>0.24610462985594225</v>
      </c>
      <c r="P644">
        <v>0.26843760292671537</v>
      </c>
    </row>
    <row r="645" spans="13:16">
      <c r="M645">
        <v>0.28411906753765576</v>
      </c>
      <c r="N645">
        <v>0.17937238066970115</v>
      </c>
      <c r="O645">
        <v>0.26529097678015368</v>
      </c>
      <c r="P645">
        <v>0.2712175750124895</v>
      </c>
    </row>
    <row r="646" spans="13:16">
      <c r="M646">
        <v>0.28606940467819103</v>
      </c>
      <c r="N646">
        <v>0.18544434376506666</v>
      </c>
      <c r="O646">
        <v>0.26524384898005871</v>
      </c>
      <c r="P646">
        <v>0.26324240257668369</v>
      </c>
    </row>
    <row r="647" spans="13:16">
      <c r="M647">
        <v>0.29830221213266517</v>
      </c>
      <c r="N647">
        <v>0.18812739232799713</v>
      </c>
      <c r="O647">
        <v>0.25160833937489441</v>
      </c>
      <c r="P647">
        <v>0.26196205616444346</v>
      </c>
    </row>
    <row r="648" spans="13:16">
      <c r="M648">
        <v>0.29007522919196732</v>
      </c>
      <c r="N648">
        <v>0.19624184867105654</v>
      </c>
      <c r="O648">
        <v>0.23887154986732262</v>
      </c>
      <c r="P648">
        <v>0.27481137226965363</v>
      </c>
    </row>
    <row r="649" spans="13:16">
      <c r="M649">
        <v>0.30686278451374482</v>
      </c>
      <c r="N649">
        <v>0.19004372545581386</v>
      </c>
      <c r="O649">
        <v>0.23388994345877639</v>
      </c>
      <c r="P649">
        <v>0.26920354657166501</v>
      </c>
    </row>
    <row r="650" spans="13:16">
      <c r="M650">
        <v>0.30428397587783518</v>
      </c>
      <c r="N650">
        <v>0.17108616778939992</v>
      </c>
      <c r="O650">
        <v>0.26557191437353261</v>
      </c>
      <c r="P650">
        <v>0.25905794195923243</v>
      </c>
    </row>
    <row r="651" spans="13:16">
      <c r="M651">
        <v>0.26864786933299845</v>
      </c>
      <c r="N651">
        <v>0.18006406777558998</v>
      </c>
      <c r="O651">
        <v>0.28195444829838467</v>
      </c>
      <c r="P651">
        <v>0.2693336145930269</v>
      </c>
    </row>
    <row r="652" spans="13:16">
      <c r="M652">
        <v>0.28886657537952692</v>
      </c>
      <c r="N652">
        <v>0.17739351628881772</v>
      </c>
      <c r="O652">
        <v>0.25348766609715284</v>
      </c>
      <c r="P652">
        <v>0.28025224223450257</v>
      </c>
    </row>
    <row r="653" spans="13:16">
      <c r="M653">
        <v>0.30848945575072168</v>
      </c>
      <c r="N653">
        <v>0.17655902258391595</v>
      </c>
      <c r="O653">
        <v>0.23611208671641926</v>
      </c>
      <c r="P653">
        <v>0.27883943494894309</v>
      </c>
    </row>
    <row r="654" spans="13:16">
      <c r="M654">
        <v>0.28674623193787707</v>
      </c>
      <c r="N654">
        <v>0.18378607485667905</v>
      </c>
      <c r="O654">
        <v>0.27004256529125664</v>
      </c>
      <c r="P654">
        <v>0.25942512791418715</v>
      </c>
    </row>
    <row r="655" spans="13:16">
      <c r="M655">
        <v>0.27745462639956553</v>
      </c>
      <c r="N655">
        <v>0.19841719050520526</v>
      </c>
      <c r="O655">
        <v>0.24775041766840225</v>
      </c>
      <c r="P655">
        <v>0.2763777654268269</v>
      </c>
    </row>
    <row r="656" spans="13:16">
      <c r="M656">
        <v>0.27432038768138761</v>
      </c>
      <c r="N656">
        <v>0.19162409611984529</v>
      </c>
      <c r="O656">
        <v>0.26956264184568296</v>
      </c>
      <c r="P656">
        <v>0.26449287435308416</v>
      </c>
    </row>
    <row r="657" spans="13:16">
      <c r="M657">
        <v>0.30975650501258983</v>
      </c>
      <c r="N657">
        <v>0.17192137469234192</v>
      </c>
      <c r="O657">
        <v>0.25868073408328168</v>
      </c>
      <c r="P657">
        <v>0.25964138621178662</v>
      </c>
    </row>
    <row r="658" spans="13:16">
      <c r="M658">
        <v>0.27945066148097741</v>
      </c>
      <c r="N658">
        <v>0.17820789144367982</v>
      </c>
      <c r="O658">
        <v>0.29213607084585491</v>
      </c>
      <c r="P658">
        <v>0.25020537622948785</v>
      </c>
    </row>
    <row r="659" spans="13:16">
      <c r="M659">
        <v>0.32033185942353626</v>
      </c>
      <c r="N659">
        <v>0.17313476679079662</v>
      </c>
      <c r="O659">
        <v>0.24508928147367076</v>
      </c>
      <c r="P659">
        <v>0.26144409231199645</v>
      </c>
    </row>
    <row r="660" spans="13:16">
      <c r="M660">
        <v>0.28088634616135</v>
      </c>
      <c r="N660">
        <v>0.19443718825563328</v>
      </c>
      <c r="O660">
        <v>0.27062679948571944</v>
      </c>
      <c r="P660">
        <v>0.25404966609729723</v>
      </c>
    </row>
    <row r="661" spans="13:16">
      <c r="M661">
        <v>0.3215051904361626</v>
      </c>
      <c r="N661">
        <v>0.18074315296507268</v>
      </c>
      <c r="O661">
        <v>0.2574362918676128</v>
      </c>
      <c r="P661">
        <v>0.24031536473115195</v>
      </c>
    </row>
    <row r="662" spans="13:16">
      <c r="M662">
        <v>0.30384279442117007</v>
      </c>
      <c r="N662">
        <v>0.17449079134564291</v>
      </c>
      <c r="O662">
        <v>0.27095911789791216</v>
      </c>
      <c r="P662">
        <v>0.25070729633527489</v>
      </c>
    </row>
    <row r="663" spans="13:16">
      <c r="M663">
        <v>0.27935741451905943</v>
      </c>
      <c r="N663">
        <v>0.20750634912567545</v>
      </c>
      <c r="O663">
        <v>0.24391385683061614</v>
      </c>
      <c r="P663">
        <v>0.269222379524649</v>
      </c>
    </row>
    <row r="664" spans="13:16">
      <c r="M664">
        <v>0.30315382566681448</v>
      </c>
      <c r="N664">
        <v>0.17686653254451398</v>
      </c>
      <c r="O664">
        <v>0.26460043852894422</v>
      </c>
      <c r="P664">
        <v>0.25537920325972729</v>
      </c>
    </row>
    <row r="665" spans="13:16">
      <c r="M665">
        <v>0.26142102737807238</v>
      </c>
      <c r="N665">
        <v>0.19405645010890615</v>
      </c>
      <c r="O665">
        <v>0.29285261750321828</v>
      </c>
      <c r="P665">
        <v>0.25166990500980319</v>
      </c>
    </row>
    <row r="666" spans="13:16">
      <c r="M666">
        <v>0.27215207954767551</v>
      </c>
      <c r="N666">
        <v>0.18522936427835102</v>
      </c>
      <c r="O666">
        <v>0.25909029122413679</v>
      </c>
      <c r="P666">
        <v>0.28352826494983668</v>
      </c>
    </row>
    <row r="667" spans="13:16">
      <c r="M667">
        <v>0.2723413474149145</v>
      </c>
      <c r="N667">
        <v>0.20585527965234152</v>
      </c>
      <c r="O667">
        <v>0.24067455059766854</v>
      </c>
      <c r="P667">
        <v>0.28112882233507536</v>
      </c>
    </row>
    <row r="668" spans="13:16">
      <c r="M668">
        <v>0.28710512506615421</v>
      </c>
      <c r="N668">
        <v>0.1950083353812693</v>
      </c>
      <c r="O668">
        <v>0.2656491880154554</v>
      </c>
      <c r="P668">
        <v>0.25223735153712112</v>
      </c>
    </row>
    <row r="669" spans="13:16">
      <c r="M669">
        <v>0.28918521628330912</v>
      </c>
      <c r="N669">
        <v>0.18385714853454185</v>
      </c>
      <c r="O669">
        <v>0.25476142937662721</v>
      </c>
      <c r="P669">
        <v>0.27219620580552184</v>
      </c>
    </row>
    <row r="670" spans="13:16">
      <c r="M670">
        <v>0.27214882228653298</v>
      </c>
      <c r="N670">
        <v>0.20290963868622935</v>
      </c>
      <c r="O670">
        <v>0.26120988399226985</v>
      </c>
      <c r="P670">
        <v>0.26373165503496776</v>
      </c>
    </row>
    <row r="671" spans="13:16">
      <c r="M671">
        <v>0.27316120456343146</v>
      </c>
      <c r="N671">
        <v>0.188780164407924</v>
      </c>
      <c r="O671">
        <v>0.27416071804476633</v>
      </c>
      <c r="P671">
        <v>0.26389791298387827</v>
      </c>
    </row>
    <row r="672" spans="13:16">
      <c r="M672">
        <v>0.28858604593487486</v>
      </c>
      <c r="N672">
        <v>0.18091929083891653</v>
      </c>
      <c r="O672">
        <v>0.27194544280576327</v>
      </c>
      <c r="P672">
        <v>0.25854922042044526</v>
      </c>
    </row>
    <row r="673" spans="13:16">
      <c r="M673">
        <v>0.30509181221962089</v>
      </c>
      <c r="N673">
        <v>0.18133827259082694</v>
      </c>
      <c r="O673">
        <v>0.25731706344645</v>
      </c>
      <c r="P673">
        <v>0.25625285174310208</v>
      </c>
    </row>
    <row r="674" spans="13:16">
      <c r="M674">
        <v>0.30574681950756977</v>
      </c>
      <c r="N674">
        <v>0.17308884682333558</v>
      </c>
      <c r="O674">
        <v>0.25673396735551607</v>
      </c>
      <c r="P674">
        <v>0.26443036631357858</v>
      </c>
    </row>
    <row r="675" spans="13:16">
      <c r="M675">
        <v>0.31490515244009509</v>
      </c>
      <c r="N675">
        <v>0.17025325403952501</v>
      </c>
      <c r="O675">
        <v>0.26204981928617993</v>
      </c>
      <c r="P675">
        <v>0.25279177423420002</v>
      </c>
    </row>
    <row r="676" spans="13:16">
      <c r="M676">
        <v>0.27397229475008039</v>
      </c>
      <c r="N676">
        <v>0.20367038557645031</v>
      </c>
      <c r="O676">
        <v>0.25208847086676589</v>
      </c>
      <c r="P676">
        <v>0.27026884880670338</v>
      </c>
    </row>
    <row r="677" spans="13:16">
      <c r="M677">
        <v>0.29033446715564576</v>
      </c>
      <c r="N677">
        <v>0.17005338664397851</v>
      </c>
      <c r="O677">
        <v>0.28573738308501312</v>
      </c>
      <c r="P677">
        <v>0.25387476311536267</v>
      </c>
    </row>
    <row r="678" spans="13:16">
      <c r="M678">
        <v>0.27731199293055608</v>
      </c>
      <c r="N678">
        <v>0.19879768239886889</v>
      </c>
      <c r="O678">
        <v>0.25691705423221695</v>
      </c>
      <c r="P678">
        <v>0.26697327043835822</v>
      </c>
    </row>
    <row r="679" spans="13:16">
      <c r="M679">
        <v>0.30270639997707854</v>
      </c>
      <c r="N679">
        <v>0.1809539263777257</v>
      </c>
      <c r="O679">
        <v>0.24933881126772045</v>
      </c>
      <c r="P679">
        <v>0.26700086237747533</v>
      </c>
    </row>
    <row r="680" spans="13:16">
      <c r="M680">
        <v>0.28995051464104898</v>
      </c>
      <c r="N680">
        <v>0.20638629229965172</v>
      </c>
      <c r="O680">
        <v>0.21469244820718938</v>
      </c>
      <c r="P680">
        <v>0.28897074485210983</v>
      </c>
    </row>
    <row r="681" spans="13:16">
      <c r="M681">
        <v>0.28480876326899213</v>
      </c>
      <c r="N681">
        <v>0.19359366572272707</v>
      </c>
      <c r="O681">
        <v>0.24250748589061286</v>
      </c>
      <c r="P681">
        <v>0.27909008511766786</v>
      </c>
    </row>
    <row r="682" spans="13:16">
      <c r="M682">
        <v>0.28978858875712371</v>
      </c>
      <c r="N682">
        <v>0.19454964106870132</v>
      </c>
      <c r="O682">
        <v>0.25801599939797121</v>
      </c>
      <c r="P682">
        <v>0.25764577077620376</v>
      </c>
    </row>
    <row r="683" spans="13:16">
      <c r="M683">
        <v>0.28427474463312496</v>
      </c>
      <c r="N683">
        <v>0.1802602953267137</v>
      </c>
      <c r="O683">
        <v>0.27461514341913806</v>
      </c>
      <c r="P683">
        <v>0.2608498166210233</v>
      </c>
    </row>
    <row r="684" spans="13:16">
      <c r="M684">
        <v>0.26422252793684436</v>
      </c>
      <c r="N684">
        <v>0.20951087058689377</v>
      </c>
      <c r="O684">
        <v>0.25933531453096137</v>
      </c>
      <c r="P684">
        <v>0.26693128694530044</v>
      </c>
    </row>
    <row r="685" spans="13:16">
      <c r="M685">
        <v>0.30826307067022463</v>
      </c>
      <c r="N685">
        <v>0.18844248922101814</v>
      </c>
      <c r="O685">
        <v>0.24465390149001734</v>
      </c>
      <c r="P685">
        <v>0.25864053861873987</v>
      </c>
    </row>
    <row r="686" spans="13:16">
      <c r="M686">
        <v>0.30487525474261551</v>
      </c>
      <c r="N686">
        <v>0.18672783964042336</v>
      </c>
      <c r="O686">
        <v>0.24715309898130425</v>
      </c>
      <c r="P686">
        <v>0.26124380663565688</v>
      </c>
    </row>
    <row r="687" spans="13:16">
      <c r="M687">
        <v>0.28970539255719246</v>
      </c>
      <c r="N687">
        <v>0.19292977836646</v>
      </c>
      <c r="O687">
        <v>0.23495754082185713</v>
      </c>
      <c r="P687">
        <v>0.28240728825449035</v>
      </c>
    </row>
    <row r="688" spans="13:16">
      <c r="M688">
        <v>0.27688619537371423</v>
      </c>
      <c r="N688">
        <v>0.19416617581349299</v>
      </c>
      <c r="O688">
        <v>0.2467232319963398</v>
      </c>
      <c r="P688">
        <v>0.282224396816453</v>
      </c>
    </row>
    <row r="689" spans="13:16">
      <c r="M689">
        <v>0.30361640105173343</v>
      </c>
      <c r="N689">
        <v>0.18151590928045155</v>
      </c>
      <c r="O689">
        <v>0.26274945610013228</v>
      </c>
      <c r="P689">
        <v>0.25211823356768276</v>
      </c>
    </row>
    <row r="690" spans="13:16">
      <c r="M690">
        <v>0.29849007650447801</v>
      </c>
      <c r="N690">
        <v>0.16651587060603143</v>
      </c>
      <c r="O690">
        <v>0.28827569870144959</v>
      </c>
      <c r="P690">
        <v>0.24671835418804108</v>
      </c>
    </row>
    <row r="691" spans="13:16">
      <c r="M691">
        <v>0.2830094411759862</v>
      </c>
      <c r="N691">
        <v>0.20271670433234601</v>
      </c>
      <c r="O691">
        <v>0.23316566728686811</v>
      </c>
      <c r="P691">
        <v>0.28110818720479974</v>
      </c>
    </row>
    <row r="692" spans="13:16">
      <c r="M692">
        <v>0.29256804978670387</v>
      </c>
      <c r="N692">
        <v>0.2095310949185504</v>
      </c>
      <c r="O692">
        <v>0.23296950809020103</v>
      </c>
      <c r="P692">
        <v>0.2649313472045447</v>
      </c>
    </row>
    <row r="693" spans="13:16">
      <c r="M693">
        <v>0.29055339397133118</v>
      </c>
      <c r="N693">
        <v>0.19726968047326707</v>
      </c>
      <c r="O693">
        <v>0.23984058453444876</v>
      </c>
      <c r="P693">
        <v>0.272336341020953</v>
      </c>
    </row>
    <row r="694" spans="13:16">
      <c r="M694">
        <v>0.28991413024554136</v>
      </c>
      <c r="N694">
        <v>0.18896284470216995</v>
      </c>
      <c r="O694">
        <v>0.25358559476875064</v>
      </c>
      <c r="P694">
        <v>0.26753743028353799</v>
      </c>
    </row>
    <row r="695" spans="13:16">
      <c r="M695">
        <v>0.32128098077589845</v>
      </c>
      <c r="N695">
        <v>0.15718308424236949</v>
      </c>
      <c r="O695">
        <v>0.27872955141241579</v>
      </c>
      <c r="P695">
        <v>0.24280638356931625</v>
      </c>
    </row>
    <row r="696" spans="13:16">
      <c r="M696">
        <v>0.28313482002107332</v>
      </c>
      <c r="N696">
        <v>0.1959163555000267</v>
      </c>
      <c r="O696">
        <v>0.27135765885933977</v>
      </c>
      <c r="P696">
        <v>0.24959116561956024</v>
      </c>
    </row>
    <row r="697" spans="13:16">
      <c r="M697">
        <v>0.26702558256718562</v>
      </c>
      <c r="N697">
        <v>0.19081161844425748</v>
      </c>
      <c r="O697">
        <v>0.27266443415813302</v>
      </c>
      <c r="P697">
        <v>0.269498364830424</v>
      </c>
    </row>
    <row r="698" spans="13:16">
      <c r="M698">
        <v>0.27121989365557791</v>
      </c>
      <c r="N698">
        <v>0.21265778441353619</v>
      </c>
      <c r="O698">
        <v>0.24081071765493695</v>
      </c>
      <c r="P698">
        <v>0.27531160427594892</v>
      </c>
    </row>
    <row r="699" spans="13:16">
      <c r="M699">
        <v>0.26792419997228317</v>
      </c>
      <c r="N699">
        <v>0.18891868913350826</v>
      </c>
      <c r="O699">
        <v>0.28116392324355327</v>
      </c>
      <c r="P699">
        <v>0.26199318765065527</v>
      </c>
    </row>
    <row r="700" spans="13:16">
      <c r="M700">
        <v>0.28384557282368139</v>
      </c>
      <c r="N700">
        <v>0.21476320244164526</v>
      </c>
      <c r="O700">
        <v>0.22365431900324501</v>
      </c>
      <c r="P700">
        <v>0.27773690573142823</v>
      </c>
    </row>
    <row r="701" spans="13:16">
      <c r="M701">
        <v>0.30526671717118686</v>
      </c>
      <c r="N701">
        <v>0.19598999278343227</v>
      </c>
      <c r="O701">
        <v>0.23054096025955165</v>
      </c>
      <c r="P701">
        <v>0.2682023297858292</v>
      </c>
    </row>
    <row r="702" spans="13:16">
      <c r="M702">
        <v>0.25627027334689217</v>
      </c>
      <c r="N702">
        <v>0.19910211845014592</v>
      </c>
      <c r="O702">
        <v>0.28911130661380924</v>
      </c>
      <c r="P702">
        <v>0.25551630158915273</v>
      </c>
    </row>
    <row r="703" spans="13:16">
      <c r="M703">
        <v>0.32199734125444518</v>
      </c>
      <c r="N703">
        <v>0.17564186243428095</v>
      </c>
      <c r="O703">
        <v>0.24398294481878149</v>
      </c>
      <c r="P703">
        <v>0.25837785149249248</v>
      </c>
    </row>
    <row r="704" spans="13:16">
      <c r="M704">
        <v>0.32721646469738647</v>
      </c>
      <c r="N704">
        <v>0.17010501309972501</v>
      </c>
      <c r="O704">
        <v>0.24184663089523853</v>
      </c>
      <c r="P704">
        <v>0.26083189130765</v>
      </c>
    </row>
    <row r="705" spans="13:16">
      <c r="M705">
        <v>0.29545270631075587</v>
      </c>
      <c r="N705">
        <v>0.196998353327898</v>
      </c>
      <c r="O705">
        <v>0.23613050776390826</v>
      </c>
      <c r="P705">
        <v>0.27141843259743781</v>
      </c>
    </row>
    <row r="706" spans="13:16">
      <c r="M706">
        <v>0.28887512460502301</v>
      </c>
      <c r="N706">
        <v>0.18257285394379286</v>
      </c>
      <c r="O706">
        <v>0.2659357883294089</v>
      </c>
      <c r="P706">
        <v>0.26261623312177523</v>
      </c>
    </row>
    <row r="707" spans="13:16">
      <c r="M707">
        <v>0.26163112212383682</v>
      </c>
      <c r="N707">
        <v>0.1859889307661681</v>
      </c>
      <c r="O707">
        <v>0.3010022492774676</v>
      </c>
      <c r="P707">
        <v>0.25137769783252739</v>
      </c>
    </row>
    <row r="708" spans="13:16">
      <c r="M708">
        <v>0.30409342156179442</v>
      </c>
      <c r="N708">
        <v>0.18714322947560819</v>
      </c>
      <c r="O708">
        <v>0.25220525417814993</v>
      </c>
      <c r="P708">
        <v>0.25655809478444752</v>
      </c>
    </row>
    <row r="709" spans="13:16">
      <c r="M709">
        <v>0.3035911174427301</v>
      </c>
      <c r="N709">
        <v>0.17950043149982939</v>
      </c>
      <c r="O709">
        <v>0.26480874707262153</v>
      </c>
      <c r="P709">
        <v>0.2520997039848189</v>
      </c>
    </row>
    <row r="710" spans="13:16">
      <c r="M710">
        <v>0.28249579792063051</v>
      </c>
      <c r="N710">
        <v>0.17266663442309746</v>
      </c>
      <c r="O710">
        <v>0.2798846006066032</v>
      </c>
      <c r="P710">
        <v>0.26495296704966892</v>
      </c>
    </row>
    <row r="711" spans="13:16">
      <c r="M711">
        <v>0.28203635407484795</v>
      </c>
      <c r="N711">
        <v>0.17843345739727146</v>
      </c>
      <c r="O711">
        <v>0.25335775145724049</v>
      </c>
      <c r="P711">
        <v>0.28617243707064005</v>
      </c>
    </row>
    <row r="712" spans="13:16">
      <c r="M712">
        <v>0.30137270730986088</v>
      </c>
      <c r="N712">
        <v>0.19152571457136525</v>
      </c>
      <c r="O712">
        <v>0.24040591696964142</v>
      </c>
      <c r="P712">
        <v>0.26669566114913246</v>
      </c>
    </row>
    <row r="713" spans="13:16">
      <c r="M713">
        <v>0.30860446140962555</v>
      </c>
      <c r="N713">
        <v>0.20122437094745402</v>
      </c>
      <c r="O713">
        <v>0.24261564469080965</v>
      </c>
      <c r="P713">
        <v>0.24755552295211092</v>
      </c>
    </row>
    <row r="714" spans="13:16">
      <c r="M714">
        <v>0.26638070458962365</v>
      </c>
      <c r="N714">
        <v>0.19920442266685867</v>
      </c>
      <c r="O714">
        <v>0.2624147944376779</v>
      </c>
      <c r="P714">
        <v>0.27200007830583983</v>
      </c>
    </row>
    <row r="715" spans="13:16">
      <c r="M715">
        <v>0.2878523783711896</v>
      </c>
      <c r="N715">
        <v>0.17598416253891741</v>
      </c>
      <c r="O715">
        <v>0.27043788150876713</v>
      </c>
      <c r="P715">
        <v>0.26572557758112586</v>
      </c>
    </row>
    <row r="716" spans="13:16">
      <c r="M716">
        <v>0.30134747118683386</v>
      </c>
      <c r="N716">
        <v>0.17845277330904544</v>
      </c>
      <c r="O716">
        <v>0.27185577648119957</v>
      </c>
      <c r="P716">
        <v>0.24834397902292102</v>
      </c>
    </row>
    <row r="717" spans="13:16">
      <c r="M717">
        <v>0.27525762967087103</v>
      </c>
      <c r="N717">
        <v>0.19759462594910013</v>
      </c>
      <c r="O717">
        <v>0.27009110005441272</v>
      </c>
      <c r="P717">
        <v>0.25705664432561598</v>
      </c>
    </row>
    <row r="718" spans="13:16">
      <c r="M718">
        <v>0.30315192309299899</v>
      </c>
      <c r="N718">
        <v>0.18159708819705053</v>
      </c>
      <c r="O718">
        <v>0.24899806431583482</v>
      </c>
      <c r="P718">
        <v>0.26625292439411569</v>
      </c>
    </row>
    <row r="719" spans="13:16">
      <c r="M719">
        <v>0.31627379200344757</v>
      </c>
      <c r="N719">
        <v>0.18473878123095519</v>
      </c>
      <c r="O719">
        <v>0.23241392264846433</v>
      </c>
      <c r="P719">
        <v>0.26657350411713282</v>
      </c>
    </row>
    <row r="720" spans="13:16">
      <c r="M720">
        <v>0.29278547290608514</v>
      </c>
      <c r="N720">
        <v>0.18057457917040234</v>
      </c>
      <c r="O720">
        <v>0.26786575142296598</v>
      </c>
      <c r="P720">
        <v>0.25877419650054651</v>
      </c>
    </row>
    <row r="721" spans="13:16">
      <c r="M721">
        <v>0.29562056142881793</v>
      </c>
      <c r="N721">
        <v>0.17824701658307093</v>
      </c>
      <c r="O721">
        <v>0.27835446816476972</v>
      </c>
      <c r="P721">
        <v>0.24777795382334142</v>
      </c>
    </row>
    <row r="722" spans="13:16">
      <c r="M722">
        <v>0.27963083906392661</v>
      </c>
      <c r="N722">
        <v>0.19430235185649813</v>
      </c>
      <c r="O722">
        <v>0.25167293840292043</v>
      </c>
      <c r="P722">
        <v>0.27439387067665488</v>
      </c>
    </row>
    <row r="723" spans="13:16">
      <c r="M723">
        <v>0.29921471792318993</v>
      </c>
      <c r="N723">
        <v>0.1826581440017134</v>
      </c>
      <c r="O723">
        <v>0.23949031006769969</v>
      </c>
      <c r="P723">
        <v>0.27863682800739692</v>
      </c>
    </row>
    <row r="724" spans="13:16">
      <c r="M724">
        <v>0.31529758534969865</v>
      </c>
      <c r="N724">
        <v>0.1840922189682335</v>
      </c>
      <c r="O724">
        <v>0.24869858951264265</v>
      </c>
      <c r="P724">
        <v>0.25191160616942526</v>
      </c>
    </row>
    <row r="725" spans="13:16">
      <c r="M725">
        <v>0.30021135220031042</v>
      </c>
      <c r="N725">
        <v>0.17110590453765054</v>
      </c>
      <c r="O725">
        <v>0.28172945171430469</v>
      </c>
      <c r="P725">
        <v>0.2469532915477344</v>
      </c>
    </row>
    <row r="726" spans="13:16">
      <c r="M726">
        <v>0.31585285773663818</v>
      </c>
      <c r="N726">
        <v>0.18125375946460884</v>
      </c>
      <c r="O726">
        <v>0.22975038507061177</v>
      </c>
      <c r="P726">
        <v>0.27314299772814132</v>
      </c>
    </row>
    <row r="727" spans="13:16">
      <c r="M727">
        <v>0.2729694495923301</v>
      </c>
      <c r="N727">
        <v>0.20844695529670368</v>
      </c>
      <c r="O727">
        <v>0.23948961888097686</v>
      </c>
      <c r="P727">
        <v>0.27909397622998938</v>
      </c>
    </row>
    <row r="728" spans="13:16">
      <c r="M728">
        <v>0.28060584317517651</v>
      </c>
      <c r="N728">
        <v>0.1884326629347749</v>
      </c>
      <c r="O728">
        <v>0.24794817785161882</v>
      </c>
      <c r="P728">
        <v>0.28301331603842972</v>
      </c>
    </row>
    <row r="729" spans="13:16">
      <c r="M729">
        <v>0.31030815786274335</v>
      </c>
      <c r="N729">
        <v>0.16169534498135915</v>
      </c>
      <c r="O729">
        <v>0.28370557561271703</v>
      </c>
      <c r="P729">
        <v>0.24429092154318036</v>
      </c>
    </row>
    <row r="730" spans="13:16">
      <c r="M730">
        <v>0.28664165815087467</v>
      </c>
      <c r="N730">
        <v>0.19427370995900339</v>
      </c>
      <c r="O730">
        <v>0.24997604994235895</v>
      </c>
      <c r="P730">
        <v>0.26910858194776299</v>
      </c>
    </row>
    <row r="731" spans="13:16">
      <c r="M731">
        <v>0.32257047419814694</v>
      </c>
      <c r="N731">
        <v>0.16873386026745554</v>
      </c>
      <c r="O731">
        <v>0.25805350478756423</v>
      </c>
      <c r="P731">
        <v>0.25064216074683326</v>
      </c>
    </row>
    <row r="732" spans="13:16">
      <c r="M732">
        <v>0.30716455629727479</v>
      </c>
      <c r="N732">
        <v>0.17166970540782928</v>
      </c>
      <c r="O732">
        <v>0.26378167981691814</v>
      </c>
      <c r="P732">
        <v>0.2573840584779778</v>
      </c>
    </row>
    <row r="733" spans="13:16">
      <c r="M733">
        <v>0.3056545573461858</v>
      </c>
      <c r="N733">
        <v>0.1707139028888579</v>
      </c>
      <c r="O733">
        <v>0.27126136300598397</v>
      </c>
      <c r="P733">
        <v>0.25237017675897228</v>
      </c>
    </row>
    <row r="734" spans="13:16">
      <c r="M734">
        <v>0.2712175867482689</v>
      </c>
      <c r="N734">
        <v>0.19495687866967912</v>
      </c>
      <c r="O734">
        <v>0.26549864713249799</v>
      </c>
      <c r="P734">
        <v>0.26832688744955396</v>
      </c>
    </row>
    <row r="735" spans="13:16">
      <c r="M735">
        <v>0.30093845858447316</v>
      </c>
      <c r="N735">
        <v>0.18033966801087759</v>
      </c>
      <c r="O735">
        <v>0.26394209086094772</v>
      </c>
      <c r="P735">
        <v>0.25477978254370148</v>
      </c>
    </row>
    <row r="736" spans="13:16">
      <c r="M736">
        <v>0.28339643770133566</v>
      </c>
      <c r="N736">
        <v>0.19030011325844601</v>
      </c>
      <c r="O736">
        <v>0.26067407885694904</v>
      </c>
      <c r="P736">
        <v>0.26562937018326926</v>
      </c>
    </row>
    <row r="737" spans="13:16">
      <c r="M737">
        <v>0.30595434321870618</v>
      </c>
      <c r="N737">
        <v>0.1895301864756202</v>
      </c>
      <c r="O737">
        <v>0.22233752749049054</v>
      </c>
      <c r="P737">
        <v>0.2821779428151831</v>
      </c>
    </row>
    <row r="738" spans="13:16">
      <c r="M738">
        <v>0.27811727196855918</v>
      </c>
      <c r="N738">
        <v>0.18892559325017796</v>
      </c>
      <c r="O738">
        <v>0.26266076046770898</v>
      </c>
      <c r="P738">
        <v>0.27029637431355397</v>
      </c>
    </row>
    <row r="739" spans="13:16">
      <c r="M739">
        <v>0.3153211080067132</v>
      </c>
      <c r="N739">
        <v>0.17748235055219533</v>
      </c>
      <c r="O739">
        <v>0.22766298856921566</v>
      </c>
      <c r="P739">
        <v>0.27953355287187587</v>
      </c>
    </row>
    <row r="740" spans="13:16">
      <c r="M740">
        <v>0.32788786441306356</v>
      </c>
      <c r="N740">
        <v>0.18080151861268795</v>
      </c>
      <c r="O740">
        <v>0.23002877737695965</v>
      </c>
      <c r="P740">
        <v>0.2612818395972889</v>
      </c>
    </row>
    <row r="741" spans="13:16">
      <c r="M741">
        <v>0.28439100385396976</v>
      </c>
      <c r="N741">
        <v>0.17865324333352475</v>
      </c>
      <c r="O741">
        <v>0.28042490655698199</v>
      </c>
      <c r="P741">
        <v>0.25653084625552353</v>
      </c>
    </row>
    <row r="742" spans="13:16">
      <c r="M742">
        <v>0.29586068177330788</v>
      </c>
      <c r="N742">
        <v>0.1828356170320764</v>
      </c>
      <c r="O742">
        <v>0.26125341384769318</v>
      </c>
      <c r="P742">
        <v>0.26005028734692248</v>
      </c>
    </row>
    <row r="743" spans="13:16">
      <c r="M743">
        <v>0.28023935327878957</v>
      </c>
      <c r="N743">
        <v>0.19366037897971178</v>
      </c>
      <c r="O743">
        <v>0.2610251801015972</v>
      </c>
      <c r="P743">
        <v>0.26507508763990134</v>
      </c>
    </row>
    <row r="744" spans="13:16">
      <c r="M744">
        <v>0.30830075157674786</v>
      </c>
      <c r="N744">
        <v>0.18199569309482547</v>
      </c>
      <c r="O744">
        <v>0.24291537830985138</v>
      </c>
      <c r="P744">
        <v>0.26678817701857532</v>
      </c>
    </row>
    <row r="745" spans="13:16">
      <c r="M745">
        <v>0.30285076379867931</v>
      </c>
      <c r="N745">
        <v>0.18266970985164196</v>
      </c>
      <c r="O745">
        <v>0.24878222573295447</v>
      </c>
      <c r="P745">
        <v>0.26569730061672431</v>
      </c>
    </row>
    <row r="746" spans="13:16">
      <c r="M746">
        <v>0.27455071665470471</v>
      </c>
      <c r="N746">
        <v>0.18950006727931837</v>
      </c>
      <c r="O746">
        <v>0.25980254105540235</v>
      </c>
      <c r="P746">
        <v>0.27614667501057466</v>
      </c>
    </row>
    <row r="747" spans="13:16">
      <c r="M747">
        <v>0.29592834448482763</v>
      </c>
      <c r="N747">
        <v>0.17807384651654126</v>
      </c>
      <c r="O747">
        <v>0.26346774880449486</v>
      </c>
      <c r="P747">
        <v>0.26253006019413622</v>
      </c>
    </row>
    <row r="748" spans="13:16">
      <c r="M748">
        <v>0.30564663299709421</v>
      </c>
      <c r="N748">
        <v>0.1800966867602343</v>
      </c>
      <c r="O748">
        <v>0.23615799754840625</v>
      </c>
      <c r="P748">
        <v>0.27809868269426524</v>
      </c>
    </row>
    <row r="749" spans="13:16">
      <c r="M749">
        <v>0.28685294952296614</v>
      </c>
      <c r="N749">
        <v>0.19099026408701739</v>
      </c>
      <c r="O749">
        <v>0.24940585575487698</v>
      </c>
      <c r="P749">
        <v>0.27275093063513944</v>
      </c>
    </row>
    <row r="750" spans="13:16">
      <c r="M750">
        <v>0.27651922921113864</v>
      </c>
      <c r="N750">
        <v>0.21531778826630915</v>
      </c>
      <c r="O750">
        <v>0.23493134250326739</v>
      </c>
      <c r="P750">
        <v>0.27323164001928474</v>
      </c>
    </row>
    <row r="751" spans="13:16">
      <c r="M751">
        <v>0.2742048313754552</v>
      </c>
      <c r="N751">
        <v>0.20837543145773027</v>
      </c>
      <c r="O751">
        <v>0.23509641309008192</v>
      </c>
      <c r="P751">
        <v>0.28232332407673255</v>
      </c>
    </row>
    <row r="752" spans="13:16">
      <c r="M752">
        <v>0.29766530181459422</v>
      </c>
      <c r="N752">
        <v>0.17808584576959699</v>
      </c>
      <c r="O752">
        <v>0.2671798856956043</v>
      </c>
      <c r="P752">
        <v>0.25706896672020446</v>
      </c>
    </row>
    <row r="753" spans="13:16">
      <c r="M753">
        <v>0.30938215878640229</v>
      </c>
      <c r="N753">
        <v>0.18886286915963316</v>
      </c>
      <c r="O753">
        <v>0.22969049595737531</v>
      </c>
      <c r="P753">
        <v>0.27206447609658913</v>
      </c>
    </row>
    <row r="754" spans="13:16">
      <c r="M754">
        <v>0.28124010865373983</v>
      </c>
      <c r="N754">
        <v>0.1775843023537646</v>
      </c>
      <c r="O754">
        <v>0.29489909642647189</v>
      </c>
      <c r="P754">
        <v>0.24627649256602352</v>
      </c>
    </row>
    <row r="755" spans="13:16">
      <c r="M755">
        <v>0.29603865388430017</v>
      </c>
      <c r="N755">
        <v>0.1673494343961712</v>
      </c>
      <c r="O755">
        <v>0.29088747480084159</v>
      </c>
      <c r="P755">
        <v>0.24572443691868706</v>
      </c>
    </row>
    <row r="756" spans="13:16">
      <c r="M756">
        <v>0.27358777521527788</v>
      </c>
      <c r="N756">
        <v>0.19544362462057099</v>
      </c>
      <c r="O756">
        <v>0.27873901607375307</v>
      </c>
      <c r="P756">
        <v>0.2522295840903982</v>
      </c>
    </row>
    <row r="757" spans="13:16">
      <c r="M757">
        <v>0.29497950508527904</v>
      </c>
      <c r="N757">
        <v>0.18217221179920137</v>
      </c>
      <c r="O757">
        <v>0.26859587592369738</v>
      </c>
      <c r="P757">
        <v>0.25425240719182224</v>
      </c>
    </row>
    <row r="758" spans="13:16">
      <c r="M758">
        <v>0.28784376133519568</v>
      </c>
      <c r="N758">
        <v>0.1884389195669533</v>
      </c>
      <c r="O758">
        <v>0.2720894326584824</v>
      </c>
      <c r="P758">
        <v>0.25162788643936856</v>
      </c>
    </row>
    <row r="759" spans="13:16">
      <c r="M759">
        <v>0.2966041358425115</v>
      </c>
      <c r="N759">
        <v>0.17964753630120683</v>
      </c>
      <c r="O759">
        <v>0.27199851770469657</v>
      </c>
      <c r="P759">
        <v>0.25174981015158504</v>
      </c>
    </row>
    <row r="760" spans="13:16">
      <c r="M760">
        <v>0.26680172212276387</v>
      </c>
      <c r="N760">
        <v>0.19667398610302814</v>
      </c>
      <c r="O760">
        <v>0.27669089865212754</v>
      </c>
      <c r="P760">
        <v>0.25983339312208042</v>
      </c>
    </row>
    <row r="761" spans="13:16">
      <c r="M761">
        <v>0.29372170008751208</v>
      </c>
      <c r="N761">
        <v>0.19570118048523991</v>
      </c>
      <c r="O761">
        <v>0.23574838644464238</v>
      </c>
      <c r="P761">
        <v>0.27482873298260568</v>
      </c>
    </row>
    <row r="762" spans="13:16">
      <c r="M762">
        <v>0.29549640250051951</v>
      </c>
      <c r="N762">
        <v>0.21279339047899676</v>
      </c>
      <c r="O762">
        <v>0.22432629146712196</v>
      </c>
      <c r="P762">
        <v>0.26738391555336172</v>
      </c>
    </row>
    <row r="763" spans="13:16">
      <c r="M763">
        <v>0.29409946039358953</v>
      </c>
      <c r="N763">
        <v>0.18063183194115295</v>
      </c>
      <c r="O763">
        <v>0.25534367402463848</v>
      </c>
      <c r="P763">
        <v>0.26992503364061904</v>
      </c>
    </row>
    <row r="764" spans="13:16">
      <c r="M764">
        <v>0.30590452420109432</v>
      </c>
      <c r="N764">
        <v>0.18984034899656824</v>
      </c>
      <c r="O764">
        <v>0.24670716331843071</v>
      </c>
      <c r="P764">
        <v>0.25754796348390679</v>
      </c>
    </row>
    <row r="765" spans="13:16">
      <c r="M765">
        <v>0.33196779526906511</v>
      </c>
      <c r="N765">
        <v>0.16479721559934618</v>
      </c>
      <c r="O765">
        <v>0.24734284398151898</v>
      </c>
      <c r="P765">
        <v>0.25589214515006958</v>
      </c>
    </row>
    <row r="766" spans="13:16">
      <c r="M766">
        <v>0.27223911550615187</v>
      </c>
      <c r="N766">
        <v>0.17940772498090074</v>
      </c>
      <c r="O766">
        <v>0.30066049471034745</v>
      </c>
      <c r="P766">
        <v>0.24769266480259985</v>
      </c>
    </row>
    <row r="767" spans="13:16">
      <c r="M767">
        <v>0.30767543033606309</v>
      </c>
      <c r="N767">
        <v>0.1878468969058972</v>
      </c>
      <c r="O767">
        <v>0.23798632201424205</v>
      </c>
      <c r="P767">
        <v>0.26649135074379765</v>
      </c>
    </row>
    <row r="768" spans="13:16">
      <c r="M768">
        <v>0.30719229917302743</v>
      </c>
      <c r="N768">
        <v>0.19000207187268597</v>
      </c>
      <c r="O768">
        <v>0.2348820022643964</v>
      </c>
      <c r="P768">
        <v>0.26792362668989017</v>
      </c>
    </row>
    <row r="769" spans="13:16">
      <c r="M769">
        <v>0.28733680121008348</v>
      </c>
      <c r="N769">
        <v>0.19816313690439766</v>
      </c>
      <c r="O769">
        <v>0.23047343185485766</v>
      </c>
      <c r="P769">
        <v>0.28402663003066114</v>
      </c>
    </row>
    <row r="770" spans="13:16">
      <c r="M770">
        <v>0.32509217822410447</v>
      </c>
      <c r="N770">
        <v>0.19508631711791549</v>
      </c>
      <c r="O770">
        <v>0.21847992970109617</v>
      </c>
      <c r="P770">
        <v>0.26134157495688404</v>
      </c>
    </row>
    <row r="771" spans="13:16">
      <c r="M771">
        <v>0.29577383630109727</v>
      </c>
      <c r="N771">
        <v>0.17916101009531285</v>
      </c>
      <c r="O771">
        <v>0.25124474105307865</v>
      </c>
      <c r="P771">
        <v>0.27382041255051115</v>
      </c>
    </row>
    <row r="772" spans="13:16">
      <c r="M772">
        <v>0.3006908892932269</v>
      </c>
      <c r="N772">
        <v>0.18037424364625787</v>
      </c>
      <c r="O772">
        <v>0.24159501484597853</v>
      </c>
      <c r="P772">
        <v>0.27733985221453672</v>
      </c>
    </row>
    <row r="773" spans="13:16">
      <c r="M773">
        <v>0.29032540951341451</v>
      </c>
      <c r="N773">
        <v>0.18334393156580439</v>
      </c>
      <c r="O773">
        <v>0.23714287370407366</v>
      </c>
      <c r="P773">
        <v>0.28918778521670757</v>
      </c>
    </row>
    <row r="774" spans="13:16">
      <c r="M774">
        <v>0.2710552327125757</v>
      </c>
      <c r="N774">
        <v>0.17545737886097013</v>
      </c>
      <c r="O774">
        <v>0.29968771696094137</v>
      </c>
      <c r="P774">
        <v>0.25379967146551274</v>
      </c>
    </row>
    <row r="775" spans="13:16">
      <c r="M775">
        <v>0.27717513172667985</v>
      </c>
      <c r="N775">
        <v>0.20706038430817414</v>
      </c>
      <c r="O775">
        <v>0.24614592198986726</v>
      </c>
      <c r="P775">
        <v>0.26961856197527884</v>
      </c>
    </row>
    <row r="776" spans="13:16">
      <c r="M776">
        <v>0.27746522934991585</v>
      </c>
      <c r="N776">
        <v>0.17219088819851996</v>
      </c>
      <c r="O776">
        <v>0.29498901639546354</v>
      </c>
      <c r="P776">
        <v>0.25535486605610058</v>
      </c>
    </row>
    <row r="777" spans="13:16">
      <c r="M777">
        <v>0.26661915846387446</v>
      </c>
      <c r="N777">
        <v>0.18884865750217661</v>
      </c>
      <c r="O777">
        <v>0.27711258326687804</v>
      </c>
      <c r="P777">
        <v>0.267419600767071</v>
      </c>
    </row>
    <row r="778" spans="13:16">
      <c r="M778">
        <v>0.26922950119704381</v>
      </c>
      <c r="N778">
        <v>0.20696411920978069</v>
      </c>
      <c r="O778">
        <v>0.26079694383329316</v>
      </c>
      <c r="P778">
        <v>0.26300943575988239</v>
      </c>
    </row>
    <row r="779" spans="13:16">
      <c r="M779">
        <v>0.27704217877488529</v>
      </c>
      <c r="N779">
        <v>0.17369379061232251</v>
      </c>
      <c r="O779">
        <v>0.28806370659985481</v>
      </c>
      <c r="P779">
        <v>0.26120032401293741</v>
      </c>
    </row>
    <row r="780" spans="13:16">
      <c r="M780">
        <v>0.28992444116610844</v>
      </c>
      <c r="N780">
        <v>0.18775501943978112</v>
      </c>
      <c r="O780">
        <v>0.27512011451921498</v>
      </c>
      <c r="P780">
        <v>0.24720042487489541</v>
      </c>
    </row>
    <row r="781" spans="13:16">
      <c r="M781">
        <v>0.29963132141730014</v>
      </c>
      <c r="N781">
        <v>0.18602104157429142</v>
      </c>
      <c r="O781">
        <v>0.24260050895680932</v>
      </c>
      <c r="P781">
        <v>0.27174712805159906</v>
      </c>
    </row>
    <row r="782" spans="13:16">
      <c r="M782">
        <v>0.29136660347570992</v>
      </c>
      <c r="N782">
        <v>0.18104592005308295</v>
      </c>
      <c r="O782">
        <v>0.26250054050628935</v>
      </c>
      <c r="P782">
        <v>0.26508693596491761</v>
      </c>
    </row>
    <row r="783" spans="13:16">
      <c r="M783">
        <v>0.28834436602035363</v>
      </c>
      <c r="N783">
        <v>0.17164343642727509</v>
      </c>
      <c r="O783">
        <v>0.28868124637756098</v>
      </c>
      <c r="P783">
        <v>0.25133095117481036</v>
      </c>
    </row>
    <row r="784" spans="13:16">
      <c r="M784">
        <v>0.28594238708717074</v>
      </c>
      <c r="N784">
        <v>0.18743003044684609</v>
      </c>
      <c r="O784">
        <v>0.27639427906083508</v>
      </c>
      <c r="P784">
        <v>0.25023330340514804</v>
      </c>
    </row>
    <row r="785" spans="13:16">
      <c r="M785">
        <v>0.33967031862510239</v>
      </c>
      <c r="N785">
        <v>0.16442034426519686</v>
      </c>
      <c r="O785">
        <v>0.23640355059868334</v>
      </c>
      <c r="P785">
        <v>0.25950578651101752</v>
      </c>
    </row>
    <row r="786" spans="13:16">
      <c r="M786">
        <v>0.2816343749501713</v>
      </c>
      <c r="N786">
        <v>0.17512622685696369</v>
      </c>
      <c r="O786">
        <v>0.2905008703520825</v>
      </c>
      <c r="P786">
        <v>0.25273852784078249</v>
      </c>
    </row>
    <row r="787" spans="13:16">
      <c r="M787">
        <v>0.28597755925692969</v>
      </c>
      <c r="N787">
        <v>0.17562532419472612</v>
      </c>
      <c r="O787">
        <v>0.28168852412668954</v>
      </c>
      <c r="P787">
        <v>0.25670859242165478</v>
      </c>
    </row>
    <row r="788" spans="13:16">
      <c r="M788">
        <v>0.28471399617139154</v>
      </c>
      <c r="N788">
        <v>0.2012745917549898</v>
      </c>
      <c r="O788">
        <v>0.2450857285831754</v>
      </c>
      <c r="P788">
        <v>0.26892568349044332</v>
      </c>
    </row>
    <row r="789" spans="13:16">
      <c r="M789">
        <v>0.28060320267317634</v>
      </c>
      <c r="N789">
        <v>0.19072278624519842</v>
      </c>
      <c r="O789">
        <v>0.26635406470796275</v>
      </c>
      <c r="P789">
        <v>0.26231994637366246</v>
      </c>
    </row>
    <row r="790" spans="13:16">
      <c r="M790">
        <v>0.27654751519215187</v>
      </c>
      <c r="N790">
        <v>0.19403112619720994</v>
      </c>
      <c r="O790">
        <v>0.25808553693310693</v>
      </c>
      <c r="P790">
        <v>0.27133582167753117</v>
      </c>
    </row>
    <row r="791" spans="13:16">
      <c r="M791">
        <v>0.28617547629132445</v>
      </c>
      <c r="N791">
        <v>0.17984337145011617</v>
      </c>
      <c r="O791">
        <v>0.25789562280187928</v>
      </c>
      <c r="P791">
        <v>0.27608552945668019</v>
      </c>
    </row>
    <row r="792" spans="13:16">
      <c r="M792">
        <v>0.28931530377123721</v>
      </c>
      <c r="N792">
        <v>0.18373633324874647</v>
      </c>
      <c r="O792">
        <v>0.26977416647149677</v>
      </c>
      <c r="P792">
        <v>0.25717419650851964</v>
      </c>
    </row>
    <row r="793" spans="13:16">
      <c r="M793">
        <v>0.30662384217824373</v>
      </c>
      <c r="N793">
        <v>0.20240603916809552</v>
      </c>
      <c r="O793">
        <v>0.23366558724913153</v>
      </c>
      <c r="P793">
        <v>0.25730453140452914</v>
      </c>
    </row>
    <row r="794" spans="13:16">
      <c r="M794">
        <v>0.29000775451669869</v>
      </c>
      <c r="N794">
        <v>0.1785210111638674</v>
      </c>
      <c r="O794">
        <v>0.255924237867031</v>
      </c>
      <c r="P794">
        <v>0.27554699645240299</v>
      </c>
    </row>
    <row r="795" spans="13:16">
      <c r="M795">
        <v>0.28114245587967973</v>
      </c>
      <c r="N795">
        <v>0.21094271463468711</v>
      </c>
      <c r="O795">
        <v>0.23150793823423232</v>
      </c>
      <c r="P795">
        <v>0.27640689125140083</v>
      </c>
    </row>
    <row r="796" spans="13:16">
      <c r="M796">
        <v>0.27548564300576012</v>
      </c>
      <c r="N796">
        <v>0.18074598605754516</v>
      </c>
      <c r="O796">
        <v>0.26801998475530908</v>
      </c>
      <c r="P796">
        <v>0.2757483861813857</v>
      </c>
    </row>
    <row r="797" spans="13:16">
      <c r="M797">
        <v>0.28340182644283118</v>
      </c>
      <c r="N797">
        <v>0.18217529243058947</v>
      </c>
      <c r="O797">
        <v>0.27035958901410323</v>
      </c>
      <c r="P797">
        <v>0.2640632921124762</v>
      </c>
    </row>
    <row r="798" spans="13:16">
      <c r="M798">
        <v>0.32615297516982006</v>
      </c>
      <c r="N798">
        <v>0.16411686855050689</v>
      </c>
      <c r="O798">
        <v>0.26013090133624389</v>
      </c>
      <c r="P798">
        <v>0.24959925494342911</v>
      </c>
    </row>
    <row r="799" spans="13:16">
      <c r="M799">
        <v>0.27306518341350305</v>
      </c>
      <c r="N799">
        <v>0.18915331041001654</v>
      </c>
      <c r="O799">
        <v>0.26507437012525548</v>
      </c>
      <c r="P799">
        <v>0.27270713605122487</v>
      </c>
    </row>
    <row r="800" spans="13:16">
      <c r="M800">
        <v>0.3007819675167735</v>
      </c>
      <c r="N800">
        <v>0.18195937655484437</v>
      </c>
      <c r="O800">
        <v>0.26191357853398001</v>
      </c>
      <c r="P800">
        <v>0.25534507739440221</v>
      </c>
    </row>
    <row r="801" spans="13:16">
      <c r="M801">
        <v>0.29221120649886662</v>
      </c>
      <c r="N801">
        <v>0.17122718588211899</v>
      </c>
      <c r="O801">
        <v>0.27527097424355024</v>
      </c>
      <c r="P801">
        <v>0.26129063337546427</v>
      </c>
    </row>
    <row r="802" spans="13:16">
      <c r="M802">
        <v>0.26788680744740911</v>
      </c>
      <c r="N802">
        <v>0.19548661286629351</v>
      </c>
      <c r="O802">
        <v>0.26507292798468207</v>
      </c>
      <c r="P802">
        <v>0.27155365170161544</v>
      </c>
    </row>
    <row r="803" spans="13:16">
      <c r="M803">
        <v>0.28881748581965694</v>
      </c>
      <c r="N803">
        <v>0.1919400178184382</v>
      </c>
      <c r="O803">
        <v>0.23466798922542834</v>
      </c>
      <c r="P803">
        <v>0.28457450713647653</v>
      </c>
    </row>
    <row r="804" spans="13:16">
      <c r="M804">
        <v>0.28710878848980753</v>
      </c>
      <c r="N804">
        <v>0.19487571993587513</v>
      </c>
      <c r="O804">
        <v>0.25021318333578541</v>
      </c>
      <c r="P804">
        <v>0.26780230823853191</v>
      </c>
    </row>
    <row r="805" spans="13:16">
      <c r="M805">
        <v>0.29454703699938167</v>
      </c>
      <c r="N805">
        <v>0.19043699030732469</v>
      </c>
      <c r="O805">
        <v>0.23686118831454833</v>
      </c>
      <c r="P805">
        <v>0.27815478437874519</v>
      </c>
    </row>
    <row r="806" spans="13:16">
      <c r="M806">
        <v>0.28852153142641362</v>
      </c>
      <c r="N806">
        <v>0.17312803889466985</v>
      </c>
      <c r="O806">
        <v>0.26727801271548152</v>
      </c>
      <c r="P806">
        <v>0.27107241696343504</v>
      </c>
    </row>
    <row r="807" spans="13:16">
      <c r="M807">
        <v>0.31486900386091693</v>
      </c>
      <c r="N807">
        <v>0.16841032086206956</v>
      </c>
      <c r="O807">
        <v>0.28152651564125086</v>
      </c>
      <c r="P807">
        <v>0.23519415963576273</v>
      </c>
    </row>
    <row r="808" spans="13:16">
      <c r="M808">
        <v>0.28433100467204658</v>
      </c>
      <c r="N808">
        <v>0.20470143393808801</v>
      </c>
      <c r="O808">
        <v>0.24053080248779099</v>
      </c>
      <c r="P808">
        <v>0.27043675890207447</v>
      </c>
    </row>
    <row r="809" spans="13:16">
      <c r="M809">
        <v>0.29465181058654394</v>
      </c>
      <c r="N809">
        <v>0.19273195688023409</v>
      </c>
      <c r="O809">
        <v>0.24271864767478174</v>
      </c>
      <c r="P809">
        <v>0.26989758485844023</v>
      </c>
    </row>
    <row r="810" spans="13:16">
      <c r="M810">
        <v>0.27159579012040469</v>
      </c>
      <c r="N810">
        <v>0.18813048506592486</v>
      </c>
      <c r="O810">
        <v>0.27450596359080021</v>
      </c>
      <c r="P810">
        <v>0.26576776122287016</v>
      </c>
    </row>
    <row r="811" spans="13:16">
      <c r="M811">
        <v>0.30431899881518254</v>
      </c>
      <c r="N811">
        <v>0.17173843667222777</v>
      </c>
      <c r="O811">
        <v>0.26455508155271096</v>
      </c>
      <c r="P811">
        <v>0.25938748295987879</v>
      </c>
    </row>
    <row r="812" spans="13:16">
      <c r="M812">
        <v>0.3262922823873981</v>
      </c>
      <c r="N812">
        <v>0.16810727965771907</v>
      </c>
      <c r="O812">
        <v>0.23677017764065128</v>
      </c>
      <c r="P812">
        <v>0.26883026031423157</v>
      </c>
    </row>
    <row r="813" spans="13:16">
      <c r="M813">
        <v>0.30604048885618967</v>
      </c>
      <c r="N813">
        <v>0.17554880184941116</v>
      </c>
      <c r="O813">
        <v>0.26582550787978743</v>
      </c>
      <c r="P813">
        <v>0.25258520141461177</v>
      </c>
    </row>
    <row r="814" spans="13:16">
      <c r="M814">
        <v>0.27910500255505877</v>
      </c>
      <c r="N814">
        <v>0.20846240187913409</v>
      </c>
      <c r="O814">
        <v>0.24820032608991249</v>
      </c>
      <c r="P814">
        <v>0.26423226947589462</v>
      </c>
    </row>
    <row r="815" spans="13:16">
      <c r="M815">
        <v>0.29446950989562204</v>
      </c>
      <c r="N815">
        <v>0.17995385445069992</v>
      </c>
      <c r="O815">
        <v>0.24358613517010202</v>
      </c>
      <c r="P815">
        <v>0.28199050048357605</v>
      </c>
    </row>
    <row r="816" spans="13:16">
      <c r="M816">
        <v>0.30706478836412987</v>
      </c>
      <c r="N816">
        <v>0.19299078824930938</v>
      </c>
      <c r="O816">
        <v>0.2307285045382505</v>
      </c>
      <c r="P816">
        <v>0.26921591884831036</v>
      </c>
    </row>
    <row r="817" spans="13:16">
      <c r="M817">
        <v>0.30764740779800609</v>
      </c>
      <c r="N817">
        <v>0.19889137784630179</v>
      </c>
      <c r="O817">
        <v>0.207552455540747</v>
      </c>
      <c r="P817">
        <v>0.2859087588149451</v>
      </c>
    </row>
    <row r="818" spans="13:16">
      <c r="M818">
        <v>0.30380082941442615</v>
      </c>
      <c r="N818">
        <v>0.17176697720683487</v>
      </c>
      <c r="O818">
        <v>0.27207456516181161</v>
      </c>
      <c r="P818">
        <v>0.25235762821692725</v>
      </c>
    </row>
    <row r="819" spans="13:16">
      <c r="M819">
        <v>0.28330782466441695</v>
      </c>
      <c r="N819">
        <v>0.17354990013974952</v>
      </c>
      <c r="O819">
        <v>0.28666934255766419</v>
      </c>
      <c r="P819">
        <v>0.25647293263816945</v>
      </c>
    </row>
    <row r="820" spans="13:16">
      <c r="M820">
        <v>0.28670337441900279</v>
      </c>
      <c r="N820">
        <v>0.18932457671282688</v>
      </c>
      <c r="O820">
        <v>0.2619065074019139</v>
      </c>
      <c r="P820">
        <v>0.26206554146625632</v>
      </c>
    </row>
    <row r="821" spans="13:16">
      <c r="M821">
        <v>0.29539297713749185</v>
      </c>
      <c r="N821">
        <v>0.19027368922068741</v>
      </c>
      <c r="O821">
        <v>0.25363242878153636</v>
      </c>
      <c r="P821">
        <v>0.26070090486028441</v>
      </c>
    </row>
    <row r="822" spans="13:16">
      <c r="M822">
        <v>0.30561349566589191</v>
      </c>
      <c r="N822">
        <v>0.18632284213754427</v>
      </c>
      <c r="O822">
        <v>0.24966179763524021</v>
      </c>
      <c r="P822">
        <v>0.25840186456132369</v>
      </c>
    </row>
    <row r="823" spans="13:16">
      <c r="M823">
        <v>0.30184468651536539</v>
      </c>
      <c r="N823">
        <v>0.18905626274255183</v>
      </c>
      <c r="O823">
        <v>0.23160768590824202</v>
      </c>
      <c r="P823">
        <v>0.27749136483384085</v>
      </c>
    </row>
    <row r="824" spans="13:16">
      <c r="M824">
        <v>0.30667148255946514</v>
      </c>
      <c r="N824">
        <v>0.17238407977761436</v>
      </c>
      <c r="O824">
        <v>0.26131534503212778</v>
      </c>
      <c r="P824">
        <v>0.25962909263079276</v>
      </c>
    </row>
    <row r="825" spans="13:16">
      <c r="M825">
        <v>0.28858917430899733</v>
      </c>
      <c r="N825">
        <v>0.18891828754089582</v>
      </c>
      <c r="O825">
        <v>0.25713663522214358</v>
      </c>
      <c r="P825">
        <v>0.26535590292796329</v>
      </c>
    </row>
    <row r="826" spans="13:16">
      <c r="M826">
        <v>0.29513709944111627</v>
      </c>
      <c r="N826">
        <v>0.17978504404638929</v>
      </c>
      <c r="O826">
        <v>0.26750988196497083</v>
      </c>
      <c r="P826">
        <v>0.25756797454752361</v>
      </c>
    </row>
    <row r="827" spans="13:16">
      <c r="M827">
        <v>0.3087037594721726</v>
      </c>
      <c r="N827">
        <v>0.17658415881600623</v>
      </c>
      <c r="O827">
        <v>0.25408646782821293</v>
      </c>
      <c r="P827">
        <v>0.26062561388360822</v>
      </c>
    </row>
    <row r="828" spans="13:16">
      <c r="M828">
        <v>0.27014377796808869</v>
      </c>
      <c r="N828">
        <v>0.17080890630954637</v>
      </c>
      <c r="O828">
        <v>0.30691516679910691</v>
      </c>
      <c r="P828">
        <v>0.25213214892325808</v>
      </c>
    </row>
    <row r="829" spans="13:16">
      <c r="M829">
        <v>0.31678062001459706</v>
      </c>
      <c r="N829">
        <v>0.17964238490185233</v>
      </c>
      <c r="O829">
        <v>0.24712633362931755</v>
      </c>
      <c r="P829">
        <v>0.25645066145423312</v>
      </c>
    </row>
    <row r="830" spans="13:16">
      <c r="M830">
        <v>0.27905590797854862</v>
      </c>
      <c r="N830">
        <v>0.1750792637120496</v>
      </c>
      <c r="O830">
        <v>0.29222998030160124</v>
      </c>
      <c r="P830">
        <v>0.25363484800780045</v>
      </c>
    </row>
    <row r="831" spans="13:16">
      <c r="M831">
        <v>0.30124990952834158</v>
      </c>
      <c r="N831">
        <v>0.19373814869402911</v>
      </c>
      <c r="O831">
        <v>0.24164786631676161</v>
      </c>
      <c r="P831">
        <v>0.26336407546086776</v>
      </c>
    </row>
    <row r="832" spans="13:16">
      <c r="M832">
        <v>0.29481613467018603</v>
      </c>
      <c r="N832">
        <v>0.18694866145740607</v>
      </c>
      <c r="O832">
        <v>0.2372451611293209</v>
      </c>
      <c r="P832">
        <v>0.28099004274308687</v>
      </c>
    </row>
    <row r="833" spans="13:16">
      <c r="M833">
        <v>0.3196156387980929</v>
      </c>
      <c r="N833">
        <v>0.19237823941422694</v>
      </c>
      <c r="O833">
        <v>0.22786334200605363</v>
      </c>
      <c r="P833">
        <v>0.26014277978162642</v>
      </c>
    </row>
    <row r="834" spans="13:16">
      <c r="M834">
        <v>0.2824517687025051</v>
      </c>
      <c r="N834">
        <v>0.18296353617013111</v>
      </c>
      <c r="O834">
        <v>0.26879812951402293</v>
      </c>
      <c r="P834">
        <v>0.26578656561334096</v>
      </c>
    </row>
    <row r="835" spans="13:16">
      <c r="M835">
        <v>0.3222599412783706</v>
      </c>
      <c r="N835">
        <v>0.19282738170560074</v>
      </c>
      <c r="O835">
        <v>0.22736356981684358</v>
      </c>
      <c r="P835">
        <v>0.25754910719918495</v>
      </c>
    </row>
    <row r="836" spans="13:16">
      <c r="M836">
        <v>0.30390607976960554</v>
      </c>
      <c r="N836">
        <v>0.17413071110344558</v>
      </c>
      <c r="O836">
        <v>0.2598594821437229</v>
      </c>
      <c r="P836">
        <v>0.26210372698322598</v>
      </c>
    </row>
    <row r="837" spans="13:16">
      <c r="M837">
        <v>0.28034016983581211</v>
      </c>
      <c r="N837">
        <v>0.19025059351879661</v>
      </c>
      <c r="O837">
        <v>0.24519153520272796</v>
      </c>
      <c r="P837">
        <v>0.28421770144266334</v>
      </c>
    </row>
    <row r="838" spans="13:16">
      <c r="M838">
        <v>0.2937291130031337</v>
      </c>
      <c r="N838">
        <v>0.21065778935116172</v>
      </c>
      <c r="O838">
        <v>0.22552334903130877</v>
      </c>
      <c r="P838">
        <v>0.27008974861439577</v>
      </c>
    </row>
    <row r="839" spans="13:16">
      <c r="M839">
        <v>0.30113668979304836</v>
      </c>
      <c r="N839">
        <v>0.19008519452144476</v>
      </c>
      <c r="O839">
        <v>0.23868419532654522</v>
      </c>
      <c r="P839">
        <v>0.27009392035896168</v>
      </c>
    </row>
    <row r="840" spans="13:16">
      <c r="M840">
        <v>0.29091780922380328</v>
      </c>
      <c r="N840">
        <v>0.19526191140790511</v>
      </c>
      <c r="O840">
        <v>0.25727306676455741</v>
      </c>
      <c r="P840">
        <v>0.25654721260373409</v>
      </c>
    </row>
    <row r="841" spans="13:16">
      <c r="M841">
        <v>0.27483185096675722</v>
      </c>
      <c r="N841">
        <v>0.19674038137340111</v>
      </c>
      <c r="O841">
        <v>0.24520142192648406</v>
      </c>
      <c r="P841">
        <v>0.28322634573335753</v>
      </c>
    </row>
    <row r="842" spans="13:16">
      <c r="M842">
        <v>0.28849405779162646</v>
      </c>
      <c r="N842">
        <v>0.19203268945011936</v>
      </c>
      <c r="O842">
        <v>0.25301659273112093</v>
      </c>
      <c r="P842">
        <v>0.26645666002713314</v>
      </c>
    </row>
    <row r="843" spans="13:16">
      <c r="M843">
        <v>0.27376666460270416</v>
      </c>
      <c r="N843">
        <v>0.17408942239561714</v>
      </c>
      <c r="O843">
        <v>0.28529261002199507</v>
      </c>
      <c r="P843">
        <v>0.26685130297968374</v>
      </c>
    </row>
    <row r="844" spans="13:16">
      <c r="M844">
        <v>0.29575305003003494</v>
      </c>
      <c r="N844">
        <v>0.18939511707954287</v>
      </c>
      <c r="O844">
        <v>0.26118148848008055</v>
      </c>
      <c r="P844">
        <v>0.25367034441034164</v>
      </c>
    </row>
    <row r="845" spans="13:16">
      <c r="M845">
        <v>0.30724105444874494</v>
      </c>
      <c r="N845">
        <v>0.17218379271605286</v>
      </c>
      <c r="O845">
        <v>0.27157628744650725</v>
      </c>
      <c r="P845">
        <v>0.24899886538869492</v>
      </c>
    </row>
    <row r="846" spans="13:16">
      <c r="M846">
        <v>0.28403075640505449</v>
      </c>
      <c r="N846">
        <v>0.17713894136542635</v>
      </c>
      <c r="O846">
        <v>0.25349754587360068</v>
      </c>
      <c r="P846">
        <v>0.28533275635591859</v>
      </c>
    </row>
    <row r="847" spans="13:16">
      <c r="M847">
        <v>0.293630785966917</v>
      </c>
      <c r="N847">
        <v>0.182942728059312</v>
      </c>
      <c r="O847">
        <v>0.25707253406376362</v>
      </c>
      <c r="P847">
        <v>0.26635395191000744</v>
      </c>
    </row>
    <row r="848" spans="13:16">
      <c r="M848">
        <v>0.32300556319751855</v>
      </c>
      <c r="N848">
        <v>0.18269605711558107</v>
      </c>
      <c r="O848">
        <v>0.21688112067787171</v>
      </c>
      <c r="P848">
        <v>0.27741725900902858</v>
      </c>
    </row>
    <row r="849" spans="13:16">
      <c r="M849">
        <v>0.31739339098356628</v>
      </c>
      <c r="N849">
        <v>0.17992176119804526</v>
      </c>
      <c r="O849">
        <v>0.23737718730134541</v>
      </c>
      <c r="P849">
        <v>0.26530766051704296</v>
      </c>
    </row>
    <row r="850" spans="13:16">
      <c r="M850">
        <v>0.27368507026273003</v>
      </c>
      <c r="N850">
        <v>0.1846842169357765</v>
      </c>
      <c r="O850">
        <v>0.28305811935084518</v>
      </c>
      <c r="P850">
        <v>0.25857259345064842</v>
      </c>
    </row>
    <row r="851" spans="13:16">
      <c r="M851">
        <v>0.27697055955204075</v>
      </c>
      <c r="N851">
        <v>0.19350043808762135</v>
      </c>
      <c r="O851">
        <v>0.26007851707635721</v>
      </c>
      <c r="P851">
        <v>0.26945048528398063</v>
      </c>
    </row>
    <row r="852" spans="13:16">
      <c r="M852">
        <v>0.2883918346449259</v>
      </c>
      <c r="N852">
        <v>0.20502360597720004</v>
      </c>
      <c r="O852">
        <v>0.2304312955850176</v>
      </c>
      <c r="P852">
        <v>0.27615326379285648</v>
      </c>
    </row>
    <row r="853" spans="13:16">
      <c r="M853">
        <v>0.2788743890382932</v>
      </c>
      <c r="N853">
        <v>0.1981764897694954</v>
      </c>
      <c r="O853">
        <v>0.26797059039625315</v>
      </c>
      <c r="P853">
        <v>0.25497853079595817</v>
      </c>
    </row>
    <row r="854" spans="13:16">
      <c r="M854">
        <v>0.29211522218950209</v>
      </c>
      <c r="N854">
        <v>0.16945381861291739</v>
      </c>
      <c r="O854">
        <v>0.27865099612113231</v>
      </c>
      <c r="P854">
        <v>0.25977996307644802</v>
      </c>
    </row>
    <row r="855" spans="13:16">
      <c r="M855">
        <v>0.28059180282478413</v>
      </c>
      <c r="N855">
        <v>0.18411250211273503</v>
      </c>
      <c r="O855">
        <v>0.27722867524135758</v>
      </c>
      <c r="P855">
        <v>0.25806701982112346</v>
      </c>
    </row>
    <row r="856" spans="13:16">
      <c r="M856">
        <v>0.27185447941437402</v>
      </c>
      <c r="N856">
        <v>0.17319811452725317</v>
      </c>
      <c r="O856">
        <v>0.2969693462001598</v>
      </c>
      <c r="P856">
        <v>0.25797805985821304</v>
      </c>
    </row>
    <row r="857" spans="13:16">
      <c r="M857">
        <v>0.28372676245785744</v>
      </c>
      <c r="N857">
        <v>0.18128725947716914</v>
      </c>
      <c r="O857">
        <v>0.27339618961714968</v>
      </c>
      <c r="P857">
        <v>0.26158978844782382</v>
      </c>
    </row>
    <row r="858" spans="13:16">
      <c r="M858">
        <v>0.29451368453440668</v>
      </c>
      <c r="N858">
        <v>0.203242192049954</v>
      </c>
      <c r="O858">
        <v>0.22769260429558164</v>
      </c>
      <c r="P858">
        <v>0.27455151912005754</v>
      </c>
    </row>
    <row r="859" spans="13:16">
      <c r="M859">
        <v>0.27624886317632869</v>
      </c>
      <c r="N859">
        <v>0.17988360581479451</v>
      </c>
      <c r="O859">
        <v>0.27351256468491192</v>
      </c>
      <c r="P859">
        <v>0.27035496632396505</v>
      </c>
    </row>
    <row r="860" spans="13:16">
      <c r="M860">
        <v>0.30428201425780077</v>
      </c>
      <c r="N860">
        <v>0.17573617229787405</v>
      </c>
      <c r="O860">
        <v>0.27133479509015229</v>
      </c>
      <c r="P860">
        <v>0.24864701835417291</v>
      </c>
    </row>
    <row r="861" spans="13:16">
      <c r="M861">
        <v>0.29052018111731459</v>
      </c>
      <c r="N861">
        <v>0.17441147012678149</v>
      </c>
      <c r="O861">
        <v>0.25944034401057275</v>
      </c>
      <c r="P861">
        <v>0.27562800474533128</v>
      </c>
    </row>
    <row r="862" spans="13:16">
      <c r="M862">
        <v>0.26913341397002072</v>
      </c>
      <c r="N862">
        <v>0.18143969967942083</v>
      </c>
      <c r="O862">
        <v>0.2927995963413455</v>
      </c>
      <c r="P862">
        <v>0.25662729000921297</v>
      </c>
    </row>
    <row r="863" spans="13:16">
      <c r="M863">
        <v>0.34448349791000732</v>
      </c>
      <c r="N863">
        <v>0.16958818250093072</v>
      </c>
      <c r="O863">
        <v>0.21884638830430717</v>
      </c>
      <c r="P863">
        <v>0.26708193128475488</v>
      </c>
    </row>
    <row r="864" spans="13:16">
      <c r="M864">
        <v>0.26721743128368586</v>
      </c>
      <c r="N864">
        <v>0.18241531448733944</v>
      </c>
      <c r="O864">
        <v>0.28499847246073695</v>
      </c>
      <c r="P864">
        <v>0.26536878176823775</v>
      </c>
    </row>
    <row r="865" spans="13:16">
      <c r="M865">
        <v>0.26773323519183828</v>
      </c>
      <c r="N865">
        <v>0.1924558856588435</v>
      </c>
      <c r="O865">
        <v>0.25289451303402172</v>
      </c>
      <c r="P865">
        <v>0.28691636611529642</v>
      </c>
    </row>
    <row r="866" spans="13:16">
      <c r="M866">
        <v>0.2855115942951969</v>
      </c>
      <c r="N866">
        <v>0.17899313514292001</v>
      </c>
      <c r="O866">
        <v>0.25435806153011004</v>
      </c>
      <c r="P866">
        <v>0.28113720903177308</v>
      </c>
    </row>
    <row r="867" spans="13:16">
      <c r="M867">
        <v>0.28193388046438023</v>
      </c>
      <c r="N867">
        <v>0.18019590197526369</v>
      </c>
      <c r="O867">
        <v>0.27957359869074383</v>
      </c>
      <c r="P867">
        <v>0.25829661886961225</v>
      </c>
    </row>
    <row r="868" spans="13:16">
      <c r="M868">
        <v>0.31948828146401875</v>
      </c>
      <c r="N868">
        <v>0.17467050767419506</v>
      </c>
      <c r="O868">
        <v>0.24198163754145555</v>
      </c>
      <c r="P868">
        <v>0.26385957332033066</v>
      </c>
    </row>
    <row r="869" spans="13:16">
      <c r="M869">
        <v>0.27249582516997767</v>
      </c>
      <c r="N869">
        <v>0.1791013854771146</v>
      </c>
      <c r="O869">
        <v>0.29443259212614908</v>
      </c>
      <c r="P869">
        <v>0.25397019722675868</v>
      </c>
    </row>
    <row r="870" spans="13:16">
      <c r="M870">
        <v>0.29041862446596906</v>
      </c>
      <c r="N870">
        <v>0.20524130753124425</v>
      </c>
      <c r="O870">
        <v>0.22808940420883822</v>
      </c>
      <c r="P870">
        <v>0.27625066379394858</v>
      </c>
    </row>
    <row r="871" spans="13:16">
      <c r="M871">
        <v>0.30400822149377305</v>
      </c>
      <c r="N871">
        <v>0.18579333038708479</v>
      </c>
      <c r="O871">
        <v>0.25278076620252099</v>
      </c>
      <c r="P871">
        <v>0.25741768191662118</v>
      </c>
    </row>
    <row r="872" spans="13:16">
      <c r="M872">
        <v>0.29912058052789114</v>
      </c>
      <c r="N872">
        <v>0.19687791724679207</v>
      </c>
      <c r="O872">
        <v>0.23220386212902508</v>
      </c>
      <c r="P872">
        <v>0.2717976400962917</v>
      </c>
    </row>
    <row r="873" spans="13:16">
      <c r="M873">
        <v>0.28848954153394268</v>
      </c>
      <c r="N873">
        <v>0.19585565956488299</v>
      </c>
      <c r="O873">
        <v>0.24257885657425882</v>
      </c>
      <c r="P873">
        <v>0.27307594232691551</v>
      </c>
    </row>
    <row r="874" spans="13:16">
      <c r="M874">
        <v>0.30912990495190379</v>
      </c>
      <c r="N874">
        <v>0.19179194614723583</v>
      </c>
      <c r="O874">
        <v>0.22810790271400247</v>
      </c>
      <c r="P874">
        <v>0.270970246186858</v>
      </c>
    </row>
    <row r="875" spans="13:16">
      <c r="M875">
        <v>0.26987123329753487</v>
      </c>
      <c r="N875">
        <v>0.18140061357124782</v>
      </c>
      <c r="O875">
        <v>0.29448475139451158</v>
      </c>
      <c r="P875">
        <v>0.25424340173670579</v>
      </c>
    </row>
    <row r="876" spans="13:16">
      <c r="M876">
        <v>0.29926586517374115</v>
      </c>
      <c r="N876">
        <v>0.19450414078700387</v>
      </c>
      <c r="O876">
        <v>0.22494442945971868</v>
      </c>
      <c r="P876">
        <v>0.2812855645795363</v>
      </c>
    </row>
    <row r="877" spans="13:16">
      <c r="M877">
        <v>0.2769911086151019</v>
      </c>
      <c r="N877">
        <v>0.1924355161313791</v>
      </c>
      <c r="O877">
        <v>0.2538100689947887</v>
      </c>
      <c r="P877">
        <v>0.27676330625873025</v>
      </c>
    </row>
    <row r="878" spans="13:16">
      <c r="M878">
        <v>0.30210889189084161</v>
      </c>
      <c r="N878">
        <v>0.18112999484267478</v>
      </c>
      <c r="O878">
        <v>0.27613442476990613</v>
      </c>
      <c r="P878">
        <v>0.24062668849657742</v>
      </c>
    </row>
    <row r="879" spans="13:16">
      <c r="M879">
        <v>0.29463422008646678</v>
      </c>
      <c r="N879">
        <v>0.18180560822100761</v>
      </c>
      <c r="O879">
        <v>0.25863607962414664</v>
      </c>
      <c r="P879">
        <v>0.26492409206837897</v>
      </c>
    </row>
    <row r="880" spans="13:16">
      <c r="M880">
        <v>0.312188597986364</v>
      </c>
      <c r="N880">
        <v>0.18035567189139298</v>
      </c>
      <c r="O880">
        <v>0.25630844120034635</v>
      </c>
      <c r="P880">
        <v>0.25114728892189669</v>
      </c>
    </row>
    <row r="881" spans="13:16">
      <c r="M881">
        <v>0.29891974694946932</v>
      </c>
      <c r="N881">
        <v>0.17642451517236479</v>
      </c>
      <c r="O881">
        <v>0.26040126983375472</v>
      </c>
      <c r="P881">
        <v>0.26425446804441116</v>
      </c>
    </row>
    <row r="882" spans="13:16">
      <c r="M882">
        <v>0.28243187984430557</v>
      </c>
      <c r="N882">
        <v>0.19938103282645597</v>
      </c>
      <c r="O882">
        <v>0.25177016561160387</v>
      </c>
      <c r="P882">
        <v>0.26641692171763465</v>
      </c>
    </row>
    <row r="883" spans="13:16">
      <c r="M883">
        <v>0.30956660194603369</v>
      </c>
      <c r="N883">
        <v>0.17444112344018747</v>
      </c>
      <c r="O883">
        <v>0.25094695535042261</v>
      </c>
      <c r="P883">
        <v>0.26504531926335628</v>
      </c>
    </row>
    <row r="884" spans="13:16">
      <c r="M884">
        <v>0.30399112597527567</v>
      </c>
      <c r="N884">
        <v>0.17421336525957923</v>
      </c>
      <c r="O884">
        <v>0.26170889761955946</v>
      </c>
      <c r="P884">
        <v>0.26008661114558562</v>
      </c>
    </row>
    <row r="885" spans="13:16">
      <c r="M885">
        <v>0.30260047123647899</v>
      </c>
      <c r="N885">
        <v>0.17846515312884265</v>
      </c>
      <c r="O885">
        <v>0.25238738242404685</v>
      </c>
      <c r="P885">
        <v>0.26654699321063152</v>
      </c>
    </row>
    <row r="886" spans="13:16">
      <c r="M886">
        <v>0.30643506694212097</v>
      </c>
      <c r="N886">
        <v>0.1783775951272884</v>
      </c>
      <c r="O886">
        <v>0.22881739823687566</v>
      </c>
      <c r="P886">
        <v>0.28636993969371499</v>
      </c>
    </row>
    <row r="887" spans="13:16">
      <c r="M887">
        <v>0.29708095733156992</v>
      </c>
      <c r="N887">
        <v>0.16325975219305627</v>
      </c>
      <c r="O887">
        <v>0.29612191483344191</v>
      </c>
      <c r="P887">
        <v>0.24353737564193201</v>
      </c>
    </row>
    <row r="888" spans="13:16">
      <c r="M888">
        <v>0.26282167949212015</v>
      </c>
      <c r="N888">
        <v>0.20292192582748872</v>
      </c>
      <c r="O888">
        <v>0.26018324809049503</v>
      </c>
      <c r="P888">
        <v>0.27407314658989618</v>
      </c>
    </row>
    <row r="889" spans="13:16">
      <c r="M889">
        <v>0.2594848174586975</v>
      </c>
      <c r="N889">
        <v>0.19742029603172354</v>
      </c>
      <c r="O889">
        <v>0.27390603990268858</v>
      </c>
      <c r="P889">
        <v>0.26918884660689035</v>
      </c>
    </row>
    <row r="890" spans="13:16">
      <c r="M890">
        <v>0.27695012419216125</v>
      </c>
      <c r="N890">
        <v>0.19376319391558028</v>
      </c>
      <c r="O890">
        <v>0.2615987700232002</v>
      </c>
      <c r="P890">
        <v>0.26768791186905833</v>
      </c>
    </row>
    <row r="891" spans="13:16">
      <c r="M891">
        <v>0.28256429431459806</v>
      </c>
      <c r="N891">
        <v>0.20008057245460359</v>
      </c>
      <c r="O891">
        <v>0.23673292448010916</v>
      </c>
      <c r="P891">
        <v>0.28062220875068933</v>
      </c>
    </row>
    <row r="892" spans="13:16">
      <c r="M892">
        <v>0.26333515540829133</v>
      </c>
      <c r="N892">
        <v>0.18521036621717693</v>
      </c>
      <c r="O892">
        <v>0.29258747264262208</v>
      </c>
      <c r="P892">
        <v>0.25886700573190968</v>
      </c>
    </row>
    <row r="893" spans="13:16">
      <c r="M893">
        <v>0.28095039325691007</v>
      </c>
      <c r="N893">
        <v>0.19357616747714604</v>
      </c>
      <c r="O893">
        <v>0.24941697834770452</v>
      </c>
      <c r="P893">
        <v>0.27605646091823932</v>
      </c>
    </row>
    <row r="894" spans="13:16">
      <c r="M894">
        <v>0.27774078748917919</v>
      </c>
      <c r="N894">
        <v>0.18524000976127078</v>
      </c>
      <c r="O894">
        <v>0.28113353565804988</v>
      </c>
      <c r="P894">
        <v>0.25588566709150007</v>
      </c>
    </row>
    <row r="895" spans="13:16">
      <c r="M895">
        <v>0.29817182563212957</v>
      </c>
      <c r="N895">
        <v>0.17762335697623791</v>
      </c>
      <c r="O895">
        <v>0.27220211261415556</v>
      </c>
      <c r="P895">
        <v>0.25200270477747688</v>
      </c>
    </row>
    <row r="896" spans="13:16">
      <c r="M896">
        <v>0.29023898885804322</v>
      </c>
      <c r="N896">
        <v>0.1753322432821468</v>
      </c>
      <c r="O896">
        <v>0.26775643809262689</v>
      </c>
      <c r="P896">
        <v>0.26667232976718314</v>
      </c>
    </row>
    <row r="897" spans="13:16">
      <c r="M897">
        <v>0.29183257090667414</v>
      </c>
      <c r="N897">
        <v>0.17325591986610867</v>
      </c>
      <c r="O897">
        <v>0.27448558848199944</v>
      </c>
      <c r="P897">
        <v>0.26042592074521775</v>
      </c>
    </row>
    <row r="898" spans="13:16">
      <c r="M898">
        <v>0.30344940750920846</v>
      </c>
      <c r="N898">
        <v>0.1931162959549656</v>
      </c>
      <c r="O898">
        <v>0.22688497544393046</v>
      </c>
      <c r="P898">
        <v>0.27654932109189539</v>
      </c>
    </row>
    <row r="899" spans="13:16">
      <c r="M899">
        <v>0.29773056419637334</v>
      </c>
      <c r="N899">
        <v>0.17574255392033247</v>
      </c>
      <c r="O899">
        <v>0.2608852532953404</v>
      </c>
      <c r="P899">
        <v>0.26564162858795376</v>
      </c>
    </row>
    <row r="900" spans="13:16">
      <c r="M900">
        <v>0.3103657144180067</v>
      </c>
      <c r="N900">
        <v>0.16573925045077698</v>
      </c>
      <c r="O900">
        <v>0.2572310680117969</v>
      </c>
      <c r="P900">
        <v>0.26666396711941942</v>
      </c>
    </row>
    <row r="901" spans="13:16">
      <c r="M901">
        <v>0.28806160112395268</v>
      </c>
      <c r="N901">
        <v>0.19549940733089019</v>
      </c>
      <c r="O901">
        <v>0.25901734440303187</v>
      </c>
      <c r="P901">
        <v>0.25742164714212523</v>
      </c>
    </row>
    <row r="902" spans="13:16">
      <c r="M902">
        <v>0.28997942478368044</v>
      </c>
      <c r="N902">
        <v>0.17768590703674991</v>
      </c>
      <c r="O902">
        <v>0.26308285257912928</v>
      </c>
      <c r="P902">
        <v>0.26925181560044037</v>
      </c>
    </row>
    <row r="903" spans="13:16">
      <c r="M903">
        <v>0.31032511376372929</v>
      </c>
      <c r="N903">
        <v>0.18235479851393396</v>
      </c>
      <c r="O903">
        <v>0.26222982269461975</v>
      </c>
      <c r="P903">
        <v>0.24509026502771702</v>
      </c>
    </row>
    <row r="904" spans="13:16">
      <c r="M904">
        <v>0.27308991035977026</v>
      </c>
      <c r="N904">
        <v>0.18511111841377909</v>
      </c>
      <c r="O904">
        <v>0.27933707653143203</v>
      </c>
      <c r="P904">
        <v>0.26246189469501852</v>
      </c>
    </row>
    <row r="905" spans="13:16">
      <c r="M905">
        <v>0.30336517493323839</v>
      </c>
      <c r="N905">
        <v>0.18167880465357897</v>
      </c>
      <c r="O905">
        <v>0.26563463739740001</v>
      </c>
      <c r="P905">
        <v>0.24932138301578258</v>
      </c>
    </row>
    <row r="906" spans="13:16">
      <c r="M906">
        <v>0.27256650774189917</v>
      </c>
      <c r="N906">
        <v>0.19661026778901169</v>
      </c>
      <c r="O906">
        <v>0.26999098618436435</v>
      </c>
      <c r="P906">
        <v>0.26083223828472485</v>
      </c>
    </row>
    <row r="907" spans="13:16">
      <c r="M907">
        <v>0.29293430304943324</v>
      </c>
      <c r="N907">
        <v>0.19568666947878816</v>
      </c>
      <c r="O907">
        <v>0.26031767889406876</v>
      </c>
      <c r="P907">
        <v>0.25106134857770984</v>
      </c>
    </row>
    <row r="908" spans="13:16">
      <c r="M908">
        <v>0.30973401126968342</v>
      </c>
      <c r="N908">
        <v>0.1921523267926821</v>
      </c>
      <c r="O908">
        <v>0.23221654182796847</v>
      </c>
      <c r="P908">
        <v>0.2658971201096661</v>
      </c>
    </row>
    <row r="909" spans="13:16">
      <c r="M909">
        <v>0.29445830501155151</v>
      </c>
      <c r="N909">
        <v>0.19955253589185942</v>
      </c>
      <c r="O909">
        <v>0.21346824148051438</v>
      </c>
      <c r="P909">
        <v>0.29252091761607463</v>
      </c>
    </row>
    <row r="910" spans="13:16">
      <c r="M910">
        <v>0.31640676913982274</v>
      </c>
      <c r="N910">
        <v>0.17319696038049029</v>
      </c>
      <c r="O910">
        <v>0.2514674670776102</v>
      </c>
      <c r="P910">
        <v>0.25892880340207686</v>
      </c>
    </row>
    <row r="911" spans="13:16">
      <c r="M911">
        <v>0.28741031085020258</v>
      </c>
      <c r="N911">
        <v>0.21280145976200329</v>
      </c>
      <c r="O911">
        <v>0.21279351669794641</v>
      </c>
      <c r="P911">
        <v>0.28699471268984783</v>
      </c>
    </row>
    <row r="912" spans="13:16">
      <c r="M912">
        <v>0.29983134591927385</v>
      </c>
      <c r="N912">
        <v>0.17301730758100137</v>
      </c>
      <c r="O912">
        <v>0.26351256481711127</v>
      </c>
      <c r="P912">
        <v>0.26363878168261357</v>
      </c>
    </row>
    <row r="913" spans="13:16">
      <c r="M913">
        <v>0.30480168629639787</v>
      </c>
      <c r="N913">
        <v>0.18032448768640566</v>
      </c>
      <c r="O913">
        <v>0.26343856942190147</v>
      </c>
      <c r="P913">
        <v>0.25143525659529503</v>
      </c>
    </row>
    <row r="914" spans="13:16">
      <c r="M914">
        <v>0.28432450271632076</v>
      </c>
      <c r="N914">
        <v>0.1857081608101622</v>
      </c>
      <c r="O914">
        <v>0.27730314449650834</v>
      </c>
      <c r="P914">
        <v>0.25266419197700885</v>
      </c>
    </row>
    <row r="915" spans="13:16">
      <c r="M915">
        <v>0.29437487300470405</v>
      </c>
      <c r="N915">
        <v>0.2027926320277364</v>
      </c>
      <c r="O915">
        <v>0.20569098269133318</v>
      </c>
      <c r="P915">
        <v>0.29714151227622637</v>
      </c>
    </row>
    <row r="916" spans="13:16">
      <c r="M916">
        <v>0.31788753540144987</v>
      </c>
      <c r="N916">
        <v>0.17324345747126937</v>
      </c>
      <c r="O916">
        <v>0.24128712400448776</v>
      </c>
      <c r="P916">
        <v>0.26758188312279296</v>
      </c>
    </row>
    <row r="917" spans="13:16">
      <c r="M917">
        <v>0.29437346876722253</v>
      </c>
      <c r="N917">
        <v>0.19199881118521422</v>
      </c>
      <c r="O917">
        <v>0.2418495586819184</v>
      </c>
      <c r="P917">
        <v>0.27177816136564487</v>
      </c>
    </row>
    <row r="918" spans="13:16">
      <c r="M918">
        <v>0.28429480641394944</v>
      </c>
      <c r="N918">
        <v>0.17998024098669821</v>
      </c>
      <c r="O918">
        <v>0.26267790969565374</v>
      </c>
      <c r="P918">
        <v>0.2730470429036988</v>
      </c>
    </row>
    <row r="919" spans="13:16">
      <c r="M919">
        <v>0.26409042406351535</v>
      </c>
      <c r="N919">
        <v>0.18759619785850737</v>
      </c>
      <c r="O919">
        <v>0.29812142291848248</v>
      </c>
      <c r="P919">
        <v>0.25019195515949488</v>
      </c>
    </row>
    <row r="920" spans="13:16">
      <c r="M920">
        <v>0.31408766101061869</v>
      </c>
      <c r="N920">
        <v>0.17534428796777848</v>
      </c>
      <c r="O920">
        <v>0.25878957217227594</v>
      </c>
      <c r="P920">
        <v>0.25177847884932686</v>
      </c>
    </row>
    <row r="921" spans="13:16">
      <c r="M921">
        <v>0.2757585110505848</v>
      </c>
      <c r="N921">
        <v>0.18341705861419855</v>
      </c>
      <c r="O921">
        <v>0.28064379415454904</v>
      </c>
      <c r="P921">
        <v>0.26018063618066756</v>
      </c>
    </row>
    <row r="922" spans="13:16">
      <c r="M922">
        <v>0.29163791989676319</v>
      </c>
      <c r="N922">
        <v>0.17993204939923829</v>
      </c>
      <c r="O922">
        <v>0.27407135356111578</v>
      </c>
      <c r="P922">
        <v>0.25435867714288279</v>
      </c>
    </row>
    <row r="923" spans="13:16">
      <c r="M923">
        <v>0.28763876339020888</v>
      </c>
      <c r="N923">
        <v>0.17951018832755894</v>
      </c>
      <c r="O923">
        <v>0.26957498993191953</v>
      </c>
      <c r="P923">
        <v>0.26327605835031259</v>
      </c>
    </row>
    <row r="924" spans="13:16">
      <c r="M924">
        <v>0.30177858772146188</v>
      </c>
      <c r="N924">
        <v>0.19279005867063298</v>
      </c>
      <c r="O924">
        <v>0.22907723224684154</v>
      </c>
      <c r="P924">
        <v>0.27635412136106363</v>
      </c>
    </row>
    <row r="925" spans="13:16">
      <c r="M925">
        <v>0.30022841584925974</v>
      </c>
      <c r="N925">
        <v>0.18745935702106239</v>
      </c>
      <c r="O925">
        <v>0.26265064180937253</v>
      </c>
      <c r="P925">
        <v>0.24966158532030536</v>
      </c>
    </row>
    <row r="926" spans="13:16">
      <c r="M926">
        <v>0.32144449191341545</v>
      </c>
      <c r="N926">
        <v>0.17937888729599849</v>
      </c>
      <c r="O926">
        <v>0.22742733665287304</v>
      </c>
      <c r="P926">
        <v>0.2717492841377131</v>
      </c>
    </row>
    <row r="927" spans="13:16">
      <c r="M927">
        <v>0.28469631573190413</v>
      </c>
      <c r="N927">
        <v>0.17633079140801114</v>
      </c>
      <c r="O927">
        <v>0.28112851118577059</v>
      </c>
      <c r="P927">
        <v>0.25784438167431412</v>
      </c>
    </row>
    <row r="928" spans="13:16">
      <c r="M928">
        <v>0.29151134042160926</v>
      </c>
      <c r="N928">
        <v>0.19302660420233336</v>
      </c>
      <c r="O928">
        <v>0.23560490764480688</v>
      </c>
      <c r="P928">
        <v>0.27985714773125042</v>
      </c>
    </row>
    <row r="929" spans="13:16">
      <c r="M929">
        <v>0.28808103024243198</v>
      </c>
      <c r="N929">
        <v>0.19337025841071515</v>
      </c>
      <c r="O929">
        <v>0.25566724189741985</v>
      </c>
      <c r="P929">
        <v>0.26288146944943297</v>
      </c>
    </row>
    <row r="930" spans="13:16">
      <c r="M930">
        <v>0.29710036500889131</v>
      </c>
      <c r="N930">
        <v>0.18723328368694664</v>
      </c>
      <c r="O930">
        <v>0.24672164461170518</v>
      </c>
      <c r="P930">
        <v>0.26894470669245685</v>
      </c>
    </row>
    <row r="931" spans="13:16">
      <c r="M931">
        <v>0.27762398063387544</v>
      </c>
      <c r="N931">
        <v>0.18769371551194783</v>
      </c>
      <c r="O931">
        <v>0.26616093885013553</v>
      </c>
      <c r="P931">
        <v>0.26852136500404111</v>
      </c>
    </row>
    <row r="932" spans="13:16">
      <c r="M932">
        <v>0.28180947312813687</v>
      </c>
      <c r="N932">
        <v>0.18374650229607548</v>
      </c>
      <c r="O932">
        <v>0.28134225802111745</v>
      </c>
      <c r="P932">
        <v>0.25310176655467026</v>
      </c>
    </row>
    <row r="933" spans="13:16">
      <c r="M933">
        <v>0.30837423135406133</v>
      </c>
      <c r="N933">
        <v>0.16851212035591612</v>
      </c>
      <c r="O933">
        <v>0.2799029714502046</v>
      </c>
      <c r="P933">
        <v>0.24321067683981806</v>
      </c>
    </row>
    <row r="934" spans="13:16">
      <c r="M934">
        <v>0.30147553857707299</v>
      </c>
      <c r="N934">
        <v>0.19409519678979725</v>
      </c>
      <c r="O934">
        <v>0.22415413147933561</v>
      </c>
      <c r="P934">
        <v>0.28027513315379421</v>
      </c>
    </row>
    <row r="935" spans="13:16">
      <c r="M935">
        <v>0.29179292368761095</v>
      </c>
      <c r="N935">
        <v>0.19518160949909469</v>
      </c>
      <c r="O935">
        <v>0.23750471263061101</v>
      </c>
      <c r="P935">
        <v>0.27552075418268335</v>
      </c>
    </row>
    <row r="936" spans="13:16">
      <c r="M936">
        <v>0.3024369917099714</v>
      </c>
      <c r="N936">
        <v>0.17753267060689162</v>
      </c>
      <c r="O936">
        <v>0.25538160420670053</v>
      </c>
      <c r="P936">
        <v>0.26464873347643642</v>
      </c>
    </row>
    <row r="937" spans="13:16">
      <c r="M937">
        <v>0.30874517818306102</v>
      </c>
      <c r="N937">
        <v>0.17287297757872386</v>
      </c>
      <c r="O937">
        <v>0.25198065930224528</v>
      </c>
      <c r="P937">
        <v>0.26640118493596976</v>
      </c>
    </row>
    <row r="938" spans="13:16">
      <c r="M938">
        <v>0.28395817893363029</v>
      </c>
      <c r="N938">
        <v>0.17227318365820804</v>
      </c>
      <c r="O938">
        <v>0.269464190974049</v>
      </c>
      <c r="P938">
        <v>0.27430444643411261</v>
      </c>
    </row>
    <row r="939" spans="13:16">
      <c r="M939">
        <v>0.30019524240453838</v>
      </c>
      <c r="N939">
        <v>0.1879170891268209</v>
      </c>
      <c r="O939">
        <v>0.25060442013787715</v>
      </c>
      <c r="P939">
        <v>0.26128324833076355</v>
      </c>
    </row>
    <row r="940" spans="13:16">
      <c r="M940">
        <v>0.26684825754254898</v>
      </c>
      <c r="N940">
        <v>0.1751808531543832</v>
      </c>
      <c r="O940">
        <v>0.29468505653701671</v>
      </c>
      <c r="P940">
        <v>0.26328583276605111</v>
      </c>
    </row>
    <row r="941" spans="13:16">
      <c r="M941">
        <v>0.2970244457225083</v>
      </c>
      <c r="N941">
        <v>0.16274646844645052</v>
      </c>
      <c r="O941">
        <v>0.30113079211159438</v>
      </c>
      <c r="P941">
        <v>0.23909829371944669</v>
      </c>
    </row>
    <row r="942" spans="13:16">
      <c r="M942">
        <v>0.29763432871443879</v>
      </c>
      <c r="N942">
        <v>0.19054169976356325</v>
      </c>
      <c r="O942">
        <v>0.2462835632475317</v>
      </c>
      <c r="P942">
        <v>0.26554040827446612</v>
      </c>
    </row>
    <row r="943" spans="13:16">
      <c r="M943">
        <v>0.29399308762084803</v>
      </c>
      <c r="N943">
        <v>0.19106561496286681</v>
      </c>
      <c r="O943">
        <v>0.24263869236982852</v>
      </c>
      <c r="P943">
        <v>0.2723026050464567</v>
      </c>
    </row>
    <row r="944" spans="13:16">
      <c r="M944">
        <v>0.29387199465131675</v>
      </c>
      <c r="N944">
        <v>0.16845792869242029</v>
      </c>
      <c r="O944">
        <v>0.28550174530455863</v>
      </c>
      <c r="P944">
        <v>0.25216833135170436</v>
      </c>
    </row>
    <row r="945" spans="13:16">
      <c r="M945">
        <v>0.26134666744857221</v>
      </c>
      <c r="N945">
        <v>0.19424510517431032</v>
      </c>
      <c r="O945">
        <v>0.27883274243569561</v>
      </c>
      <c r="P945">
        <v>0.26557548494142186</v>
      </c>
    </row>
    <row r="946" spans="13:16">
      <c r="M946">
        <v>0.29294479063655177</v>
      </c>
      <c r="N946">
        <v>0.19104929182966573</v>
      </c>
      <c r="O946">
        <v>0.26101698098473991</v>
      </c>
      <c r="P946">
        <v>0.25498893654904253</v>
      </c>
    </row>
    <row r="947" spans="13:16">
      <c r="M947">
        <v>0.29240061008884272</v>
      </c>
      <c r="N947">
        <v>0.19178328847069093</v>
      </c>
      <c r="O947">
        <v>0.2696017070084239</v>
      </c>
      <c r="P947">
        <v>0.24621439443204246</v>
      </c>
    </row>
    <row r="948" spans="13:16">
      <c r="M948">
        <v>0.29195419651219523</v>
      </c>
      <c r="N948">
        <v>0.18670448469309855</v>
      </c>
      <c r="O948">
        <v>0.23816165864033809</v>
      </c>
      <c r="P948">
        <v>0.28317966015436813</v>
      </c>
    </row>
    <row r="949" spans="13:16">
      <c r="M949">
        <v>0.28424077448670404</v>
      </c>
      <c r="N949">
        <v>0.20021540065963667</v>
      </c>
      <c r="O949">
        <v>0.23844208485416823</v>
      </c>
      <c r="P949">
        <v>0.27710173999949095</v>
      </c>
    </row>
    <row r="950" spans="13:16">
      <c r="M950">
        <v>0.2714405349141446</v>
      </c>
      <c r="N950">
        <v>0.19386415053472461</v>
      </c>
      <c r="O950">
        <v>0.26584139191737993</v>
      </c>
      <c r="P950">
        <v>0.26885392263375085</v>
      </c>
    </row>
    <row r="951" spans="13:16">
      <c r="M951">
        <v>0.28389848656969846</v>
      </c>
      <c r="N951">
        <v>0.20336152173726185</v>
      </c>
      <c r="O951">
        <v>0.2290922759349516</v>
      </c>
      <c r="P951">
        <v>0.28364771575808811</v>
      </c>
    </row>
    <row r="952" spans="13:16">
      <c r="M952">
        <v>0.28606153661026706</v>
      </c>
      <c r="N952">
        <v>0.1894729051731707</v>
      </c>
      <c r="O952">
        <v>0.25698615044025469</v>
      </c>
      <c r="P952">
        <v>0.26747940777630752</v>
      </c>
    </row>
    <row r="953" spans="13:16">
      <c r="M953">
        <v>0.30638047192181495</v>
      </c>
      <c r="N953">
        <v>0.18204764557908157</v>
      </c>
      <c r="O953">
        <v>0.25533704397863655</v>
      </c>
      <c r="P953">
        <v>0.25623483852046697</v>
      </c>
    </row>
    <row r="954" spans="13:16">
      <c r="M954">
        <v>0.26865317316986731</v>
      </c>
      <c r="N954">
        <v>0.18768749533664861</v>
      </c>
      <c r="O954">
        <v>0.28413348099859931</v>
      </c>
      <c r="P954">
        <v>0.25952585049488486</v>
      </c>
    </row>
    <row r="955" spans="13:16">
      <c r="M955">
        <v>0.30243706799167236</v>
      </c>
      <c r="N955">
        <v>0.18857812625543682</v>
      </c>
      <c r="O955">
        <v>0.24211985443981129</v>
      </c>
      <c r="P955">
        <v>0.26686495131307958</v>
      </c>
    </row>
    <row r="956" spans="13:16">
      <c r="M956">
        <v>0.31510637110911771</v>
      </c>
      <c r="N956">
        <v>0.18887922219290582</v>
      </c>
      <c r="O956">
        <v>0.23046059401663055</v>
      </c>
      <c r="P956">
        <v>0.26555381268134592</v>
      </c>
    </row>
    <row r="957" spans="13:16">
      <c r="M957">
        <v>0.28740872863493327</v>
      </c>
      <c r="N957">
        <v>0.18088224744844486</v>
      </c>
      <c r="O957">
        <v>0.25937062379190345</v>
      </c>
      <c r="P957">
        <v>0.27233840012471849</v>
      </c>
    </row>
    <row r="958" spans="13:16">
      <c r="M958">
        <v>0.27952836738396664</v>
      </c>
      <c r="N958">
        <v>0.17577654086472477</v>
      </c>
      <c r="O958">
        <v>0.28707633077411326</v>
      </c>
      <c r="P958">
        <v>0.25761876097719522</v>
      </c>
    </row>
    <row r="959" spans="13:16">
      <c r="M959">
        <v>0.30161609175298054</v>
      </c>
      <c r="N959">
        <v>0.19277884512488261</v>
      </c>
      <c r="O959">
        <v>0.23260257715671323</v>
      </c>
      <c r="P959">
        <v>0.2730024859654237</v>
      </c>
    </row>
    <row r="960" spans="13:16">
      <c r="M960">
        <v>0.29318846571335433</v>
      </c>
      <c r="N960">
        <v>0.18860016777379346</v>
      </c>
      <c r="O960">
        <v>0.25880743411698037</v>
      </c>
      <c r="P960">
        <v>0.25940393239587201</v>
      </c>
    </row>
    <row r="961" spans="13:16">
      <c r="M961">
        <v>0.28904016902357055</v>
      </c>
      <c r="N961">
        <v>0.17909475830736435</v>
      </c>
      <c r="O961">
        <v>0.27767935769652141</v>
      </c>
      <c r="P961">
        <v>0.25418571497254377</v>
      </c>
    </row>
    <row r="962" spans="13:16">
      <c r="M962">
        <v>0.25446027960278089</v>
      </c>
      <c r="N962">
        <v>0.20510771839316896</v>
      </c>
      <c r="O962">
        <v>0.27899009043455719</v>
      </c>
      <c r="P962">
        <v>0.26144191156949287</v>
      </c>
    </row>
    <row r="963" spans="13:16">
      <c r="M963">
        <v>0.28431943959384942</v>
      </c>
      <c r="N963">
        <v>0.19216754551442705</v>
      </c>
      <c r="O963">
        <v>0.26271482459701917</v>
      </c>
      <c r="P963">
        <v>0.26079819029470436</v>
      </c>
    </row>
    <row r="964" spans="13:16">
      <c r="M964">
        <v>0.30697326155353072</v>
      </c>
      <c r="N964">
        <v>0.17872063636801774</v>
      </c>
      <c r="O964">
        <v>0.2461966407043531</v>
      </c>
      <c r="P964">
        <v>0.26810946137409852</v>
      </c>
    </row>
    <row r="965" spans="13:16">
      <c r="M965">
        <v>0.29549410161238443</v>
      </c>
      <c r="N965">
        <v>0.19597451880432967</v>
      </c>
      <c r="O965">
        <v>0.23659242094505326</v>
      </c>
      <c r="P965">
        <v>0.27193895863823259</v>
      </c>
    </row>
    <row r="966" spans="13:16">
      <c r="M966">
        <v>0.29682571140286185</v>
      </c>
      <c r="N966">
        <v>0.18094431324720706</v>
      </c>
      <c r="O966">
        <v>0.27999241121196583</v>
      </c>
      <c r="P966">
        <v>0.24223756413796504</v>
      </c>
    </row>
    <row r="967" spans="13:16">
      <c r="M967">
        <v>0.30484403231590651</v>
      </c>
      <c r="N967">
        <v>0.17163173733512799</v>
      </c>
      <c r="O967">
        <v>0.2882214105853822</v>
      </c>
      <c r="P967">
        <v>0.2353028197635833</v>
      </c>
    </row>
    <row r="968" spans="13:16">
      <c r="M968">
        <v>0.29032530714586685</v>
      </c>
      <c r="N968">
        <v>0.20216771330692399</v>
      </c>
      <c r="O968">
        <v>0.22928180072335347</v>
      </c>
      <c r="P968">
        <v>0.27822517882385556</v>
      </c>
    </row>
    <row r="969" spans="13:16">
      <c r="M969">
        <v>0.280430893895463</v>
      </c>
      <c r="N969">
        <v>0.17593141398657547</v>
      </c>
      <c r="O969">
        <v>0.29857075917808928</v>
      </c>
      <c r="P969">
        <v>0.2450669329398722</v>
      </c>
    </row>
    <row r="970" spans="13:16">
      <c r="M970">
        <v>0.29219741646302666</v>
      </c>
      <c r="N970">
        <v>0.18785575772452914</v>
      </c>
      <c r="O970">
        <v>0.25678914817578469</v>
      </c>
      <c r="P970">
        <v>0.26315767763665943</v>
      </c>
    </row>
    <row r="971" spans="13:16">
      <c r="M971">
        <v>0.31073953920287917</v>
      </c>
      <c r="N971">
        <v>0.18271046751470696</v>
      </c>
      <c r="O971">
        <v>0.23854522231626621</v>
      </c>
      <c r="P971">
        <v>0.26800477096614761</v>
      </c>
    </row>
    <row r="972" spans="13:16">
      <c r="M972">
        <v>0.30636717493913829</v>
      </c>
      <c r="N972">
        <v>0.18602790097109018</v>
      </c>
      <c r="O972">
        <v>0.21943567417937879</v>
      </c>
      <c r="P972">
        <v>0.28816924991039278</v>
      </c>
    </row>
    <row r="973" spans="13:16">
      <c r="M973">
        <v>0.28742499443603675</v>
      </c>
      <c r="N973">
        <v>0.16587407903841003</v>
      </c>
      <c r="O973">
        <v>0.29097997033656281</v>
      </c>
      <c r="P973">
        <v>0.25572095618899027</v>
      </c>
    </row>
    <row r="974" spans="13:16">
      <c r="M974">
        <v>0.28244091427151768</v>
      </c>
      <c r="N974">
        <v>0.2041380668206785</v>
      </c>
      <c r="O974">
        <v>0.2558899230935448</v>
      </c>
      <c r="P974">
        <v>0.25753109581425904</v>
      </c>
    </row>
    <row r="975" spans="13:16">
      <c r="M975">
        <v>0.29358452076821195</v>
      </c>
      <c r="N975">
        <v>0.1861689216596587</v>
      </c>
      <c r="O975">
        <v>0.27937734812776288</v>
      </c>
      <c r="P975">
        <v>0.24086920944436649</v>
      </c>
    </row>
    <row r="976" spans="13:16">
      <c r="M976">
        <v>0.27108408820890506</v>
      </c>
      <c r="N976">
        <v>0.20370337221141371</v>
      </c>
      <c r="O976">
        <v>0.26526582809355503</v>
      </c>
      <c r="P976">
        <v>0.25994671148612608</v>
      </c>
    </row>
    <row r="977" spans="13:16">
      <c r="M977">
        <v>0.28346786294534365</v>
      </c>
      <c r="N977">
        <v>0.18070564553885299</v>
      </c>
      <c r="O977">
        <v>0.26343987653800749</v>
      </c>
      <c r="P977">
        <v>0.27238661497779593</v>
      </c>
    </row>
    <row r="978" spans="13:16">
      <c r="M978">
        <v>0.28926900954615409</v>
      </c>
      <c r="N978">
        <v>0.19507202632193543</v>
      </c>
      <c r="O978">
        <v>0.25875203577026235</v>
      </c>
      <c r="P978">
        <v>0.25690692836164802</v>
      </c>
    </row>
    <row r="979" spans="13:16">
      <c r="M979">
        <v>0.32569306396178904</v>
      </c>
      <c r="N979">
        <v>0.15566279338482944</v>
      </c>
      <c r="O979">
        <v>0.27865853263472862</v>
      </c>
      <c r="P979">
        <v>0.23998561001865282</v>
      </c>
    </row>
    <row r="980" spans="13:16">
      <c r="M980">
        <v>0.30448297856357964</v>
      </c>
      <c r="N980">
        <v>0.17573760996112464</v>
      </c>
      <c r="O980">
        <v>0.25883194173877128</v>
      </c>
      <c r="P980">
        <v>0.26094746973652438</v>
      </c>
    </row>
    <row r="981" spans="13:16">
      <c r="M981">
        <v>0.2905060098384119</v>
      </c>
      <c r="N981">
        <v>0.18749549457724241</v>
      </c>
      <c r="O981">
        <v>0.2406331571624441</v>
      </c>
      <c r="P981">
        <v>0.28136533842190153</v>
      </c>
    </row>
    <row r="982" spans="13:16">
      <c r="M982">
        <v>0.26717200404950547</v>
      </c>
      <c r="N982">
        <v>0.18528940919738629</v>
      </c>
      <c r="O982">
        <v>0.28566768682384719</v>
      </c>
      <c r="P982">
        <v>0.26187089992926105</v>
      </c>
    </row>
    <row r="983" spans="13:16">
      <c r="M983">
        <v>0.29941226524636838</v>
      </c>
      <c r="N983">
        <v>0.18079997318460317</v>
      </c>
      <c r="O983">
        <v>0.25246867578111337</v>
      </c>
      <c r="P983">
        <v>0.26731908578791502</v>
      </c>
    </row>
    <row r="984" spans="13:16">
      <c r="M984">
        <v>0.29727364446515642</v>
      </c>
      <c r="N984">
        <v>0.19485142465412322</v>
      </c>
      <c r="O984">
        <v>0.25402681899334756</v>
      </c>
      <c r="P984">
        <v>0.25384811188737294</v>
      </c>
    </row>
    <row r="985" spans="13:16">
      <c r="M985">
        <v>0.28557535611843637</v>
      </c>
      <c r="N985">
        <v>0.19066456133361612</v>
      </c>
      <c r="O985">
        <v>0.25483626788948444</v>
      </c>
      <c r="P985">
        <v>0.26892381465846316</v>
      </c>
    </row>
    <row r="986" spans="13:16">
      <c r="M986">
        <v>0.27049721479075495</v>
      </c>
      <c r="N986">
        <v>0.18593831422964191</v>
      </c>
      <c r="O986">
        <v>0.28904282009599508</v>
      </c>
      <c r="P986">
        <v>0.25452165088360812</v>
      </c>
    </row>
    <row r="987" spans="13:16">
      <c r="M987">
        <v>0.28572250393050669</v>
      </c>
      <c r="N987">
        <v>0.19576831170542577</v>
      </c>
      <c r="O987">
        <v>0.25714907211452309</v>
      </c>
      <c r="P987">
        <v>0.26136011224954453</v>
      </c>
    </row>
    <row r="988" spans="13:16">
      <c r="M988">
        <v>0.27338355835442851</v>
      </c>
      <c r="N988">
        <v>0.18399581598990702</v>
      </c>
      <c r="O988">
        <v>0.28187236667380838</v>
      </c>
      <c r="P988">
        <v>0.26074825898185605</v>
      </c>
    </row>
    <row r="989" spans="13:16">
      <c r="M989">
        <v>0.31079821427946613</v>
      </c>
      <c r="N989">
        <v>0.16789987415861837</v>
      </c>
      <c r="O989">
        <v>0.27027512511234436</v>
      </c>
      <c r="P989">
        <v>0.2510267864495711</v>
      </c>
    </row>
    <row r="990" spans="13:16">
      <c r="M990">
        <v>0.27810456329006344</v>
      </c>
      <c r="N990">
        <v>0.18892215391703418</v>
      </c>
      <c r="O990">
        <v>0.26592406063112517</v>
      </c>
      <c r="P990">
        <v>0.26704922216177723</v>
      </c>
    </row>
    <row r="991" spans="13:16">
      <c r="M991">
        <v>0.30887794457871465</v>
      </c>
      <c r="N991">
        <v>0.16977985972115422</v>
      </c>
      <c r="O991">
        <v>0.26197631488893558</v>
      </c>
      <c r="P991">
        <v>0.25936588081119555</v>
      </c>
    </row>
    <row r="992" spans="13:16">
      <c r="M992">
        <v>0.29777926270520266</v>
      </c>
      <c r="N992">
        <v>0.20323956963882042</v>
      </c>
      <c r="O992">
        <v>0.24237021636459946</v>
      </c>
      <c r="P992">
        <v>0.25661095129137745</v>
      </c>
    </row>
    <row r="993" spans="13:16">
      <c r="M993">
        <v>0.3122451906895522</v>
      </c>
      <c r="N993">
        <v>0.16095586356079675</v>
      </c>
      <c r="O993">
        <v>0.27074227429406666</v>
      </c>
      <c r="P993">
        <v>0.25605667145558431</v>
      </c>
    </row>
    <row r="994" spans="13:16">
      <c r="M994">
        <v>0.29369541545554001</v>
      </c>
      <c r="N994">
        <v>0.18721809760260136</v>
      </c>
      <c r="O994">
        <v>0.25431645594549734</v>
      </c>
      <c r="P994">
        <v>0.26477003099636115</v>
      </c>
    </row>
    <row r="995" spans="13:16">
      <c r="M995">
        <v>0.29592289298834346</v>
      </c>
      <c r="N995">
        <v>0.18866734600416091</v>
      </c>
      <c r="O995">
        <v>0.25549401893745877</v>
      </c>
      <c r="P995">
        <v>0.25991574207003676</v>
      </c>
    </row>
    <row r="996" spans="13:16">
      <c r="M996">
        <v>0.28217054880753223</v>
      </c>
      <c r="N996">
        <v>0.192101535522191</v>
      </c>
      <c r="O996">
        <v>0.27345187372411051</v>
      </c>
      <c r="P996">
        <v>0.25227604194616621</v>
      </c>
    </row>
    <row r="997" spans="13:16">
      <c r="M997">
        <v>0.30510583661777624</v>
      </c>
      <c r="N997">
        <v>0.16719002411027617</v>
      </c>
      <c r="O997">
        <v>0.26834756446386965</v>
      </c>
      <c r="P997">
        <v>0.25935657480807794</v>
      </c>
    </row>
    <row r="998" spans="13:16">
      <c r="M998">
        <v>0.29727823103258089</v>
      </c>
      <c r="N998">
        <v>0.17447596213070429</v>
      </c>
      <c r="O998">
        <v>0.26457688106422728</v>
      </c>
      <c r="P998">
        <v>0.26366892577248746</v>
      </c>
    </row>
    <row r="999" spans="13:16">
      <c r="M999">
        <v>0.28726092801912551</v>
      </c>
      <c r="N999">
        <v>0.19137821866859445</v>
      </c>
      <c r="O999">
        <v>0.24800688526360024</v>
      </c>
      <c r="P999">
        <v>0.27335396804867984</v>
      </c>
    </row>
    <row r="1000" spans="13:16">
      <c r="M1000">
        <v>0.27857533496133891</v>
      </c>
      <c r="N1000">
        <v>0.19003363529519604</v>
      </c>
      <c r="O1000">
        <v>0.27311263273165926</v>
      </c>
      <c r="P1000">
        <v>0.25827839701180588</v>
      </c>
    </row>
    <row r="1001" spans="13:16">
      <c r="M1001">
        <v>0.26955571409358564</v>
      </c>
      <c r="N1001">
        <v>0.19079244544146715</v>
      </c>
      <c r="O1001">
        <v>0.26109009648890102</v>
      </c>
      <c r="P1001">
        <v>0.27856174397604616</v>
      </c>
    </row>
    <row r="1002" spans="13:16">
      <c r="M1002">
        <v>0.29414108320255805</v>
      </c>
      <c r="N1002">
        <v>0.17368981067352707</v>
      </c>
      <c r="O1002">
        <v>0.28827593827149994</v>
      </c>
      <c r="P1002">
        <v>0.2438931678524151</v>
      </c>
    </row>
    <row r="1003" spans="13:16">
      <c r="M1003">
        <v>0.27832695062881191</v>
      </c>
      <c r="N1003">
        <v>0.18434729311842862</v>
      </c>
      <c r="O1003">
        <v>0.27323255440143246</v>
      </c>
      <c r="P1003">
        <v>0.26409320185132712</v>
      </c>
    </row>
    <row r="1004" spans="13:16">
      <c r="M1004">
        <v>0.28056357838580548</v>
      </c>
      <c r="N1004">
        <v>0.17750124423712171</v>
      </c>
      <c r="O1004">
        <v>0.2911958467543419</v>
      </c>
      <c r="P1004">
        <v>0.25073933062273096</v>
      </c>
    </row>
    <row r="1005" spans="13:16">
      <c r="M1005">
        <v>0.27755282384139496</v>
      </c>
      <c r="N1005">
        <v>0.19723225568636008</v>
      </c>
      <c r="O1005">
        <v>0.24104967405587371</v>
      </c>
      <c r="P1005">
        <v>0.28416524641637131</v>
      </c>
    </row>
    <row r="1006" spans="13:16">
      <c r="M1006">
        <v>0.28559265864772926</v>
      </c>
      <c r="N1006">
        <v>0.19479773484225638</v>
      </c>
      <c r="O1006">
        <v>0.25318876539450558</v>
      </c>
      <c r="P1006">
        <v>0.26642084111550873</v>
      </c>
    </row>
    <row r="1007" spans="13:16">
      <c r="M1007">
        <v>0.29847734673100074</v>
      </c>
      <c r="N1007">
        <v>0.18737380465973635</v>
      </c>
      <c r="O1007">
        <v>0.26061467511873176</v>
      </c>
      <c r="P1007">
        <v>0.25353417349053126</v>
      </c>
    </row>
    <row r="1008" spans="13:16">
      <c r="M1008">
        <v>0.28192295341500162</v>
      </c>
      <c r="N1008">
        <v>0.19312085575381913</v>
      </c>
      <c r="O1008">
        <v>0.25576755543173912</v>
      </c>
      <c r="P1008">
        <v>0.26918863539944016</v>
      </c>
    </row>
    <row r="1009" spans="13:16">
      <c r="M1009">
        <v>0.34573325409477856</v>
      </c>
      <c r="N1009">
        <v>0.16499713096697333</v>
      </c>
      <c r="O1009">
        <v>0.22882646215645505</v>
      </c>
      <c r="P1009">
        <v>0.26044315278179297</v>
      </c>
    </row>
    <row r="1010" spans="13:16">
      <c r="M1010">
        <v>0.29195482989515703</v>
      </c>
      <c r="N1010">
        <v>0.18597192020150621</v>
      </c>
      <c r="O1010">
        <v>0.22244164850384612</v>
      </c>
      <c r="P1010">
        <v>0.29963160139949074</v>
      </c>
    </row>
    <row r="1011" spans="13:16">
      <c r="M1011">
        <v>0.29194482267999816</v>
      </c>
      <c r="N1011">
        <v>0.17663841396396143</v>
      </c>
      <c r="O1011">
        <v>0.2579849368751963</v>
      </c>
      <c r="P1011">
        <v>0.27343182648084391</v>
      </c>
    </row>
    <row r="1012" spans="13:16">
      <c r="M1012">
        <v>0.31699227740360569</v>
      </c>
      <c r="N1012">
        <v>0.18450118445718883</v>
      </c>
      <c r="O1012">
        <v>0.2293349028266233</v>
      </c>
      <c r="P1012">
        <v>0.26917163531258231</v>
      </c>
    </row>
    <row r="1013" spans="13:16">
      <c r="M1013">
        <v>0.27152346520389647</v>
      </c>
      <c r="N1013">
        <v>0.19972743469478355</v>
      </c>
      <c r="O1013">
        <v>0.249452649594367</v>
      </c>
      <c r="P1013">
        <v>0.27929645050695284</v>
      </c>
    </row>
    <row r="1014" spans="13:16">
      <c r="M1014">
        <v>0.2713072027033025</v>
      </c>
      <c r="N1014">
        <v>0.21101488178362682</v>
      </c>
      <c r="O1014">
        <v>0.24698078203698459</v>
      </c>
      <c r="P1014">
        <v>0.2706971334760862</v>
      </c>
    </row>
    <row r="1015" spans="13:16">
      <c r="M1015">
        <v>0.3166644720916138</v>
      </c>
      <c r="N1015">
        <v>0.16925536421137527</v>
      </c>
      <c r="O1015">
        <v>0.25231171651940537</v>
      </c>
      <c r="P1015">
        <v>0.26176844717760561</v>
      </c>
    </row>
    <row r="1016" spans="13:16">
      <c r="M1016">
        <v>0.26198481901624276</v>
      </c>
      <c r="N1016">
        <v>0.19728892873807125</v>
      </c>
      <c r="O1016">
        <v>0.27564340098937518</v>
      </c>
      <c r="P1016">
        <v>0.26508285125631081</v>
      </c>
    </row>
    <row r="1017" spans="13:16">
      <c r="M1017">
        <v>0.30391389165619809</v>
      </c>
      <c r="N1017">
        <v>0.18590551574726497</v>
      </c>
      <c r="O1017">
        <v>0.23734831907850693</v>
      </c>
      <c r="P1017">
        <v>0.27283227351803002</v>
      </c>
    </row>
    <row r="1018" spans="13:16">
      <c r="M1018">
        <v>0.28833650909414316</v>
      </c>
      <c r="N1018">
        <v>0.20693970746020504</v>
      </c>
      <c r="O1018">
        <v>0.23328409955902335</v>
      </c>
      <c r="P1018">
        <v>0.27143968388662848</v>
      </c>
    </row>
    <row r="1019" spans="13:16">
      <c r="M1019">
        <v>0.28754778478049092</v>
      </c>
      <c r="N1019">
        <v>0.17572408671408546</v>
      </c>
      <c r="O1019">
        <v>0.2750711402762312</v>
      </c>
      <c r="P1019">
        <v>0.26165698822919242</v>
      </c>
    </row>
    <row r="1020" spans="13:16">
      <c r="M1020">
        <v>0.26593740179602027</v>
      </c>
      <c r="N1020">
        <v>0.20513332029157283</v>
      </c>
      <c r="O1020">
        <v>0.26640240988726555</v>
      </c>
      <c r="P1020">
        <v>0.26252686802514141</v>
      </c>
    </row>
    <row r="1021" spans="13:16">
      <c r="M1021">
        <v>0.27615297018405971</v>
      </c>
      <c r="N1021">
        <v>0.19594250720527476</v>
      </c>
      <c r="O1021">
        <v>0.25429748309092931</v>
      </c>
      <c r="P1021">
        <v>0.27360703951973625</v>
      </c>
    </row>
    <row r="1022" spans="13:16">
      <c r="M1022">
        <v>0.30548333391552729</v>
      </c>
      <c r="N1022">
        <v>0.18255193102843559</v>
      </c>
      <c r="O1022">
        <v>0.24139949918374087</v>
      </c>
      <c r="P1022">
        <v>0.27056523587229636</v>
      </c>
    </row>
    <row r="1023" spans="13:16">
      <c r="M1023">
        <v>0.28345648960930503</v>
      </c>
      <c r="N1023">
        <v>0.18729812115393379</v>
      </c>
      <c r="O1023">
        <v>0.27335808123056105</v>
      </c>
      <c r="P1023">
        <v>0.25588730800620008</v>
      </c>
    </row>
    <row r="1024" spans="13:16">
      <c r="M1024">
        <v>0.30926779805412657</v>
      </c>
      <c r="N1024">
        <v>0.18741025857760957</v>
      </c>
      <c r="O1024">
        <v>0.25610328859120535</v>
      </c>
      <c r="P1024">
        <v>0.24721865477705859</v>
      </c>
    </row>
    <row r="1025" spans="13:16">
      <c r="M1025">
        <v>0.30816179206856475</v>
      </c>
      <c r="N1025">
        <v>0.18345894596042195</v>
      </c>
      <c r="O1025">
        <v>0.24573220471420504</v>
      </c>
      <c r="P1025">
        <v>0.26264705725680831</v>
      </c>
    </row>
    <row r="1026" spans="13:16">
      <c r="M1026">
        <v>0.30630281823060679</v>
      </c>
      <c r="N1026">
        <v>0.1896157080922547</v>
      </c>
      <c r="O1026">
        <v>0.25531025290835729</v>
      </c>
      <c r="P1026">
        <v>0.24877122076878108</v>
      </c>
    </row>
    <row r="1027" spans="13:16">
      <c r="M1027">
        <v>0.29340105392620253</v>
      </c>
      <c r="N1027">
        <v>0.20769047140696084</v>
      </c>
      <c r="O1027">
        <v>0.23210928218087795</v>
      </c>
      <c r="P1027">
        <v>0.26679919248595879</v>
      </c>
    </row>
    <row r="1028" spans="13:16">
      <c r="M1028">
        <v>0.2674055687362123</v>
      </c>
      <c r="N1028">
        <v>0.17040558868930344</v>
      </c>
      <c r="O1028">
        <v>0.30393411938226589</v>
      </c>
      <c r="P1028">
        <v>0.25825472319221843</v>
      </c>
    </row>
    <row r="1029" spans="13:16">
      <c r="M1029">
        <v>0.27970285972673248</v>
      </c>
      <c r="N1029">
        <v>0.19317026263040993</v>
      </c>
      <c r="O1029">
        <v>0.23962744704393341</v>
      </c>
      <c r="P1029">
        <v>0.28749943059892419</v>
      </c>
    </row>
    <row r="1030" spans="13:16">
      <c r="M1030">
        <v>0.30317789347325946</v>
      </c>
      <c r="N1030">
        <v>0.18776857696044003</v>
      </c>
      <c r="O1030">
        <v>0.22158808043275591</v>
      </c>
      <c r="P1030">
        <v>0.28746544913354449</v>
      </c>
    </row>
    <row r="1031" spans="13:16">
      <c r="M1031">
        <v>0.28841564718331325</v>
      </c>
      <c r="N1031">
        <v>0.17768055812100617</v>
      </c>
      <c r="O1031">
        <v>0.26615438669256641</v>
      </c>
      <c r="P1031">
        <v>0.26774940800311425</v>
      </c>
    </row>
    <row r="1032" spans="13:16">
      <c r="M1032">
        <v>0.26658149103576861</v>
      </c>
      <c r="N1032">
        <v>0.18454599871634256</v>
      </c>
      <c r="O1032">
        <v>0.28765628165840568</v>
      </c>
      <c r="P1032">
        <v>0.26121622858948329</v>
      </c>
    </row>
    <row r="1033" spans="13:16">
      <c r="M1033">
        <v>0.30878027396579816</v>
      </c>
      <c r="N1033">
        <v>0.16911361731108704</v>
      </c>
      <c r="O1033">
        <v>0.26467271776878054</v>
      </c>
      <c r="P1033">
        <v>0.25743339095433432</v>
      </c>
    </row>
    <row r="1034" spans="13:16">
      <c r="M1034">
        <v>0.2935007621807606</v>
      </c>
      <c r="N1034">
        <v>0.18699176884220359</v>
      </c>
      <c r="O1034">
        <v>0.25850495046666427</v>
      </c>
      <c r="P1034">
        <v>0.26100251851037165</v>
      </c>
    </row>
    <row r="1035" spans="13:16">
      <c r="M1035">
        <v>0.29828552887149468</v>
      </c>
      <c r="N1035">
        <v>0.18561667911816462</v>
      </c>
      <c r="O1035">
        <v>0.24015589267375884</v>
      </c>
      <c r="P1035">
        <v>0.27594189933658186</v>
      </c>
    </row>
    <row r="1036" spans="13:16">
      <c r="M1036">
        <v>0.28318084427264623</v>
      </c>
      <c r="N1036">
        <v>0.17491577327333452</v>
      </c>
      <c r="O1036">
        <v>0.27177897192525924</v>
      </c>
      <c r="P1036">
        <v>0.27012441052876002</v>
      </c>
    </row>
    <row r="1037" spans="13:16">
      <c r="M1037">
        <v>0.2852028136046173</v>
      </c>
      <c r="N1037">
        <v>0.19172583585476063</v>
      </c>
      <c r="O1037">
        <v>0.26442561005153314</v>
      </c>
      <c r="P1037">
        <v>0.25864574048908895</v>
      </c>
    </row>
    <row r="1038" spans="13:16">
      <c r="M1038">
        <v>0.33166319216664908</v>
      </c>
      <c r="N1038">
        <v>0.18504009615402164</v>
      </c>
      <c r="O1038">
        <v>0.20752723145343049</v>
      </c>
      <c r="P1038">
        <v>0.27576948022589887</v>
      </c>
    </row>
    <row r="1039" spans="13:16">
      <c r="M1039">
        <v>0.28116341184270149</v>
      </c>
      <c r="N1039">
        <v>0.18633690497668837</v>
      </c>
      <c r="O1039">
        <v>0.25894298974732965</v>
      </c>
      <c r="P1039">
        <v>0.2735566934332806</v>
      </c>
    </row>
    <row r="1040" spans="13:16">
      <c r="M1040">
        <v>0.26875647440714318</v>
      </c>
      <c r="N1040">
        <v>0.20428401362935505</v>
      </c>
      <c r="O1040">
        <v>0.25238144386930228</v>
      </c>
      <c r="P1040">
        <v>0.27457806809419943</v>
      </c>
    </row>
    <row r="1041" spans="13:16">
      <c r="M1041">
        <v>0.29122645441787359</v>
      </c>
      <c r="N1041">
        <v>0.2134620559940677</v>
      </c>
      <c r="O1041">
        <v>0.23700172459150143</v>
      </c>
      <c r="P1041">
        <v>0.25830976499655733</v>
      </c>
    </row>
    <row r="1042" spans="13:16">
      <c r="M1042">
        <v>0.28980569682336443</v>
      </c>
      <c r="N1042">
        <v>0.18532336021473531</v>
      </c>
      <c r="O1042">
        <v>0.25181799972982299</v>
      </c>
      <c r="P1042">
        <v>0.27305294323207729</v>
      </c>
    </row>
    <row r="1043" spans="13:16">
      <c r="M1043">
        <v>0.317716462389393</v>
      </c>
      <c r="N1043">
        <v>0.18569841774416479</v>
      </c>
      <c r="O1043">
        <v>0.23374470739337219</v>
      </c>
      <c r="P1043">
        <v>0.26284041247307011</v>
      </c>
    </row>
    <row r="1044" spans="13:16">
      <c r="M1044">
        <v>0.28269068298628725</v>
      </c>
      <c r="N1044">
        <v>0.18269506239828306</v>
      </c>
      <c r="O1044">
        <v>0.28766559508523148</v>
      </c>
      <c r="P1044">
        <v>0.24694865953019823</v>
      </c>
    </row>
    <row r="1045" spans="13:16">
      <c r="M1045">
        <v>0.30755363540328934</v>
      </c>
      <c r="N1045">
        <v>0.1803175094939774</v>
      </c>
      <c r="O1045">
        <v>0.22838723880929526</v>
      </c>
      <c r="P1045">
        <v>0.28374161629343791</v>
      </c>
    </row>
    <row r="1046" spans="13:16">
      <c r="M1046">
        <v>0.29238177760794642</v>
      </c>
      <c r="N1046">
        <v>0.19311136264602607</v>
      </c>
      <c r="O1046">
        <v>0.24100007715325009</v>
      </c>
      <c r="P1046">
        <v>0.27350678259277739</v>
      </c>
    </row>
    <row r="1047" spans="13:16">
      <c r="M1047">
        <v>0.26665166990070216</v>
      </c>
      <c r="N1047">
        <v>0.17232270376782421</v>
      </c>
      <c r="O1047">
        <v>0.29965317175800843</v>
      </c>
      <c r="P1047">
        <v>0.26137245457346509</v>
      </c>
    </row>
    <row r="1048" spans="13:16">
      <c r="M1048">
        <v>0.30239437298182192</v>
      </c>
      <c r="N1048">
        <v>0.19835029027777845</v>
      </c>
      <c r="O1048">
        <v>0.23299563498683168</v>
      </c>
      <c r="P1048">
        <v>0.26625970175356806</v>
      </c>
    </row>
    <row r="1049" spans="13:16">
      <c r="M1049">
        <v>0.27005736536405606</v>
      </c>
      <c r="N1049">
        <v>0.19525517067293857</v>
      </c>
      <c r="O1049">
        <v>0.26914342850643419</v>
      </c>
      <c r="P1049">
        <v>0.26554403545657118</v>
      </c>
    </row>
    <row r="1050" spans="13:16">
      <c r="M1050">
        <v>0.27870920689285728</v>
      </c>
      <c r="N1050">
        <v>0.19482591235716654</v>
      </c>
      <c r="O1050">
        <v>0.26416662439401062</v>
      </c>
      <c r="P1050">
        <v>0.26229825635596565</v>
      </c>
    </row>
    <row r="1051" spans="13:16">
      <c r="M1051">
        <v>0.27018521784437627</v>
      </c>
      <c r="N1051">
        <v>0.18971853065063116</v>
      </c>
      <c r="O1051">
        <v>0.25791108039025673</v>
      </c>
      <c r="P1051">
        <v>0.2821851711147359</v>
      </c>
    </row>
    <row r="1052" spans="13:16">
      <c r="M1052">
        <v>0.28375544060097896</v>
      </c>
      <c r="N1052">
        <v>0.17580692546554538</v>
      </c>
      <c r="O1052">
        <v>0.29190799603947876</v>
      </c>
      <c r="P1052">
        <v>0.24852963789399693</v>
      </c>
    </row>
    <row r="1053" spans="13:16">
      <c r="M1053">
        <v>0.29071139777563276</v>
      </c>
      <c r="N1053">
        <v>0.17704767887072018</v>
      </c>
      <c r="O1053">
        <v>0.26029862894563244</v>
      </c>
      <c r="P1053">
        <v>0.27194229440801448</v>
      </c>
    </row>
    <row r="1054" spans="13:16">
      <c r="M1054">
        <v>0.3074508244350061</v>
      </c>
      <c r="N1054">
        <v>0.17518649494673874</v>
      </c>
      <c r="O1054">
        <v>0.23622304804488309</v>
      </c>
      <c r="P1054">
        <v>0.28113963257337204</v>
      </c>
    </row>
    <row r="1055" spans="13:16">
      <c r="M1055">
        <v>0.29463453636944936</v>
      </c>
      <c r="N1055">
        <v>0.18125674474676448</v>
      </c>
      <c r="O1055">
        <v>0.24233738168271113</v>
      </c>
      <c r="P1055">
        <v>0.281771337201075</v>
      </c>
    </row>
    <row r="1056" spans="13:16">
      <c r="M1056">
        <v>0.28998297290716685</v>
      </c>
      <c r="N1056">
        <v>0.18863554379715319</v>
      </c>
      <c r="O1056">
        <v>0.26495822330729463</v>
      </c>
      <c r="P1056">
        <v>0.25642325998838533</v>
      </c>
    </row>
    <row r="1057" spans="13:16">
      <c r="M1057">
        <v>0.27658972512181601</v>
      </c>
      <c r="N1057">
        <v>0.1832076296284163</v>
      </c>
      <c r="O1057">
        <v>0.26012056661655641</v>
      </c>
      <c r="P1057">
        <v>0.28008207863321133</v>
      </c>
    </row>
    <row r="1058" spans="13:16">
      <c r="M1058">
        <v>0.2708598993518691</v>
      </c>
      <c r="N1058">
        <v>0.19385119636427345</v>
      </c>
      <c r="O1058">
        <v>0.26759618665159063</v>
      </c>
      <c r="P1058">
        <v>0.26769271763226693</v>
      </c>
    </row>
    <row r="1059" spans="13:16">
      <c r="M1059">
        <v>0.32038508652977821</v>
      </c>
      <c r="N1059">
        <v>0.19586217592761451</v>
      </c>
      <c r="O1059">
        <v>0.21946196273856522</v>
      </c>
      <c r="P1059">
        <v>0.26429077480404206</v>
      </c>
    </row>
    <row r="1060" spans="13:16">
      <c r="M1060">
        <v>0.29129403044962759</v>
      </c>
      <c r="N1060">
        <v>0.16907399274959525</v>
      </c>
      <c r="O1060">
        <v>0.29173142797770657</v>
      </c>
      <c r="P1060">
        <v>0.24790054882307053</v>
      </c>
    </row>
    <row r="1061" spans="13:16">
      <c r="M1061">
        <v>0.30814201508697342</v>
      </c>
      <c r="N1061">
        <v>0.1860449270408156</v>
      </c>
      <c r="O1061">
        <v>0.24855856921685274</v>
      </c>
      <c r="P1061">
        <v>0.25725448865535833</v>
      </c>
    </row>
    <row r="1062" spans="13:16">
      <c r="M1062">
        <v>0.26279924348200473</v>
      </c>
      <c r="N1062">
        <v>0.18743452412578032</v>
      </c>
      <c r="O1062">
        <v>0.295589800618348</v>
      </c>
      <c r="P1062">
        <v>0.25417643177386701</v>
      </c>
    </row>
    <row r="1063" spans="13:16">
      <c r="M1063">
        <v>0.2849662892246751</v>
      </c>
      <c r="N1063">
        <v>0.20779534390966364</v>
      </c>
      <c r="O1063">
        <v>0.2460985109188584</v>
      </c>
      <c r="P1063">
        <v>0.26113985594680272</v>
      </c>
    </row>
    <row r="1064" spans="13:16">
      <c r="M1064">
        <v>0.30770793809237795</v>
      </c>
      <c r="N1064">
        <v>0.18244694925135263</v>
      </c>
      <c r="O1064">
        <v>0.24199795502892546</v>
      </c>
      <c r="P1064">
        <v>0.26784715762734412</v>
      </c>
    </row>
    <row r="1065" spans="13:16">
      <c r="M1065">
        <v>0.30518849943016418</v>
      </c>
      <c r="N1065">
        <v>0.18728592265637017</v>
      </c>
      <c r="O1065">
        <v>0.24076751357407333</v>
      </c>
      <c r="P1065">
        <v>0.26675806433939242</v>
      </c>
    </row>
    <row r="1066" spans="13:16">
      <c r="M1066">
        <v>0.29006589098305147</v>
      </c>
      <c r="N1066">
        <v>0.17756513217341641</v>
      </c>
      <c r="O1066">
        <v>0.26180221137391901</v>
      </c>
      <c r="P1066">
        <v>0.27056676546961317</v>
      </c>
    </row>
    <row r="1067" spans="13:16">
      <c r="M1067">
        <v>0.31007122716157581</v>
      </c>
      <c r="N1067">
        <v>0.19556506525342485</v>
      </c>
      <c r="O1067">
        <v>0.23330042738924917</v>
      </c>
      <c r="P1067">
        <v>0.2610632801957502</v>
      </c>
    </row>
    <row r="1068" spans="13:16">
      <c r="M1068">
        <v>0.29214455548276574</v>
      </c>
      <c r="N1068">
        <v>0.16644868837780213</v>
      </c>
      <c r="O1068">
        <v>0.29554992505944716</v>
      </c>
      <c r="P1068">
        <v>0.24585683107998504</v>
      </c>
    </row>
    <row r="1069" spans="13:16">
      <c r="M1069">
        <v>0.29124122368560734</v>
      </c>
      <c r="N1069">
        <v>0.17031900818082696</v>
      </c>
      <c r="O1069">
        <v>0.29424126218307078</v>
      </c>
      <c r="P1069">
        <v>0.24419850595049489</v>
      </c>
    </row>
    <row r="1070" spans="13:16">
      <c r="M1070">
        <v>0.28708580620597524</v>
      </c>
      <c r="N1070">
        <v>0.18334117431883629</v>
      </c>
      <c r="O1070">
        <v>0.27745839194431859</v>
      </c>
      <c r="P1070">
        <v>0.25211462753086988</v>
      </c>
    </row>
    <row r="1071" spans="13:16">
      <c r="M1071">
        <v>0.30788481655676264</v>
      </c>
      <c r="N1071">
        <v>0.17838576549070609</v>
      </c>
      <c r="O1071">
        <v>0.25229625901776553</v>
      </c>
      <c r="P1071">
        <v>0.26143315893476571</v>
      </c>
    </row>
    <row r="1072" spans="13:16">
      <c r="M1072">
        <v>0.32836816455849727</v>
      </c>
      <c r="N1072">
        <v>0.17809039765186749</v>
      </c>
      <c r="O1072">
        <v>0.22842255290295813</v>
      </c>
      <c r="P1072">
        <v>0.26511888488667712</v>
      </c>
    </row>
    <row r="1073" spans="13:16">
      <c r="M1073">
        <v>0.29109400825334147</v>
      </c>
      <c r="N1073">
        <v>0.17981190035084357</v>
      </c>
      <c r="O1073">
        <v>0.27924660826777792</v>
      </c>
      <c r="P1073">
        <v>0.24984748312803701</v>
      </c>
    </row>
    <row r="1074" spans="13:16">
      <c r="M1074">
        <v>0.29744251132689314</v>
      </c>
      <c r="N1074">
        <v>0.17907302246071499</v>
      </c>
      <c r="O1074">
        <v>0.25443366674578771</v>
      </c>
      <c r="P1074">
        <v>0.26905079946660415</v>
      </c>
    </row>
    <row r="1075" spans="13:16">
      <c r="M1075">
        <v>0.28838008953986533</v>
      </c>
      <c r="N1075">
        <v>0.18167359944261863</v>
      </c>
      <c r="O1075">
        <v>0.26620652506989384</v>
      </c>
      <c r="P1075">
        <v>0.26373978594762232</v>
      </c>
    </row>
    <row r="1076" spans="13:16">
      <c r="M1076">
        <v>0.27327031415960223</v>
      </c>
      <c r="N1076">
        <v>0.19224961035388022</v>
      </c>
      <c r="O1076">
        <v>0.27523859003109713</v>
      </c>
      <c r="P1076">
        <v>0.25924148545542058</v>
      </c>
    </row>
    <row r="1077" spans="13:16">
      <c r="M1077">
        <v>0.29839235703234424</v>
      </c>
      <c r="N1077">
        <v>0.20447574351766057</v>
      </c>
      <c r="O1077">
        <v>0.2218610829072232</v>
      </c>
      <c r="P1077">
        <v>0.27527081654277208</v>
      </c>
    </row>
    <row r="1078" spans="13:16">
      <c r="M1078">
        <v>0.2998415762264795</v>
      </c>
      <c r="N1078">
        <v>0.18810504154027782</v>
      </c>
      <c r="O1078">
        <v>0.23937970748335599</v>
      </c>
      <c r="P1078">
        <v>0.27267367474988669</v>
      </c>
    </row>
    <row r="1079" spans="13:16">
      <c r="M1079">
        <v>0.30498002374554756</v>
      </c>
      <c r="N1079">
        <v>0.1697877910046941</v>
      </c>
      <c r="O1079">
        <v>0.29447317707045001</v>
      </c>
      <c r="P1079">
        <v>0.23075900817930847</v>
      </c>
    </row>
    <row r="1080" spans="13:16">
      <c r="M1080">
        <v>0.29363616818254906</v>
      </c>
      <c r="N1080">
        <v>0.16975347867005891</v>
      </c>
      <c r="O1080">
        <v>0.28466376542317534</v>
      </c>
      <c r="P1080">
        <v>0.25194658772421674</v>
      </c>
    </row>
    <row r="1081" spans="13:16">
      <c r="M1081">
        <v>0.28277552052608801</v>
      </c>
      <c r="N1081">
        <v>0.18287939357629324</v>
      </c>
      <c r="O1081">
        <v>0.26013053915279893</v>
      </c>
      <c r="P1081">
        <v>0.27421454674481982</v>
      </c>
    </row>
    <row r="1082" spans="13:16">
      <c r="M1082">
        <v>0.2861807805258626</v>
      </c>
      <c r="N1082">
        <v>0.17322011013210714</v>
      </c>
      <c r="O1082">
        <v>0.29352568575054061</v>
      </c>
      <c r="P1082">
        <v>0.24707342359148965</v>
      </c>
    </row>
    <row r="1083" spans="13:16">
      <c r="M1083">
        <v>0.31518374334039501</v>
      </c>
      <c r="N1083">
        <v>0.16821633279914083</v>
      </c>
      <c r="O1083">
        <v>0.26514115483660894</v>
      </c>
      <c r="P1083">
        <v>0.25145876902385522</v>
      </c>
    </row>
    <row r="1084" spans="13:16">
      <c r="M1084">
        <v>0.30266119911138867</v>
      </c>
      <c r="N1084">
        <v>0.18465283035002392</v>
      </c>
      <c r="O1084">
        <v>0.24085526847874453</v>
      </c>
      <c r="P1084">
        <v>0.27183070205984289</v>
      </c>
    </row>
    <row r="1085" spans="13:16">
      <c r="M1085">
        <v>0.28911647785083061</v>
      </c>
      <c r="N1085">
        <v>0.18298675232170949</v>
      </c>
      <c r="O1085">
        <v>0.25109885463037912</v>
      </c>
      <c r="P1085">
        <v>0.2767979151970808</v>
      </c>
    </row>
    <row r="1086" spans="13:16">
      <c r="M1086">
        <v>0.27797622847579395</v>
      </c>
      <c r="N1086">
        <v>0.18420037694539615</v>
      </c>
      <c r="O1086">
        <v>0.28436099573927853</v>
      </c>
      <c r="P1086">
        <v>0.25346239883953137</v>
      </c>
    </row>
    <row r="1087" spans="13:16">
      <c r="M1087">
        <v>0.28034475673710929</v>
      </c>
      <c r="N1087">
        <v>0.18801198020103435</v>
      </c>
      <c r="O1087">
        <v>0.26150325836845617</v>
      </c>
      <c r="P1087">
        <v>0.27014000469340005</v>
      </c>
    </row>
    <row r="1088" spans="13:16">
      <c r="M1088">
        <v>0.28409326130514634</v>
      </c>
      <c r="N1088">
        <v>0.17391948194837298</v>
      </c>
      <c r="O1088">
        <v>0.28339396326774624</v>
      </c>
      <c r="P1088">
        <v>0.2585932934787345</v>
      </c>
    </row>
    <row r="1089" spans="13:16">
      <c r="M1089">
        <v>0.26932190452057808</v>
      </c>
      <c r="N1089">
        <v>0.21236529343744279</v>
      </c>
      <c r="O1089">
        <v>0.24823877404608244</v>
      </c>
      <c r="P1089">
        <v>0.2700740279958968</v>
      </c>
    </row>
    <row r="1090" spans="13:16">
      <c r="M1090">
        <v>0.29527715660230625</v>
      </c>
      <c r="N1090">
        <v>0.19074520179003704</v>
      </c>
      <c r="O1090">
        <v>0.2516674050878635</v>
      </c>
      <c r="P1090">
        <v>0.26231023651979318</v>
      </c>
    </row>
    <row r="1091" spans="13:16">
      <c r="M1091">
        <v>0.29117703782793486</v>
      </c>
      <c r="N1091">
        <v>0.18800909185004155</v>
      </c>
      <c r="O1091">
        <v>0.26075097401152342</v>
      </c>
      <c r="P1091">
        <v>0.26006289631050017</v>
      </c>
    </row>
    <row r="1092" spans="13:16">
      <c r="M1092">
        <v>0.29417962810317472</v>
      </c>
      <c r="N1092">
        <v>0.18738485828151372</v>
      </c>
      <c r="O1092">
        <v>0.2528865794632208</v>
      </c>
      <c r="P1092">
        <v>0.26554893415209085</v>
      </c>
    </row>
    <row r="1093" spans="13:16">
      <c r="M1093">
        <v>0.26484727738697877</v>
      </c>
      <c r="N1093">
        <v>0.21255455435314483</v>
      </c>
      <c r="O1093">
        <v>0.24760930850848531</v>
      </c>
      <c r="P1093">
        <v>0.2749888597513912</v>
      </c>
    </row>
    <row r="1094" spans="13:16">
      <c r="M1094">
        <v>0.3112508040943191</v>
      </c>
      <c r="N1094">
        <v>0.18626572348070211</v>
      </c>
      <c r="O1094">
        <v>0.24468148246484589</v>
      </c>
      <c r="P1094">
        <v>0.25780198996013298</v>
      </c>
    </row>
    <row r="1095" spans="13:16">
      <c r="M1095">
        <v>0.31079997524921427</v>
      </c>
      <c r="N1095">
        <v>0.17638721790563053</v>
      </c>
      <c r="O1095">
        <v>0.25736623231277167</v>
      </c>
      <c r="P1095">
        <v>0.2554465745323834</v>
      </c>
    </row>
    <row r="1096" spans="13:16">
      <c r="M1096">
        <v>0.27950949718685841</v>
      </c>
      <c r="N1096">
        <v>0.19441686259436045</v>
      </c>
      <c r="O1096">
        <v>0.25472068392268515</v>
      </c>
      <c r="P1096">
        <v>0.27135295629609585</v>
      </c>
    </row>
    <row r="1097" spans="13:16">
      <c r="M1097">
        <v>0.29143491099627133</v>
      </c>
      <c r="N1097">
        <v>0.18451773966518209</v>
      </c>
      <c r="O1097">
        <v>0.26580573719150929</v>
      </c>
      <c r="P1097">
        <v>0.25824161214703723</v>
      </c>
    </row>
    <row r="1098" spans="13:16">
      <c r="M1098">
        <v>0.27220172085978939</v>
      </c>
      <c r="N1098">
        <v>0.18101759730114961</v>
      </c>
      <c r="O1098">
        <v>0.29312566852186622</v>
      </c>
      <c r="P1098">
        <v>0.2536550133171947</v>
      </c>
    </row>
    <row r="1099" spans="13:16">
      <c r="M1099">
        <v>0.28046436333148667</v>
      </c>
      <c r="N1099">
        <v>0.17668378944669663</v>
      </c>
      <c r="O1099">
        <v>0.29521491690492935</v>
      </c>
      <c r="P1099">
        <v>0.24763693031688749</v>
      </c>
    </row>
    <row r="1100" spans="13:16">
      <c r="M1100">
        <v>0.28300070462865073</v>
      </c>
      <c r="N1100">
        <v>0.19889819933713906</v>
      </c>
      <c r="O1100">
        <v>0.24109211600693742</v>
      </c>
      <c r="P1100">
        <v>0.27700898002727281</v>
      </c>
    </row>
    <row r="1101" spans="13:16">
      <c r="M1101">
        <v>0.27382494794677958</v>
      </c>
      <c r="N1101">
        <v>0.20152550543674413</v>
      </c>
      <c r="O1101">
        <v>0.26425709296411776</v>
      </c>
      <c r="P1101">
        <v>0.26039245365235847</v>
      </c>
    </row>
    <row r="1102" spans="13:16">
      <c r="M1102">
        <v>0.27275188578745863</v>
      </c>
      <c r="N1102">
        <v>0.20065928618438003</v>
      </c>
      <c r="O1102">
        <v>0.27556120277113072</v>
      </c>
      <c r="P1102">
        <v>0.25102762525703054</v>
      </c>
    </row>
    <row r="1103" spans="13:16">
      <c r="M1103">
        <v>0.28751251111096882</v>
      </c>
      <c r="N1103">
        <v>0.16872158887171818</v>
      </c>
      <c r="O1103">
        <v>0.29345732077858599</v>
      </c>
      <c r="P1103">
        <v>0.25030857923872696</v>
      </c>
    </row>
    <row r="1104" spans="13:16">
      <c r="M1104">
        <v>0.31500445706885205</v>
      </c>
      <c r="N1104">
        <v>0.17492177383727756</v>
      </c>
      <c r="O1104">
        <v>0.24716676004916294</v>
      </c>
      <c r="P1104">
        <v>0.26290700904470743</v>
      </c>
    </row>
    <row r="1105" spans="13:16">
      <c r="M1105">
        <v>0.28116904006022347</v>
      </c>
      <c r="N1105">
        <v>0.18816314053082492</v>
      </c>
      <c r="O1105">
        <v>0.27506396517492521</v>
      </c>
      <c r="P1105">
        <v>0.25560385423402654</v>
      </c>
    </row>
    <row r="1106" spans="13:16">
      <c r="M1106">
        <v>0.30342109606388218</v>
      </c>
      <c r="N1106">
        <v>0.17241200721019975</v>
      </c>
      <c r="O1106">
        <v>0.26255922767970258</v>
      </c>
      <c r="P1106">
        <v>0.26160766904621546</v>
      </c>
    </row>
    <row r="1107" spans="13:16">
      <c r="M1107">
        <v>0.26255737114925454</v>
      </c>
      <c r="N1107">
        <v>0.19990897123525439</v>
      </c>
      <c r="O1107">
        <v>0.28458949314577847</v>
      </c>
      <c r="P1107">
        <v>0.25294416446971257</v>
      </c>
    </row>
    <row r="1108" spans="13:16">
      <c r="M1108">
        <v>0.28692702520721303</v>
      </c>
      <c r="N1108">
        <v>0.16622338043429621</v>
      </c>
      <c r="O1108">
        <v>0.28804286105712756</v>
      </c>
      <c r="P1108">
        <v>0.25880673330136311</v>
      </c>
    </row>
    <row r="1109" spans="13:16">
      <c r="M1109">
        <v>0.29492054871538564</v>
      </c>
      <c r="N1109">
        <v>0.18822783745648136</v>
      </c>
      <c r="O1109">
        <v>0.25221923743322999</v>
      </c>
      <c r="P1109">
        <v>0.26463237639490289</v>
      </c>
    </row>
    <row r="1110" spans="13:16">
      <c r="M1110">
        <v>0.29971417763343305</v>
      </c>
      <c r="N1110">
        <v>0.19173501961599865</v>
      </c>
      <c r="O1110">
        <v>0.23603870238452146</v>
      </c>
      <c r="P1110">
        <v>0.27251210036604684</v>
      </c>
    </row>
    <row r="1111" spans="13:16">
      <c r="M1111">
        <v>0.30214395339216771</v>
      </c>
      <c r="N1111">
        <v>0.19512864170376246</v>
      </c>
      <c r="O1111">
        <v>0.23433599790522433</v>
      </c>
      <c r="P1111">
        <v>0.26839140699884562</v>
      </c>
    </row>
    <row r="1112" spans="13:16">
      <c r="M1112">
        <v>0.25971565737040869</v>
      </c>
      <c r="N1112">
        <v>0.198647699968201</v>
      </c>
      <c r="O1112">
        <v>0.2747566364554872</v>
      </c>
      <c r="P1112">
        <v>0.26688000620590308</v>
      </c>
    </row>
    <row r="1113" spans="13:16">
      <c r="M1113">
        <v>0.289382449557264</v>
      </c>
      <c r="N1113">
        <v>0.19007492289344141</v>
      </c>
      <c r="O1113">
        <v>0.25563075352132852</v>
      </c>
      <c r="P1113">
        <v>0.26491187402796601</v>
      </c>
    </row>
    <row r="1114" spans="13:16">
      <c r="M1114">
        <v>0.30424962027476382</v>
      </c>
      <c r="N1114">
        <v>0.18894761829455484</v>
      </c>
      <c r="O1114">
        <v>0.23864619715041621</v>
      </c>
      <c r="P1114">
        <v>0.26815656428026519</v>
      </c>
    </row>
    <row r="1115" spans="13:16">
      <c r="M1115">
        <v>0.26832073367393378</v>
      </c>
      <c r="N1115">
        <v>0.19303237346656291</v>
      </c>
      <c r="O1115">
        <v>0.26113524422366013</v>
      </c>
      <c r="P1115">
        <v>0.27751164863584316</v>
      </c>
    </row>
    <row r="1116" spans="13:16">
      <c r="M1116">
        <v>0.27678815585573657</v>
      </c>
      <c r="N1116">
        <v>0.19502837262104764</v>
      </c>
      <c r="O1116">
        <v>0.25235396688104572</v>
      </c>
      <c r="P1116">
        <v>0.27582950464217004</v>
      </c>
    </row>
    <row r="1117" spans="13:16">
      <c r="M1117">
        <v>0.2808997864602133</v>
      </c>
      <c r="N1117">
        <v>0.18972480487376497</v>
      </c>
      <c r="O1117">
        <v>0.26278245696454211</v>
      </c>
      <c r="P1117">
        <v>0.26659295170147967</v>
      </c>
    </row>
    <row r="1118" spans="13:16">
      <c r="M1118">
        <v>0.29052587337707703</v>
      </c>
      <c r="N1118">
        <v>0.19659949980367278</v>
      </c>
      <c r="O1118">
        <v>0.24613647818226139</v>
      </c>
      <c r="P1118">
        <v>0.26673814863698869</v>
      </c>
    </row>
    <row r="1119" spans="13:16">
      <c r="M1119">
        <v>0.29521531764584413</v>
      </c>
      <c r="N1119">
        <v>0.17376988662460705</v>
      </c>
      <c r="O1119">
        <v>0.27593813992266458</v>
      </c>
      <c r="P1119">
        <v>0.25507665580688432</v>
      </c>
    </row>
    <row r="1120" spans="13:16">
      <c r="M1120">
        <v>0.2944654213062215</v>
      </c>
      <c r="N1120">
        <v>0.17853096605053242</v>
      </c>
      <c r="O1120">
        <v>0.26363826879842445</v>
      </c>
      <c r="P1120">
        <v>0.26336534384482152</v>
      </c>
    </row>
    <row r="1121" spans="13:16">
      <c r="M1121">
        <v>0.31321101448675237</v>
      </c>
      <c r="N1121">
        <v>0.1744075803076392</v>
      </c>
      <c r="O1121">
        <v>0.25410713796570339</v>
      </c>
      <c r="P1121">
        <v>0.25827426723990504</v>
      </c>
    </row>
    <row r="1122" spans="13:16">
      <c r="M1122">
        <v>0.29292903356857936</v>
      </c>
      <c r="N1122">
        <v>0.19243740406366222</v>
      </c>
      <c r="O1122">
        <v>0.24425614784198588</v>
      </c>
      <c r="P1122">
        <v>0.27037741452577252</v>
      </c>
    </row>
    <row r="1123" spans="13:16">
      <c r="M1123">
        <v>0.26762918430635557</v>
      </c>
      <c r="N1123">
        <v>0.21111879308369874</v>
      </c>
      <c r="O1123">
        <v>0.24878106773801931</v>
      </c>
      <c r="P1123">
        <v>0.2724709548719263</v>
      </c>
    </row>
    <row r="1124" spans="13:16">
      <c r="M1124">
        <v>0.310125075013574</v>
      </c>
      <c r="N1124">
        <v>0.17607637142463403</v>
      </c>
      <c r="O1124">
        <v>0.26753489231068606</v>
      </c>
      <c r="P1124">
        <v>0.24626366125110596</v>
      </c>
    </row>
    <row r="1125" spans="13:16">
      <c r="M1125">
        <v>0.29913695429090997</v>
      </c>
      <c r="N1125">
        <v>0.18125953025595948</v>
      </c>
      <c r="O1125">
        <v>0.24503036834389885</v>
      </c>
      <c r="P1125">
        <v>0.27457314710923175</v>
      </c>
    </row>
    <row r="1126" spans="13:16">
      <c r="M1126">
        <v>0.33425446543945969</v>
      </c>
      <c r="N1126">
        <v>0.15628296856601787</v>
      </c>
      <c r="O1126">
        <v>0.26082120747104459</v>
      </c>
      <c r="P1126">
        <v>0.24864135852347796</v>
      </c>
    </row>
    <row r="1127" spans="13:16">
      <c r="M1127">
        <v>0.28247836699189155</v>
      </c>
      <c r="N1127">
        <v>0.20774165895761734</v>
      </c>
      <c r="O1127">
        <v>0.24330454345649885</v>
      </c>
      <c r="P1127">
        <v>0.2664754305939922</v>
      </c>
    </row>
    <row r="1128" spans="13:16">
      <c r="M1128">
        <v>0.28394769172647205</v>
      </c>
      <c r="N1128">
        <v>0.18479302804802608</v>
      </c>
      <c r="O1128">
        <v>0.28424752769442369</v>
      </c>
      <c r="P1128">
        <v>0.24701175253107821</v>
      </c>
    </row>
    <row r="1129" spans="13:16">
      <c r="M1129">
        <v>0.26839852742158021</v>
      </c>
      <c r="N1129">
        <v>0.18194694058315844</v>
      </c>
      <c r="O1129">
        <v>0.26966691861300457</v>
      </c>
      <c r="P1129">
        <v>0.27998761338225681</v>
      </c>
    </row>
    <row r="1130" spans="13:16">
      <c r="M1130">
        <v>0.32440162945901241</v>
      </c>
      <c r="N1130">
        <v>0.17967153645985245</v>
      </c>
      <c r="O1130">
        <v>0.23439334832975459</v>
      </c>
      <c r="P1130">
        <v>0.26153348575138036</v>
      </c>
    </row>
    <row r="1131" spans="13:16">
      <c r="M1131">
        <v>0.27605402021401854</v>
      </c>
      <c r="N1131">
        <v>0.20546760177967613</v>
      </c>
      <c r="O1131">
        <v>0.25934631842782252</v>
      </c>
      <c r="P1131">
        <v>0.25913205957848279</v>
      </c>
    </row>
    <row r="1132" spans="13:16">
      <c r="M1132">
        <v>0.31232047574243371</v>
      </c>
      <c r="N1132">
        <v>0.18346025938276567</v>
      </c>
      <c r="O1132">
        <v>0.22485342098862679</v>
      </c>
      <c r="P1132">
        <v>0.27936584388617391</v>
      </c>
    </row>
    <row r="1133" spans="13:16">
      <c r="M1133">
        <v>0.29486731573341329</v>
      </c>
      <c r="N1133">
        <v>0.17718612908675468</v>
      </c>
      <c r="O1133">
        <v>0.25752528112601031</v>
      </c>
      <c r="P1133">
        <v>0.27042127405382188</v>
      </c>
    </row>
    <row r="1134" spans="13:16">
      <c r="M1134">
        <v>0.27550765079149642</v>
      </c>
      <c r="N1134">
        <v>0.18935480790625336</v>
      </c>
      <c r="O1134">
        <v>0.26379634155593029</v>
      </c>
      <c r="P1134">
        <v>0.27134119974631987</v>
      </c>
    </row>
    <row r="1135" spans="13:16">
      <c r="M1135">
        <v>0.28578963895052983</v>
      </c>
      <c r="N1135">
        <v>0.180439896254774</v>
      </c>
      <c r="O1135">
        <v>0.27387090861723545</v>
      </c>
      <c r="P1135">
        <v>0.25989955617746063</v>
      </c>
    </row>
    <row r="1136" spans="13:16">
      <c r="M1136">
        <v>0.27905077550685509</v>
      </c>
      <c r="N1136">
        <v>0.17575387826083416</v>
      </c>
      <c r="O1136">
        <v>0.2779418510884174</v>
      </c>
      <c r="P1136">
        <v>0.2672534951438934</v>
      </c>
    </row>
    <row r="1137" spans="13:16">
      <c r="M1137">
        <v>0.31519064238716304</v>
      </c>
      <c r="N1137">
        <v>0.17419411881985977</v>
      </c>
      <c r="O1137">
        <v>0.25858801345158516</v>
      </c>
      <c r="P1137">
        <v>0.2520272253413921</v>
      </c>
    </row>
    <row r="1138" spans="13:16">
      <c r="M1138">
        <v>0.29078091879103285</v>
      </c>
      <c r="N1138">
        <v>0.17777504373284025</v>
      </c>
      <c r="O1138">
        <v>0.26659038303212806</v>
      </c>
      <c r="P1138">
        <v>0.26485365444399883</v>
      </c>
    </row>
    <row r="1139" spans="13:16">
      <c r="M1139">
        <v>0.27875415292421463</v>
      </c>
      <c r="N1139">
        <v>0.18985810477281484</v>
      </c>
      <c r="O1139">
        <v>0.27599783883285051</v>
      </c>
      <c r="P1139">
        <v>0.25538990347012003</v>
      </c>
    </row>
    <row r="1140" spans="13:16">
      <c r="M1140">
        <v>0.29361918414949056</v>
      </c>
      <c r="N1140">
        <v>0.20404846665771242</v>
      </c>
      <c r="O1140">
        <v>0.23988878770901012</v>
      </c>
      <c r="P1140">
        <v>0.26244356148378684</v>
      </c>
    </row>
    <row r="1141" spans="13:16">
      <c r="M1141">
        <v>0.2849975374578877</v>
      </c>
      <c r="N1141">
        <v>0.18715149668684394</v>
      </c>
      <c r="O1141">
        <v>0.27378388375026769</v>
      </c>
      <c r="P1141">
        <v>0.25406708210500067</v>
      </c>
    </row>
    <row r="1142" spans="13:16">
      <c r="M1142">
        <v>0.31315820585313542</v>
      </c>
      <c r="N1142">
        <v>0.19085092572136361</v>
      </c>
      <c r="O1142">
        <v>0.23253924824926592</v>
      </c>
      <c r="P1142">
        <v>0.26345162017623519</v>
      </c>
    </row>
    <row r="1143" spans="13:16">
      <c r="M1143">
        <v>0.31130002087051317</v>
      </c>
      <c r="N1143">
        <v>0.18677303404877027</v>
      </c>
      <c r="O1143">
        <v>0.23191301233519548</v>
      </c>
      <c r="P1143">
        <v>0.2700139327455211</v>
      </c>
    </row>
    <row r="1144" spans="13:16">
      <c r="M1144">
        <v>0.29662263744657597</v>
      </c>
      <c r="N1144">
        <v>0.17886039583436519</v>
      </c>
      <c r="O1144">
        <v>0.2793716645359719</v>
      </c>
      <c r="P1144">
        <v>0.245145302183087</v>
      </c>
    </row>
    <row r="1145" spans="13:16">
      <c r="M1145">
        <v>0.29833795231166438</v>
      </c>
      <c r="N1145">
        <v>0.17147723671437301</v>
      </c>
      <c r="O1145">
        <v>0.28145776154045365</v>
      </c>
      <c r="P1145">
        <v>0.24872704943350885</v>
      </c>
    </row>
    <row r="1146" spans="13:16">
      <c r="M1146">
        <v>0.3074448645757773</v>
      </c>
      <c r="N1146">
        <v>0.20035985110392859</v>
      </c>
      <c r="O1146">
        <v>0.23817806333106853</v>
      </c>
      <c r="P1146">
        <v>0.25401722098922547</v>
      </c>
    </row>
    <row r="1147" spans="13:16">
      <c r="M1147">
        <v>0.29730943951029587</v>
      </c>
      <c r="N1147">
        <v>0.18854616551333303</v>
      </c>
      <c r="O1147">
        <v>0.25542214535074054</v>
      </c>
      <c r="P1147">
        <v>0.25872224962563062</v>
      </c>
    </row>
    <row r="1148" spans="13:16">
      <c r="M1148">
        <v>0.30084466260254478</v>
      </c>
      <c r="N1148">
        <v>0.16802010002728057</v>
      </c>
      <c r="O1148">
        <v>0.26850528293669745</v>
      </c>
      <c r="P1148">
        <v>0.26262995443347714</v>
      </c>
    </row>
    <row r="1149" spans="13:16">
      <c r="M1149">
        <v>0.29514842886719844</v>
      </c>
      <c r="N1149">
        <v>0.19216482311754324</v>
      </c>
      <c r="O1149">
        <v>0.24097719175424712</v>
      </c>
      <c r="P1149">
        <v>0.27170955626101123</v>
      </c>
    </row>
    <row r="1150" spans="13:16">
      <c r="M1150">
        <v>0.27820942264930898</v>
      </c>
      <c r="N1150">
        <v>0.18861392016451575</v>
      </c>
      <c r="O1150">
        <v>0.24738706684846742</v>
      </c>
      <c r="P1150">
        <v>0.28578959033770779</v>
      </c>
    </row>
    <row r="1151" spans="13:16">
      <c r="M1151">
        <v>0.30797394561595953</v>
      </c>
      <c r="N1151">
        <v>0.18682229899779929</v>
      </c>
      <c r="O1151">
        <v>0.24906171234642377</v>
      </c>
      <c r="P1151">
        <v>0.2561420430398173</v>
      </c>
    </row>
    <row r="1152" spans="13:16">
      <c r="M1152">
        <v>0.27037885965052733</v>
      </c>
      <c r="N1152">
        <v>0.19232887833960977</v>
      </c>
      <c r="O1152">
        <v>0.26220240755961544</v>
      </c>
      <c r="P1152">
        <v>0.27508985445024758</v>
      </c>
    </row>
    <row r="1153" spans="13:16">
      <c r="M1153">
        <v>0.27870620403632129</v>
      </c>
      <c r="N1153">
        <v>0.18511502970546456</v>
      </c>
      <c r="O1153">
        <v>0.27862154433027436</v>
      </c>
      <c r="P1153">
        <v>0.25755722192793995</v>
      </c>
    </row>
    <row r="1154" spans="13:16">
      <c r="M1154">
        <v>0.29977275903092238</v>
      </c>
      <c r="N1154">
        <v>0.17819399619141676</v>
      </c>
      <c r="O1154">
        <v>0.28155020342495884</v>
      </c>
      <c r="P1154">
        <v>0.24048304135270196</v>
      </c>
    </row>
    <row r="1155" spans="13:16">
      <c r="M1155">
        <v>0.30775659459197224</v>
      </c>
      <c r="N1155">
        <v>0.16948019458897934</v>
      </c>
      <c r="O1155">
        <v>0.25561238488968469</v>
      </c>
      <c r="P1155">
        <v>0.26715082592936362</v>
      </c>
    </row>
    <row r="1156" spans="13:16">
      <c r="M1156">
        <v>0.28563792438049657</v>
      </c>
      <c r="N1156">
        <v>0.20651445979220351</v>
      </c>
      <c r="O1156">
        <v>0.22947242844910806</v>
      </c>
      <c r="P1156">
        <v>0.27837518737819195</v>
      </c>
    </row>
    <row r="1157" spans="13:16">
      <c r="M1157">
        <v>0.28994023713420819</v>
      </c>
      <c r="N1157">
        <v>0.17410146142614277</v>
      </c>
      <c r="O1157">
        <v>0.28401603290388444</v>
      </c>
      <c r="P1157">
        <v>0.25194226853576446</v>
      </c>
    </row>
    <row r="1158" spans="13:16">
      <c r="M1158">
        <v>0.28609767707566031</v>
      </c>
      <c r="N1158">
        <v>0.20082866908219901</v>
      </c>
      <c r="O1158">
        <v>0.24113856060070726</v>
      </c>
      <c r="P1158">
        <v>0.27193509324143333</v>
      </c>
    </row>
    <row r="1159" spans="13:16">
      <c r="M1159">
        <v>0.30204820171630803</v>
      </c>
      <c r="N1159">
        <v>0.19183167169373724</v>
      </c>
      <c r="O1159">
        <v>0.24179654042401391</v>
      </c>
      <c r="P1159">
        <v>0.26432358616594082</v>
      </c>
    </row>
    <row r="1160" spans="13:16">
      <c r="M1160">
        <v>0.28240022933158465</v>
      </c>
      <c r="N1160">
        <v>0.17949146690232343</v>
      </c>
      <c r="O1160">
        <v>0.26925541619762522</v>
      </c>
      <c r="P1160">
        <v>0.2688528875684667</v>
      </c>
    </row>
    <row r="1161" spans="13:16">
      <c r="M1161">
        <v>0.29103731512665831</v>
      </c>
      <c r="N1161">
        <v>0.1827104770008304</v>
      </c>
      <c r="O1161">
        <v>0.2554357418410646</v>
      </c>
      <c r="P1161">
        <v>0.27081646603144671</v>
      </c>
    </row>
    <row r="1162" spans="13:16">
      <c r="M1162">
        <v>0.27593859119617381</v>
      </c>
      <c r="N1162">
        <v>0.19199187889763239</v>
      </c>
      <c r="O1162">
        <v>0.27750104297050354</v>
      </c>
      <c r="P1162">
        <v>0.25456848693569023</v>
      </c>
    </row>
    <row r="1163" spans="13:16">
      <c r="M1163">
        <v>0.27766768357900418</v>
      </c>
      <c r="N1163">
        <v>0.18362379518587943</v>
      </c>
      <c r="O1163">
        <v>0.2683536587348323</v>
      </c>
      <c r="P1163">
        <v>0.27035486250028401</v>
      </c>
    </row>
    <row r="1164" spans="13:16">
      <c r="M1164">
        <v>0.29385794942882421</v>
      </c>
      <c r="N1164">
        <v>0.18167140767228745</v>
      </c>
      <c r="O1164">
        <v>0.26134688303309522</v>
      </c>
      <c r="P1164">
        <v>0.26312375986579301</v>
      </c>
    </row>
    <row r="1165" spans="13:16">
      <c r="M1165">
        <v>0.29081099136129607</v>
      </c>
      <c r="N1165">
        <v>0.17743361814320494</v>
      </c>
      <c r="O1165">
        <v>0.26411944388073072</v>
      </c>
      <c r="P1165">
        <v>0.26763594661476819</v>
      </c>
    </row>
    <row r="1166" spans="13:16">
      <c r="M1166">
        <v>0.29313633102508518</v>
      </c>
      <c r="N1166">
        <v>0.18348119430938253</v>
      </c>
      <c r="O1166">
        <v>0.24665903251752833</v>
      </c>
      <c r="P1166">
        <v>0.27672344214800382</v>
      </c>
    </row>
    <row r="1167" spans="13:16">
      <c r="M1167">
        <v>0.29479677064459753</v>
      </c>
      <c r="N1167">
        <v>0.18306224271053106</v>
      </c>
      <c r="O1167">
        <v>0.26022468946557853</v>
      </c>
      <c r="P1167">
        <v>0.26191629717929282</v>
      </c>
    </row>
    <row r="1168" spans="13:16">
      <c r="M1168">
        <v>0.31703728998334513</v>
      </c>
      <c r="N1168">
        <v>0.17954961441449035</v>
      </c>
      <c r="O1168">
        <v>0.2311871649504155</v>
      </c>
      <c r="P1168">
        <v>0.2722259306517491</v>
      </c>
    </row>
    <row r="1169" spans="13:16">
      <c r="M1169">
        <v>0.26701864011710424</v>
      </c>
      <c r="N1169">
        <v>0.2097093411963977</v>
      </c>
      <c r="O1169">
        <v>0.25854040144610507</v>
      </c>
      <c r="P1169">
        <v>0.26473161724039301</v>
      </c>
    </row>
    <row r="1170" spans="13:16">
      <c r="M1170">
        <v>0.27397650294833764</v>
      </c>
      <c r="N1170">
        <v>0.19814847587170203</v>
      </c>
      <c r="O1170">
        <v>0.26699344570997963</v>
      </c>
      <c r="P1170">
        <v>0.2608815754699807</v>
      </c>
    </row>
    <row r="1171" spans="13:16">
      <c r="M1171">
        <v>0.31218941268998696</v>
      </c>
      <c r="N1171">
        <v>0.17250933997166709</v>
      </c>
      <c r="O1171">
        <v>0.24045522667831873</v>
      </c>
      <c r="P1171">
        <v>0.27484602066002717</v>
      </c>
    </row>
    <row r="1172" spans="13:16">
      <c r="M1172">
        <v>0.33312410010078236</v>
      </c>
      <c r="N1172">
        <v>0.16780221787042737</v>
      </c>
      <c r="O1172">
        <v>0.2386195885671924</v>
      </c>
      <c r="P1172">
        <v>0.26045409346159787</v>
      </c>
    </row>
    <row r="1173" spans="13:16">
      <c r="M1173">
        <v>0.28625608838978911</v>
      </c>
      <c r="N1173">
        <v>0.18241845698758138</v>
      </c>
      <c r="O1173">
        <v>0.2646116018445489</v>
      </c>
      <c r="P1173">
        <v>0.26671385277808057</v>
      </c>
    </row>
    <row r="1174" spans="13:16">
      <c r="M1174">
        <v>0.32272294460406004</v>
      </c>
      <c r="N1174">
        <v>0.19001933894454009</v>
      </c>
      <c r="O1174">
        <v>0.23384526613329745</v>
      </c>
      <c r="P1174">
        <v>0.25341245031810244</v>
      </c>
    </row>
    <row r="1175" spans="13:16">
      <c r="M1175">
        <v>0.29290728049688158</v>
      </c>
      <c r="N1175">
        <v>0.19181817833058201</v>
      </c>
      <c r="O1175">
        <v>0.22127343333082247</v>
      </c>
      <c r="P1175">
        <v>0.29400110784171379</v>
      </c>
    </row>
    <row r="1176" spans="13:16">
      <c r="M1176">
        <v>0.26942423379319808</v>
      </c>
      <c r="N1176">
        <v>0.19093609695043418</v>
      </c>
      <c r="O1176">
        <v>0.27365121714029739</v>
      </c>
      <c r="P1176">
        <v>0.26598845211607036</v>
      </c>
    </row>
    <row r="1177" spans="13:16">
      <c r="M1177">
        <v>0.28744165501705576</v>
      </c>
      <c r="N1177">
        <v>0.18634291656511132</v>
      </c>
      <c r="O1177">
        <v>0.26233433562407038</v>
      </c>
      <c r="P1177">
        <v>0.26388109279376265</v>
      </c>
    </row>
    <row r="1178" spans="13:16">
      <c r="M1178">
        <v>0.26775711509910588</v>
      </c>
      <c r="N1178">
        <v>0.20528335174849116</v>
      </c>
      <c r="O1178">
        <v>0.26902219768777247</v>
      </c>
      <c r="P1178">
        <v>0.25793733546463044</v>
      </c>
    </row>
    <row r="1179" spans="13:16">
      <c r="M1179">
        <v>0.3048834353459835</v>
      </c>
      <c r="N1179">
        <v>0.18033036711898459</v>
      </c>
      <c r="O1179">
        <v>0.27012308641602512</v>
      </c>
      <c r="P1179">
        <v>0.2446631111190069</v>
      </c>
    </row>
    <row r="1180" spans="13:16">
      <c r="M1180">
        <v>0.25653593508576872</v>
      </c>
      <c r="N1180">
        <v>0.2061213501462705</v>
      </c>
      <c r="O1180">
        <v>0.27339614119471983</v>
      </c>
      <c r="P1180">
        <v>0.26394657357324097</v>
      </c>
    </row>
    <row r="1181" spans="13:16">
      <c r="M1181">
        <v>0.30618385494128592</v>
      </c>
      <c r="N1181">
        <v>0.17869080033527324</v>
      </c>
      <c r="O1181">
        <v>0.24511572375526883</v>
      </c>
      <c r="P1181">
        <v>0.2700096209681721</v>
      </c>
    </row>
    <row r="1182" spans="13:16">
      <c r="M1182">
        <v>0.31457955822912309</v>
      </c>
      <c r="N1182">
        <v>0.18861283517679109</v>
      </c>
      <c r="O1182">
        <v>0.23724932601498666</v>
      </c>
      <c r="P1182">
        <v>0.25955828057909908</v>
      </c>
    </row>
    <row r="1183" spans="13:16">
      <c r="M1183">
        <v>0.30361014791614871</v>
      </c>
      <c r="N1183">
        <v>0.20159478856801283</v>
      </c>
      <c r="O1183">
        <v>0.22747746601728822</v>
      </c>
      <c r="P1183">
        <v>0.26731759749855033</v>
      </c>
    </row>
    <row r="1184" spans="13:16">
      <c r="M1184">
        <v>0.29295038192233047</v>
      </c>
      <c r="N1184">
        <v>0.1788594504155526</v>
      </c>
      <c r="O1184">
        <v>0.26240920043015808</v>
      </c>
      <c r="P1184">
        <v>0.26578096723195899</v>
      </c>
    </row>
    <row r="1185" spans="13:16">
      <c r="M1185">
        <v>0.30426171403793434</v>
      </c>
      <c r="N1185">
        <v>0.17929162510142962</v>
      </c>
      <c r="O1185">
        <v>0.24506121031363398</v>
      </c>
      <c r="P1185">
        <v>0.27138545054700197</v>
      </c>
    </row>
    <row r="1186" spans="13:16">
      <c r="M1186">
        <v>0.27797227445382133</v>
      </c>
      <c r="N1186">
        <v>0.18932275888162128</v>
      </c>
      <c r="O1186">
        <v>0.25631478724015566</v>
      </c>
      <c r="P1186">
        <v>0.27639017942440164</v>
      </c>
    </row>
    <row r="1187" spans="13:16">
      <c r="M1187">
        <v>0.29638588423903084</v>
      </c>
      <c r="N1187">
        <v>0.20462587348519748</v>
      </c>
      <c r="O1187">
        <v>0.23575987040777985</v>
      </c>
      <c r="P1187">
        <v>0.26322837186799192</v>
      </c>
    </row>
    <row r="1188" spans="13:16">
      <c r="M1188">
        <v>0.2915873398246987</v>
      </c>
      <c r="N1188">
        <v>0.18373800262166412</v>
      </c>
      <c r="O1188">
        <v>0.27665485704502424</v>
      </c>
      <c r="P1188">
        <v>0.248019800508613</v>
      </c>
    </row>
    <row r="1189" spans="13:16">
      <c r="M1189">
        <v>0.32140430159067779</v>
      </c>
      <c r="N1189">
        <v>0.17517135747581922</v>
      </c>
      <c r="O1189">
        <v>0.21840335092480767</v>
      </c>
      <c r="P1189">
        <v>0.2850209900086953</v>
      </c>
    </row>
    <row r="1190" spans="13:16">
      <c r="M1190">
        <v>0.28500251635469481</v>
      </c>
      <c r="N1190">
        <v>0.17546602464072364</v>
      </c>
      <c r="O1190">
        <v>0.27542542197506448</v>
      </c>
      <c r="P1190">
        <v>0.26410603702951707</v>
      </c>
    </row>
    <row r="1191" spans="13:16">
      <c r="M1191">
        <v>0.29115511640146452</v>
      </c>
      <c r="N1191">
        <v>0.17098466482469751</v>
      </c>
      <c r="O1191">
        <v>0.29034387705156939</v>
      </c>
      <c r="P1191">
        <v>0.24751634172226872</v>
      </c>
    </row>
    <row r="1192" spans="13:16">
      <c r="M1192">
        <v>0.31057933103602453</v>
      </c>
      <c r="N1192">
        <v>0.18419250958118583</v>
      </c>
      <c r="O1192">
        <v>0.23822266730897271</v>
      </c>
      <c r="P1192">
        <v>0.26700549207381685</v>
      </c>
    </row>
    <row r="1193" spans="13:16">
      <c r="M1193">
        <v>0.29072945902216968</v>
      </c>
      <c r="N1193">
        <v>0.2125512490778643</v>
      </c>
      <c r="O1193">
        <v>0.20681775734178201</v>
      </c>
      <c r="P1193">
        <v>0.28990153455818396</v>
      </c>
    </row>
    <row r="1194" spans="13:16">
      <c r="M1194">
        <v>0.30549944390378359</v>
      </c>
      <c r="N1194">
        <v>0.19209244583995788</v>
      </c>
      <c r="O1194">
        <v>0.24070714098174431</v>
      </c>
      <c r="P1194">
        <v>0.26170096927451436</v>
      </c>
    </row>
    <row r="1195" spans="13:16">
      <c r="M1195">
        <v>0.30306175179588613</v>
      </c>
      <c r="N1195">
        <v>0.2061148994427649</v>
      </c>
      <c r="O1195">
        <v>0.21320895071217777</v>
      </c>
      <c r="P1195">
        <v>0.27761439804917115</v>
      </c>
    </row>
    <row r="1196" spans="13:16">
      <c r="M1196">
        <v>0.30931232897268296</v>
      </c>
      <c r="N1196">
        <v>0.16900139144086854</v>
      </c>
      <c r="O1196">
        <v>0.25290049332395459</v>
      </c>
      <c r="P1196">
        <v>0.26878578626249394</v>
      </c>
    </row>
    <row r="1197" spans="13:16">
      <c r="M1197">
        <v>0.33886141768352446</v>
      </c>
      <c r="N1197">
        <v>0.16233682644079864</v>
      </c>
      <c r="O1197">
        <v>0.25505321127817443</v>
      </c>
      <c r="P1197">
        <v>0.24374854459750259</v>
      </c>
    </row>
    <row r="1198" spans="13:16">
      <c r="M1198">
        <v>0.28288434486984448</v>
      </c>
      <c r="N1198">
        <v>0.17889917899864197</v>
      </c>
      <c r="O1198">
        <v>0.268686529487834</v>
      </c>
      <c r="P1198">
        <v>0.26952994664367957</v>
      </c>
    </row>
    <row r="1199" spans="13:16">
      <c r="M1199">
        <v>0.26868290602745842</v>
      </c>
      <c r="N1199">
        <v>0.19380831416302879</v>
      </c>
      <c r="O1199">
        <v>0.28418452223126051</v>
      </c>
      <c r="P1199">
        <v>0.25332425757825228</v>
      </c>
    </row>
    <row r="1200" spans="13:16">
      <c r="M1200">
        <v>0.27801275304404438</v>
      </c>
      <c r="N1200">
        <v>0.18372831391571467</v>
      </c>
      <c r="O1200">
        <v>0.29795405031610728</v>
      </c>
      <c r="P1200">
        <v>0.24030488272413369</v>
      </c>
    </row>
    <row r="1201" spans="13:16">
      <c r="M1201">
        <v>0.294954378108225</v>
      </c>
      <c r="N1201">
        <v>0.18456549214247345</v>
      </c>
      <c r="O1201">
        <v>0.26078270614423515</v>
      </c>
      <c r="P1201">
        <v>0.25969742360506642</v>
      </c>
    </row>
    <row r="1202" spans="13:16">
      <c r="M1202">
        <v>0.28808745039706091</v>
      </c>
      <c r="N1202">
        <v>0.17214857075102671</v>
      </c>
      <c r="O1202">
        <v>0.27245039718371761</v>
      </c>
      <c r="P1202">
        <v>0.26731358166819463</v>
      </c>
    </row>
    <row r="1203" spans="13:16">
      <c r="M1203">
        <v>0.30288280748718921</v>
      </c>
      <c r="N1203">
        <v>0.17115698632848275</v>
      </c>
      <c r="O1203">
        <v>0.27942699254097697</v>
      </c>
      <c r="P1203">
        <v>0.24653321364335098</v>
      </c>
    </row>
    <row r="1204" spans="13:16">
      <c r="M1204">
        <v>0.29329972629394524</v>
      </c>
      <c r="N1204">
        <v>0.17688977941844616</v>
      </c>
      <c r="O1204">
        <v>0.26109359177720309</v>
      </c>
      <c r="P1204">
        <v>0.26871690251040553</v>
      </c>
    </row>
    <row r="1205" spans="13:16">
      <c r="M1205">
        <v>0.25993982586509784</v>
      </c>
      <c r="N1205">
        <v>0.18880726333785139</v>
      </c>
      <c r="O1205">
        <v>0.29413568367537407</v>
      </c>
      <c r="P1205">
        <v>0.25711722712167667</v>
      </c>
    </row>
    <row r="1206" spans="13:16">
      <c r="M1206">
        <v>0.29182632867894259</v>
      </c>
      <c r="N1206">
        <v>0.19624744367867367</v>
      </c>
      <c r="O1206">
        <v>0.25231848458722256</v>
      </c>
      <c r="P1206">
        <v>0.25960774305516104</v>
      </c>
    </row>
    <row r="1207" spans="13:16">
      <c r="M1207">
        <v>0.27823872137239253</v>
      </c>
      <c r="N1207">
        <v>0.1755057861844232</v>
      </c>
      <c r="O1207">
        <v>0.2784103871566655</v>
      </c>
      <c r="P1207">
        <v>0.26784510528651873</v>
      </c>
    </row>
    <row r="1208" spans="13:16">
      <c r="M1208">
        <v>0.27564739577998387</v>
      </c>
      <c r="N1208">
        <v>0.21314635146846317</v>
      </c>
      <c r="O1208">
        <v>0.238470934253943</v>
      </c>
      <c r="P1208">
        <v>0.27273531849761001</v>
      </c>
    </row>
    <row r="1209" spans="13:16">
      <c r="M1209">
        <v>0.28595460880954238</v>
      </c>
      <c r="N1209">
        <v>0.18655771250722131</v>
      </c>
      <c r="O1209">
        <v>0.25536581356656091</v>
      </c>
      <c r="P1209">
        <v>0.27212186511667535</v>
      </c>
    </row>
    <row r="1210" spans="13:16">
      <c r="M1210">
        <v>0.32305651656297046</v>
      </c>
      <c r="N1210">
        <v>0.19980914401475258</v>
      </c>
      <c r="O1210">
        <v>0.207272643301502</v>
      </c>
      <c r="P1210">
        <v>0.26986169612077493</v>
      </c>
    </row>
    <row r="1211" spans="13:16">
      <c r="M1211">
        <v>0.29992602029323889</v>
      </c>
      <c r="N1211">
        <v>0.19687035983566359</v>
      </c>
      <c r="O1211">
        <v>0.24311360223530515</v>
      </c>
      <c r="P1211">
        <v>0.26009001763579231</v>
      </c>
    </row>
    <row r="1212" spans="13:16">
      <c r="M1212">
        <v>0.30096840319669255</v>
      </c>
      <c r="N1212">
        <v>0.17514804185878063</v>
      </c>
      <c r="O1212">
        <v>0.26621470809520104</v>
      </c>
      <c r="P1212">
        <v>0.25766884684932567</v>
      </c>
    </row>
    <row r="1213" spans="13:16">
      <c r="M1213">
        <v>0.28684881365341525</v>
      </c>
      <c r="N1213">
        <v>0.16701686798790585</v>
      </c>
      <c r="O1213">
        <v>0.29076511327625287</v>
      </c>
      <c r="P1213">
        <v>0.255369205082426</v>
      </c>
    </row>
    <row r="1214" spans="13:16">
      <c r="M1214">
        <v>0.29549153714888887</v>
      </c>
      <c r="N1214">
        <v>0.17782974831152651</v>
      </c>
      <c r="O1214">
        <v>0.2564370341258087</v>
      </c>
      <c r="P1214">
        <v>0.27024168041377589</v>
      </c>
    </row>
    <row r="1215" spans="13:16">
      <c r="M1215">
        <v>0.27837183473039023</v>
      </c>
      <c r="N1215">
        <v>0.20204618241833736</v>
      </c>
      <c r="O1215">
        <v>0.25039230064801427</v>
      </c>
      <c r="P1215">
        <v>0.26918968220325812</v>
      </c>
    </row>
    <row r="1216" spans="13:16">
      <c r="M1216">
        <v>0.27810560620309183</v>
      </c>
      <c r="N1216">
        <v>0.17951414962053377</v>
      </c>
      <c r="O1216">
        <v>0.27743473638903099</v>
      </c>
      <c r="P1216">
        <v>0.26494550778734333</v>
      </c>
    </row>
    <row r="1217" spans="13:16">
      <c r="M1217">
        <v>0.2895550228226576</v>
      </c>
      <c r="N1217">
        <v>0.18017691858189941</v>
      </c>
      <c r="O1217">
        <v>0.26421817931848379</v>
      </c>
      <c r="P1217">
        <v>0.26604987927695922</v>
      </c>
    </row>
    <row r="1218" spans="13:16">
      <c r="M1218">
        <v>0.29786522643261115</v>
      </c>
      <c r="N1218">
        <v>0.18265784135754123</v>
      </c>
      <c r="O1218">
        <v>0.24144788673791442</v>
      </c>
      <c r="P1218">
        <v>0.27802904547193324</v>
      </c>
    </row>
    <row r="1219" spans="13:16">
      <c r="M1219">
        <v>0.29499993536347768</v>
      </c>
      <c r="N1219">
        <v>0.18404096314146817</v>
      </c>
      <c r="O1219">
        <v>0.26075044439648742</v>
      </c>
      <c r="P1219">
        <v>0.26020865709856666</v>
      </c>
    </row>
    <row r="1220" spans="13:16">
      <c r="M1220">
        <v>0.31329874943433611</v>
      </c>
      <c r="N1220">
        <v>0.16991432197389694</v>
      </c>
      <c r="O1220">
        <v>0.2542708504220545</v>
      </c>
      <c r="P1220">
        <v>0.2625160781697124</v>
      </c>
    </row>
    <row r="1221" spans="13:16">
      <c r="M1221">
        <v>0.30225513672875715</v>
      </c>
      <c r="N1221">
        <v>0.18064071062101761</v>
      </c>
      <c r="O1221">
        <v>0.24007821803002102</v>
      </c>
      <c r="P1221">
        <v>0.27702593462020425</v>
      </c>
    </row>
    <row r="1222" spans="13:16">
      <c r="M1222">
        <v>0.29107697094618762</v>
      </c>
      <c r="N1222">
        <v>0.19179452396464103</v>
      </c>
      <c r="O1222">
        <v>0.23816672546188522</v>
      </c>
      <c r="P1222">
        <v>0.27896177962728613</v>
      </c>
    </row>
    <row r="1223" spans="13:16">
      <c r="M1223">
        <v>0.28234113053989279</v>
      </c>
      <c r="N1223">
        <v>0.18918491470691753</v>
      </c>
      <c r="O1223">
        <v>0.2405667583280954</v>
      </c>
      <c r="P1223">
        <v>0.28790719642509432</v>
      </c>
    </row>
    <row r="1224" spans="13:16">
      <c r="M1224">
        <v>0.29598543768243796</v>
      </c>
      <c r="N1224">
        <v>0.19163813240444202</v>
      </c>
      <c r="O1224">
        <v>0.25834537461597601</v>
      </c>
      <c r="P1224">
        <v>0.25403105529714398</v>
      </c>
    </row>
    <row r="1225" spans="13:16">
      <c r="M1225">
        <v>0.27555760376295146</v>
      </c>
      <c r="N1225">
        <v>0.20480350948319939</v>
      </c>
      <c r="O1225">
        <v>0.24878437673938164</v>
      </c>
      <c r="P1225">
        <v>0.27085451001446753</v>
      </c>
    </row>
    <row r="1226" spans="13:16">
      <c r="M1226">
        <v>0.28469073192318028</v>
      </c>
      <c r="N1226">
        <v>0.19684938132492763</v>
      </c>
      <c r="O1226">
        <v>0.25297903157000656</v>
      </c>
      <c r="P1226">
        <v>0.26548085518188541</v>
      </c>
    </row>
    <row r="1227" spans="13:16">
      <c r="M1227">
        <v>0.33269198905357572</v>
      </c>
      <c r="N1227">
        <v>0.17454852041799565</v>
      </c>
      <c r="O1227">
        <v>0.22132378019795923</v>
      </c>
      <c r="P1227">
        <v>0.27143571033046948</v>
      </c>
    </row>
    <row r="1228" spans="13:16">
      <c r="M1228">
        <v>0.30119576232804796</v>
      </c>
      <c r="N1228">
        <v>0.17579110823210281</v>
      </c>
      <c r="O1228">
        <v>0.25993939243979886</v>
      </c>
      <c r="P1228">
        <v>0.26307373700005038</v>
      </c>
    </row>
    <row r="1229" spans="13:16">
      <c r="M1229">
        <v>0.29034043301537638</v>
      </c>
      <c r="N1229">
        <v>0.1823254263375107</v>
      </c>
      <c r="O1229">
        <v>0.28397178793629596</v>
      </c>
      <c r="P1229">
        <v>0.24336235271081705</v>
      </c>
    </row>
    <row r="1230" spans="13:16">
      <c r="M1230">
        <v>0.29144712409939394</v>
      </c>
      <c r="N1230">
        <v>0.20405347449268468</v>
      </c>
      <c r="O1230">
        <v>0.24516624119951011</v>
      </c>
      <c r="P1230">
        <v>0.25933316020841124</v>
      </c>
    </row>
    <row r="1231" spans="13:16">
      <c r="M1231">
        <v>0.28496751021812167</v>
      </c>
      <c r="N1231">
        <v>0.1824896605083067</v>
      </c>
      <c r="O1231">
        <v>0.26504656267127036</v>
      </c>
      <c r="P1231">
        <v>0.26749626660230125</v>
      </c>
    </row>
    <row r="1232" spans="13:16">
      <c r="M1232">
        <v>0.2834269133294478</v>
      </c>
      <c r="N1232">
        <v>0.1778097834329396</v>
      </c>
      <c r="O1232">
        <v>0.29070479416408335</v>
      </c>
      <c r="P1232">
        <v>0.24805850907352933</v>
      </c>
    </row>
    <row r="1233" spans="13:16">
      <c r="M1233">
        <v>0.28039093918373509</v>
      </c>
      <c r="N1233">
        <v>0.19725948123175979</v>
      </c>
      <c r="O1233">
        <v>0.24424882557944086</v>
      </c>
      <c r="P1233">
        <v>0.27810075400506418</v>
      </c>
    </row>
    <row r="1234" spans="13:16">
      <c r="M1234">
        <v>0.30061727710766734</v>
      </c>
      <c r="N1234">
        <v>0.20149205206148407</v>
      </c>
      <c r="O1234">
        <v>0.21546950891319055</v>
      </c>
      <c r="P1234">
        <v>0.28242116191765815</v>
      </c>
    </row>
    <row r="1235" spans="13:16">
      <c r="M1235">
        <v>0.28973966016693098</v>
      </c>
      <c r="N1235">
        <v>0.19080006045542933</v>
      </c>
      <c r="O1235">
        <v>0.23969631400240571</v>
      </c>
      <c r="P1235">
        <v>0.27976396537523401</v>
      </c>
    </row>
    <row r="1236" spans="13:16">
      <c r="M1236">
        <v>0.29912530851947239</v>
      </c>
      <c r="N1236">
        <v>0.17296785676143697</v>
      </c>
      <c r="O1236">
        <v>0.29624190683245571</v>
      </c>
      <c r="P1236">
        <v>0.2316649278866349</v>
      </c>
    </row>
    <row r="1237" spans="13:16">
      <c r="M1237">
        <v>0.31053798540605093</v>
      </c>
      <c r="N1237">
        <v>0.16818051503167902</v>
      </c>
      <c r="O1237">
        <v>0.27444169911745653</v>
      </c>
      <c r="P1237">
        <v>0.24683980044481343</v>
      </c>
    </row>
    <row r="1238" spans="13:16">
      <c r="M1238">
        <v>0.28064782236160496</v>
      </c>
      <c r="N1238">
        <v>0.17992007965452364</v>
      </c>
      <c r="O1238">
        <v>0.27136016533047147</v>
      </c>
      <c r="P1238">
        <v>0.26807193265340001</v>
      </c>
    </row>
    <row r="1239" spans="13:16">
      <c r="M1239">
        <v>0.29130081078874254</v>
      </c>
      <c r="N1239">
        <v>0.17812587262878504</v>
      </c>
      <c r="O1239">
        <v>0.25519755131400362</v>
      </c>
      <c r="P1239">
        <v>0.27537576526846874</v>
      </c>
    </row>
    <row r="1240" spans="13:16">
      <c r="M1240">
        <v>0.28010913680726945</v>
      </c>
      <c r="N1240">
        <v>0.19261393695676773</v>
      </c>
      <c r="O1240">
        <v>0.25651955200786614</v>
      </c>
      <c r="P1240">
        <v>0.27075737422809676</v>
      </c>
    </row>
    <row r="1241" spans="13:16">
      <c r="M1241">
        <v>0.30392329660919942</v>
      </c>
      <c r="N1241">
        <v>0.18300001667441138</v>
      </c>
      <c r="O1241">
        <v>0.26540472944407489</v>
      </c>
      <c r="P1241">
        <v>0.24767195727231436</v>
      </c>
    </row>
    <row r="1242" spans="13:16">
      <c r="M1242">
        <v>0.31080086763511594</v>
      </c>
      <c r="N1242">
        <v>0.19022308331633073</v>
      </c>
      <c r="O1242">
        <v>0.25733457127562437</v>
      </c>
      <c r="P1242">
        <v>0.24164147777292894</v>
      </c>
    </row>
    <row r="1243" spans="13:16">
      <c r="M1243">
        <v>0.26881947381680721</v>
      </c>
      <c r="N1243">
        <v>0.19334774831436599</v>
      </c>
      <c r="O1243">
        <v>0.28284225399964935</v>
      </c>
      <c r="P1243">
        <v>0.25499052386917759</v>
      </c>
    </row>
    <row r="1244" spans="13:16">
      <c r="M1244">
        <v>0.28897191925239385</v>
      </c>
      <c r="N1244">
        <v>0.19781467521688337</v>
      </c>
      <c r="O1244">
        <v>0.2403119442298057</v>
      </c>
      <c r="P1244">
        <v>0.27290146130091703</v>
      </c>
    </row>
    <row r="1245" spans="13:16">
      <c r="M1245">
        <v>0.29417057385178458</v>
      </c>
      <c r="N1245">
        <v>0.19430061726117118</v>
      </c>
      <c r="O1245">
        <v>0.23561885088512846</v>
      </c>
      <c r="P1245">
        <v>0.27590995800191592</v>
      </c>
    </row>
    <row r="1246" spans="13:16">
      <c r="M1246">
        <v>0.26782931322314102</v>
      </c>
      <c r="N1246">
        <v>0.19105542378336479</v>
      </c>
      <c r="O1246">
        <v>0.27243540957782558</v>
      </c>
      <c r="P1246">
        <v>0.26867985341566852</v>
      </c>
    </row>
    <row r="1247" spans="13:16">
      <c r="M1247">
        <v>0.31122470597657903</v>
      </c>
      <c r="N1247">
        <v>0.18868969490144613</v>
      </c>
      <c r="O1247">
        <v>0.24154850539311537</v>
      </c>
      <c r="P1247">
        <v>0.25853709372885947</v>
      </c>
    </row>
    <row r="1248" spans="13:16">
      <c r="M1248">
        <v>0.28485618080415886</v>
      </c>
      <c r="N1248">
        <v>0.17382004293059128</v>
      </c>
      <c r="O1248">
        <v>0.27277724765074174</v>
      </c>
      <c r="P1248">
        <v>0.26854652861450806</v>
      </c>
    </row>
    <row r="1249" spans="13:16">
      <c r="M1249">
        <v>0.31093945331619421</v>
      </c>
      <c r="N1249">
        <v>0.17177796591464123</v>
      </c>
      <c r="O1249">
        <v>0.25291025918931986</v>
      </c>
      <c r="P1249">
        <v>0.26437232157984464</v>
      </c>
    </row>
    <row r="1250" spans="13:16">
      <c r="M1250">
        <v>0.2772536031961359</v>
      </c>
      <c r="N1250">
        <v>0.17381982978633945</v>
      </c>
      <c r="O1250">
        <v>0.28507559450587755</v>
      </c>
      <c r="P1250">
        <v>0.26385097251164713</v>
      </c>
    </row>
    <row r="1251" spans="13:16">
      <c r="M1251">
        <v>0.30835761987602461</v>
      </c>
      <c r="N1251">
        <v>0.20387280728123985</v>
      </c>
      <c r="O1251">
        <v>0.22438893263091403</v>
      </c>
      <c r="P1251">
        <v>0.26338064021182156</v>
      </c>
    </row>
    <row r="1252" spans="13:16">
      <c r="M1252">
        <v>0.31471612448125968</v>
      </c>
      <c r="N1252">
        <v>0.17615448204000242</v>
      </c>
      <c r="O1252">
        <v>0.24039986907252547</v>
      </c>
      <c r="P1252">
        <v>0.26872952440621251</v>
      </c>
    </row>
    <row r="1253" spans="13:16">
      <c r="M1253">
        <v>0.29534152221547483</v>
      </c>
      <c r="N1253">
        <v>0.19354749611193414</v>
      </c>
      <c r="O1253">
        <v>0.23918468910455798</v>
      </c>
      <c r="P1253">
        <v>0.27192629256803297</v>
      </c>
    </row>
    <row r="1254" spans="13:16">
      <c r="M1254">
        <v>0.27086378869610306</v>
      </c>
      <c r="N1254">
        <v>0.18018663012066014</v>
      </c>
      <c r="O1254">
        <v>0.28338256368539844</v>
      </c>
      <c r="P1254">
        <v>0.26556701749783845</v>
      </c>
    </row>
    <row r="1255" spans="13:16">
      <c r="M1255">
        <v>0.28644132112981729</v>
      </c>
      <c r="N1255">
        <v>0.19848269693550805</v>
      </c>
      <c r="O1255">
        <v>0.24241070580526233</v>
      </c>
      <c r="P1255">
        <v>0.27266527612941249</v>
      </c>
    </row>
    <row r="1256" spans="13:16">
      <c r="M1256">
        <v>0.28647855910460857</v>
      </c>
      <c r="N1256">
        <v>0.20057513981034791</v>
      </c>
      <c r="O1256">
        <v>0.2445741838639495</v>
      </c>
      <c r="P1256">
        <v>0.26837211722109411</v>
      </c>
    </row>
    <row r="1257" spans="13:16">
      <c r="M1257">
        <v>0.28780272369435322</v>
      </c>
      <c r="N1257">
        <v>0.16536489619590683</v>
      </c>
      <c r="O1257">
        <v>0.30129112042665163</v>
      </c>
      <c r="P1257">
        <v>0.24554125968308835</v>
      </c>
    </row>
    <row r="1258" spans="13:16">
      <c r="M1258">
        <v>0.28101525517444698</v>
      </c>
      <c r="N1258">
        <v>0.19048698297743896</v>
      </c>
      <c r="O1258">
        <v>0.27080605860157758</v>
      </c>
      <c r="P1258">
        <v>0.25769170324653656</v>
      </c>
    </row>
    <row r="1259" spans="13:16">
      <c r="M1259">
        <v>0.29091345714870842</v>
      </c>
      <c r="N1259">
        <v>0.17172951368026332</v>
      </c>
      <c r="O1259">
        <v>0.27489119776023285</v>
      </c>
      <c r="P1259">
        <v>0.26246583141079549</v>
      </c>
    </row>
    <row r="1260" spans="13:16">
      <c r="M1260">
        <v>0.28834201086974609</v>
      </c>
      <c r="N1260">
        <v>0.18246651188855367</v>
      </c>
      <c r="O1260">
        <v>0.24544337973931665</v>
      </c>
      <c r="P1260">
        <v>0.28374809750238361</v>
      </c>
    </row>
    <row r="1261" spans="13:16">
      <c r="M1261">
        <v>0.31307459071323701</v>
      </c>
      <c r="N1261">
        <v>0.18967988611673989</v>
      </c>
      <c r="O1261">
        <v>0.23275986238359725</v>
      </c>
      <c r="P1261">
        <v>0.26448566078642599</v>
      </c>
    </row>
    <row r="1262" spans="13:16">
      <c r="M1262">
        <v>0.26398357090682217</v>
      </c>
      <c r="N1262">
        <v>0.19534616175451688</v>
      </c>
      <c r="O1262">
        <v>0.26418324225984818</v>
      </c>
      <c r="P1262">
        <v>0.27648702507881279</v>
      </c>
    </row>
    <row r="1263" spans="13:16">
      <c r="M1263">
        <v>0.27449396525298958</v>
      </c>
      <c r="N1263">
        <v>0.18872404890269498</v>
      </c>
      <c r="O1263">
        <v>0.24468989685142004</v>
      </c>
      <c r="P1263">
        <v>0.2920920889928954</v>
      </c>
    </row>
    <row r="1264" spans="13:16">
      <c r="M1264">
        <v>0.25770495271822419</v>
      </c>
      <c r="N1264">
        <v>0.20303762081979237</v>
      </c>
      <c r="O1264">
        <v>0.27162710329958872</v>
      </c>
      <c r="P1264">
        <v>0.2676303231623946</v>
      </c>
    </row>
    <row r="1265" spans="13:16">
      <c r="M1265">
        <v>0.31107628948956606</v>
      </c>
      <c r="N1265">
        <v>0.17611823225102072</v>
      </c>
      <c r="O1265">
        <v>0.23972461826928088</v>
      </c>
      <c r="P1265">
        <v>0.27308085999013232</v>
      </c>
    </row>
    <row r="1266" spans="13:16">
      <c r="M1266">
        <v>0.29497739481091118</v>
      </c>
      <c r="N1266">
        <v>0.16800110959370651</v>
      </c>
      <c r="O1266">
        <v>0.27611015757749025</v>
      </c>
      <c r="P1266">
        <v>0.26091133801789207</v>
      </c>
    </row>
    <row r="1267" spans="13:16">
      <c r="M1267">
        <v>0.29423825406614834</v>
      </c>
      <c r="N1267">
        <v>0.18746529570077905</v>
      </c>
      <c r="O1267">
        <v>0.23712149718505013</v>
      </c>
      <c r="P1267">
        <v>0.28117495304802248</v>
      </c>
    </row>
    <row r="1268" spans="13:16">
      <c r="M1268">
        <v>0.2597069523438586</v>
      </c>
      <c r="N1268">
        <v>0.18960180803324089</v>
      </c>
      <c r="O1268">
        <v>0.2844804637510161</v>
      </c>
      <c r="P1268">
        <v>0.26621077587188446</v>
      </c>
    </row>
    <row r="1269" spans="13:16">
      <c r="M1269">
        <v>0.28905308420982373</v>
      </c>
      <c r="N1269">
        <v>0.16960820460065237</v>
      </c>
      <c r="O1269">
        <v>0.27963220376981707</v>
      </c>
      <c r="P1269">
        <v>0.26170650741970686</v>
      </c>
    </row>
    <row r="1270" spans="13:16">
      <c r="M1270">
        <v>0.28351116272236565</v>
      </c>
      <c r="N1270">
        <v>0.2001551937380317</v>
      </c>
      <c r="O1270">
        <v>0.25923214437606179</v>
      </c>
      <c r="P1270">
        <v>0.25710149916354097</v>
      </c>
    </row>
    <row r="1271" spans="13:16">
      <c r="M1271">
        <v>0.28900623098168521</v>
      </c>
      <c r="N1271">
        <v>0.17883990331485541</v>
      </c>
      <c r="O1271">
        <v>0.26160178557293112</v>
      </c>
      <c r="P1271">
        <v>0.27055208013052828</v>
      </c>
    </row>
    <row r="1272" spans="13:16">
      <c r="M1272">
        <v>0.29055559650129281</v>
      </c>
      <c r="N1272">
        <v>0.18021421743451002</v>
      </c>
      <c r="O1272">
        <v>0.27300258867627558</v>
      </c>
      <c r="P1272">
        <v>0.25622759738792161</v>
      </c>
    </row>
    <row r="1273" spans="13:16">
      <c r="M1273">
        <v>0.30276547543591315</v>
      </c>
      <c r="N1273">
        <v>0.18187210808848242</v>
      </c>
      <c r="O1273">
        <v>0.24749073488943776</v>
      </c>
      <c r="P1273">
        <v>0.26787168158616659</v>
      </c>
    </row>
    <row r="1274" spans="13:16">
      <c r="M1274">
        <v>0.30478913761215792</v>
      </c>
      <c r="N1274">
        <v>0.18964894655332204</v>
      </c>
      <c r="O1274">
        <v>0.23134089999240048</v>
      </c>
      <c r="P1274">
        <v>0.27422101584211966</v>
      </c>
    </row>
    <row r="1275" spans="13:16">
      <c r="M1275">
        <v>0.29039010453493719</v>
      </c>
      <c r="N1275">
        <v>0.19133195428206268</v>
      </c>
      <c r="O1275">
        <v>0.25121381147470573</v>
      </c>
      <c r="P1275">
        <v>0.26706412970829452</v>
      </c>
    </row>
    <row r="1276" spans="13:16">
      <c r="M1276">
        <v>0.28729692785330574</v>
      </c>
      <c r="N1276">
        <v>0.18221293716973722</v>
      </c>
      <c r="O1276">
        <v>0.25777654143435097</v>
      </c>
      <c r="P1276">
        <v>0.27271359354260621</v>
      </c>
    </row>
    <row r="1277" spans="13:16">
      <c r="M1277">
        <v>0.291973640054907</v>
      </c>
      <c r="N1277">
        <v>0.20579940604354313</v>
      </c>
      <c r="O1277">
        <v>0.24310062842602817</v>
      </c>
      <c r="P1277">
        <v>0.25912632547552172</v>
      </c>
    </row>
    <row r="1278" spans="13:16">
      <c r="M1278">
        <v>0.27973928520699282</v>
      </c>
      <c r="N1278">
        <v>0.19212374252560196</v>
      </c>
      <c r="O1278">
        <v>0.26074392391567869</v>
      </c>
      <c r="P1278">
        <v>0.26739304835172639</v>
      </c>
    </row>
    <row r="1279" spans="13:16">
      <c r="M1279">
        <v>0.29098080865306153</v>
      </c>
      <c r="N1279">
        <v>0.19969356509628536</v>
      </c>
      <c r="O1279">
        <v>0.25711891114033525</v>
      </c>
      <c r="P1279">
        <v>0.25220671511031795</v>
      </c>
    </row>
    <row r="1280" spans="13:16">
      <c r="M1280">
        <v>0.30619781762185377</v>
      </c>
      <c r="N1280">
        <v>0.17503328862170089</v>
      </c>
      <c r="O1280">
        <v>0.24976102673892561</v>
      </c>
      <c r="P1280">
        <v>0.26900786701751983</v>
      </c>
    </row>
    <row r="1281" spans="13:16">
      <c r="M1281">
        <v>0.2750838766043599</v>
      </c>
      <c r="N1281">
        <v>0.18947538516523954</v>
      </c>
      <c r="O1281">
        <v>0.28574961756569994</v>
      </c>
      <c r="P1281">
        <v>0.24969112066470064</v>
      </c>
    </row>
    <row r="1282" spans="13:16">
      <c r="M1282">
        <v>0.29580106787496846</v>
      </c>
      <c r="N1282">
        <v>0.1988378749526894</v>
      </c>
      <c r="O1282">
        <v>0.24755929406217528</v>
      </c>
      <c r="P1282">
        <v>0.25780176311016706</v>
      </c>
    </row>
    <row r="1283" spans="13:16">
      <c r="M1283">
        <v>0.28196981342927646</v>
      </c>
      <c r="N1283">
        <v>0.19911907553824865</v>
      </c>
      <c r="O1283">
        <v>0.25588125550312696</v>
      </c>
      <c r="P1283">
        <v>0.26302985552934799</v>
      </c>
    </row>
    <row r="1284" spans="13:16">
      <c r="M1284">
        <v>0.28566009530240283</v>
      </c>
      <c r="N1284">
        <v>0.18574199981689529</v>
      </c>
      <c r="O1284">
        <v>0.26629544483576323</v>
      </c>
      <c r="P1284">
        <v>0.26230246004493857</v>
      </c>
    </row>
    <row r="1285" spans="13:16">
      <c r="M1285">
        <v>0.33168831901129747</v>
      </c>
      <c r="N1285">
        <v>0.18815865745036228</v>
      </c>
      <c r="O1285">
        <v>0.23200841232433336</v>
      </c>
      <c r="P1285">
        <v>0.24814461121400694</v>
      </c>
    </row>
    <row r="1286" spans="13:16">
      <c r="M1286">
        <v>0.27339137270345654</v>
      </c>
      <c r="N1286">
        <v>0.20418122577813891</v>
      </c>
      <c r="O1286">
        <v>0.25251165215084304</v>
      </c>
      <c r="P1286">
        <v>0.26991574936756157</v>
      </c>
    </row>
    <row r="1287" spans="13:16">
      <c r="M1287">
        <v>0.28716649663579136</v>
      </c>
      <c r="N1287">
        <v>0.17752408626939561</v>
      </c>
      <c r="O1287">
        <v>0.26205078418321059</v>
      </c>
      <c r="P1287">
        <v>0.27325863291160252</v>
      </c>
    </row>
    <row r="1288" spans="13:16">
      <c r="M1288">
        <v>0.28621288980721676</v>
      </c>
      <c r="N1288">
        <v>0.1953490023209361</v>
      </c>
      <c r="O1288">
        <v>0.22943520675852092</v>
      </c>
      <c r="P1288">
        <v>0.28900290111332627</v>
      </c>
    </row>
    <row r="1289" spans="13:16">
      <c r="M1289">
        <v>0.28882164515785491</v>
      </c>
      <c r="N1289">
        <v>0.19951971776844166</v>
      </c>
      <c r="O1289">
        <v>0.23932634249472681</v>
      </c>
      <c r="P1289">
        <v>0.27233229457897662</v>
      </c>
    </row>
    <row r="1290" spans="13:16">
      <c r="M1290">
        <v>0.30296367950792641</v>
      </c>
      <c r="N1290">
        <v>0.17841301122357103</v>
      </c>
      <c r="O1290">
        <v>0.2645655601104876</v>
      </c>
      <c r="P1290">
        <v>0.25405774915801493</v>
      </c>
    </row>
    <row r="1291" spans="13:16">
      <c r="M1291">
        <v>0.29550271620759805</v>
      </c>
      <c r="N1291">
        <v>0.18177386677943047</v>
      </c>
      <c r="O1291">
        <v>0.2774409125744996</v>
      </c>
      <c r="P1291">
        <v>0.24528250443847177</v>
      </c>
    </row>
    <row r="1292" spans="13:16">
      <c r="M1292">
        <v>0.27906607234131231</v>
      </c>
      <c r="N1292">
        <v>0.17298514925142239</v>
      </c>
      <c r="O1292">
        <v>0.2892185179638217</v>
      </c>
      <c r="P1292">
        <v>0.25873026044344355</v>
      </c>
    </row>
    <row r="1293" spans="13:16">
      <c r="M1293">
        <v>0.27397146631017716</v>
      </c>
      <c r="N1293">
        <v>0.18227682018236557</v>
      </c>
      <c r="O1293">
        <v>0.29853742011951351</v>
      </c>
      <c r="P1293">
        <v>0.24521429338794376</v>
      </c>
    </row>
    <row r="1294" spans="13:16">
      <c r="M1294">
        <v>0.29694538484092498</v>
      </c>
      <c r="N1294">
        <v>0.18402281616343127</v>
      </c>
      <c r="O1294">
        <v>0.26513026623149849</v>
      </c>
      <c r="P1294">
        <v>0.25390153276414523</v>
      </c>
    </row>
    <row r="1295" spans="13:16">
      <c r="M1295">
        <v>0.29190890600315283</v>
      </c>
      <c r="N1295">
        <v>0.17974330183648271</v>
      </c>
      <c r="O1295">
        <v>0.27424600969124685</v>
      </c>
      <c r="P1295">
        <v>0.25410178246911758</v>
      </c>
    </row>
    <row r="1296" spans="13:16">
      <c r="M1296">
        <v>0.29598218047099534</v>
      </c>
      <c r="N1296">
        <v>0.17253820017236476</v>
      </c>
      <c r="O1296">
        <v>0.27310954940766052</v>
      </c>
      <c r="P1296">
        <v>0.25837006994897943</v>
      </c>
    </row>
    <row r="1297" spans="13:16">
      <c r="M1297">
        <v>0.30335078605119103</v>
      </c>
      <c r="N1297">
        <v>0.19436246064195145</v>
      </c>
      <c r="O1297">
        <v>0.24669470031555576</v>
      </c>
      <c r="P1297">
        <v>0.25559205299130161</v>
      </c>
    </row>
    <row r="1298" spans="13:16">
      <c r="M1298">
        <v>0.29312716720931931</v>
      </c>
      <c r="N1298">
        <v>0.18242536195970183</v>
      </c>
      <c r="O1298">
        <v>0.25988756194305229</v>
      </c>
      <c r="P1298">
        <v>0.26455990888792663</v>
      </c>
    </row>
    <row r="1299" spans="13:16">
      <c r="M1299">
        <v>0.29744995203098867</v>
      </c>
      <c r="N1299">
        <v>0.19205952132807802</v>
      </c>
      <c r="O1299">
        <v>0.23568695356172759</v>
      </c>
      <c r="P1299">
        <v>0.27480357307920572</v>
      </c>
    </row>
    <row r="1300" spans="13:16">
      <c r="M1300">
        <v>0.28205235701211817</v>
      </c>
      <c r="N1300">
        <v>0.18836275156847712</v>
      </c>
      <c r="O1300">
        <v>0.28016041967096034</v>
      </c>
      <c r="P1300">
        <v>0.24942447174844448</v>
      </c>
    </row>
    <row r="1301" spans="13:16">
      <c r="M1301">
        <v>0.33227311159741751</v>
      </c>
      <c r="N1301">
        <v>0.16655691949095228</v>
      </c>
      <c r="O1301">
        <v>0.23990525268069002</v>
      </c>
      <c r="P1301">
        <v>0.26126471623094011</v>
      </c>
    </row>
    <row r="1302" spans="13:16">
      <c r="M1302">
        <v>0.2674972562877066</v>
      </c>
      <c r="N1302">
        <v>0.19374453975189318</v>
      </c>
      <c r="O1302">
        <v>0.25474633007810843</v>
      </c>
      <c r="P1302">
        <v>0.28401187388229171</v>
      </c>
    </row>
    <row r="1303" spans="13:16">
      <c r="M1303">
        <v>0.32430787715583598</v>
      </c>
      <c r="N1303">
        <v>0.16565247907524067</v>
      </c>
      <c r="O1303">
        <v>0.25591507688180593</v>
      </c>
      <c r="P1303">
        <v>0.25412456688711754</v>
      </c>
    </row>
    <row r="1304" spans="13:16">
      <c r="M1304">
        <v>0.29359507145965336</v>
      </c>
      <c r="N1304">
        <v>0.18097478844156153</v>
      </c>
      <c r="O1304">
        <v>0.2480549798471646</v>
      </c>
      <c r="P1304">
        <v>0.2773751602516204</v>
      </c>
    </row>
    <row r="1305" spans="13:16">
      <c r="M1305">
        <v>0.29191488075829403</v>
      </c>
      <c r="N1305">
        <v>0.17759663219603841</v>
      </c>
      <c r="O1305">
        <v>0.28862040620215762</v>
      </c>
      <c r="P1305">
        <v>0.24186808084350997</v>
      </c>
    </row>
    <row r="1306" spans="13:16">
      <c r="M1306">
        <v>0.30657934538484655</v>
      </c>
      <c r="N1306">
        <v>0.17415526818918312</v>
      </c>
      <c r="O1306">
        <v>0.24901155005946068</v>
      </c>
      <c r="P1306">
        <v>0.27025383636650974</v>
      </c>
    </row>
    <row r="1307" spans="13:16">
      <c r="M1307">
        <v>0.29578617112397715</v>
      </c>
      <c r="N1307">
        <v>0.18370956315791309</v>
      </c>
      <c r="O1307">
        <v>0.26307342068445599</v>
      </c>
      <c r="P1307">
        <v>0.25743084503365388</v>
      </c>
    </row>
    <row r="1308" spans="13:16">
      <c r="M1308">
        <v>0.29510081400239579</v>
      </c>
      <c r="N1308">
        <v>0.19134811840744681</v>
      </c>
      <c r="O1308">
        <v>0.27489367531686731</v>
      </c>
      <c r="P1308">
        <v>0.23865739227329</v>
      </c>
    </row>
    <row r="1309" spans="13:16">
      <c r="M1309">
        <v>0.2774210750831585</v>
      </c>
      <c r="N1309">
        <v>0.21044556044052834</v>
      </c>
      <c r="O1309">
        <v>0.24230059012532493</v>
      </c>
      <c r="P1309">
        <v>0.26983277435098818</v>
      </c>
    </row>
    <row r="1310" spans="13:16">
      <c r="M1310">
        <v>0.29399488624712772</v>
      </c>
      <c r="N1310">
        <v>0.17461756471819431</v>
      </c>
      <c r="O1310">
        <v>0.27657610042682879</v>
      </c>
      <c r="P1310">
        <v>0.25481144860784916</v>
      </c>
    </row>
    <row r="1311" spans="13:16">
      <c r="M1311">
        <v>0.29410988315467401</v>
      </c>
      <c r="N1311">
        <v>0.18882332746967853</v>
      </c>
      <c r="O1311">
        <v>0.24994050917877408</v>
      </c>
      <c r="P1311">
        <v>0.26712628019687346</v>
      </c>
    </row>
    <row r="1312" spans="13:16">
      <c r="M1312">
        <v>0.2881283660926246</v>
      </c>
      <c r="N1312">
        <v>0.18098956058707244</v>
      </c>
      <c r="O1312">
        <v>0.2761794446180999</v>
      </c>
      <c r="P1312">
        <v>0.25470262870220306</v>
      </c>
    </row>
    <row r="1313" spans="13:16">
      <c r="M1313">
        <v>0.26632829383601897</v>
      </c>
      <c r="N1313">
        <v>0.21010647437462368</v>
      </c>
      <c r="O1313">
        <v>0.2583505591386589</v>
      </c>
      <c r="P1313">
        <v>0.26521467265069848</v>
      </c>
    </row>
    <row r="1314" spans="13:16">
      <c r="M1314">
        <v>0.30241141782290015</v>
      </c>
      <c r="N1314">
        <v>0.18895838452173006</v>
      </c>
      <c r="O1314">
        <v>0.25694401443963377</v>
      </c>
      <c r="P1314">
        <v>0.2516861832157361</v>
      </c>
    </row>
    <row r="1315" spans="13:16">
      <c r="M1315">
        <v>0.2763652354919397</v>
      </c>
      <c r="N1315">
        <v>0.19544174668641889</v>
      </c>
      <c r="O1315">
        <v>0.26991428310560756</v>
      </c>
      <c r="P1315">
        <v>0.25827873471603391</v>
      </c>
    </row>
    <row r="1316" spans="13:16">
      <c r="M1316">
        <v>0.29360678119762063</v>
      </c>
      <c r="N1316">
        <v>0.17779053536188855</v>
      </c>
      <c r="O1316">
        <v>0.26540081571897955</v>
      </c>
      <c r="P1316">
        <v>0.26320186772151127</v>
      </c>
    </row>
    <row r="1317" spans="13:16">
      <c r="M1317">
        <v>0.28761671564005475</v>
      </c>
      <c r="N1317">
        <v>0.17801969541104273</v>
      </c>
      <c r="O1317">
        <v>0.27917137226224187</v>
      </c>
      <c r="P1317">
        <v>0.25519221668666059</v>
      </c>
    </row>
    <row r="1318" spans="13:16">
      <c r="M1318">
        <v>0.27798477153045104</v>
      </c>
      <c r="N1318">
        <v>0.18064439954810413</v>
      </c>
      <c r="O1318">
        <v>0.2882916111324153</v>
      </c>
      <c r="P1318">
        <v>0.25307921778902942</v>
      </c>
    </row>
    <row r="1319" spans="13:16">
      <c r="M1319">
        <v>0.26522015428230417</v>
      </c>
      <c r="N1319">
        <v>0.18632155851854484</v>
      </c>
      <c r="O1319">
        <v>0.28519334893430437</v>
      </c>
      <c r="P1319">
        <v>0.26326493826484665</v>
      </c>
    </row>
    <row r="1320" spans="13:16">
      <c r="M1320">
        <v>0.28454801093524573</v>
      </c>
      <c r="N1320">
        <v>0.20118251116814717</v>
      </c>
      <c r="O1320">
        <v>0.25098888700795341</v>
      </c>
      <c r="P1320">
        <v>0.26328059088865374</v>
      </c>
    </row>
    <row r="1321" spans="13:16">
      <c r="M1321">
        <v>0.30217527356198198</v>
      </c>
      <c r="N1321">
        <v>0.18885239645154003</v>
      </c>
      <c r="O1321">
        <v>0.24402673778413975</v>
      </c>
      <c r="P1321">
        <v>0.26494559220233843</v>
      </c>
    </row>
    <row r="1322" spans="13:16">
      <c r="M1322">
        <v>0.30891488609272277</v>
      </c>
      <c r="N1322">
        <v>0.18672379293952818</v>
      </c>
      <c r="O1322">
        <v>0.25360549064541527</v>
      </c>
      <c r="P1322">
        <v>0.25075583032233389</v>
      </c>
    </row>
    <row r="1323" spans="13:16">
      <c r="M1323">
        <v>0.26815364642116757</v>
      </c>
      <c r="N1323">
        <v>0.20710740992874421</v>
      </c>
      <c r="O1323">
        <v>0.25628202582539139</v>
      </c>
      <c r="P1323">
        <v>0.26845691782469683</v>
      </c>
    </row>
    <row r="1324" spans="13:16">
      <c r="M1324">
        <v>0.26622943618260997</v>
      </c>
      <c r="N1324">
        <v>0.19113759645369036</v>
      </c>
      <c r="O1324">
        <v>0.26901637840096188</v>
      </c>
      <c r="P1324">
        <v>0.27361658896273783</v>
      </c>
    </row>
    <row r="1325" spans="13:16">
      <c r="M1325">
        <v>0.27846303866487082</v>
      </c>
      <c r="N1325">
        <v>0.19758318623480697</v>
      </c>
      <c r="O1325">
        <v>0.26497720262035834</v>
      </c>
      <c r="P1325">
        <v>0.25897657247996386</v>
      </c>
    </row>
    <row r="1326" spans="13:16">
      <c r="M1326">
        <v>0.33577218005213716</v>
      </c>
      <c r="N1326">
        <v>0.16885052902972431</v>
      </c>
      <c r="O1326">
        <v>0.23172379476033847</v>
      </c>
      <c r="P1326">
        <v>0.26365349615780009</v>
      </c>
    </row>
    <row r="1327" spans="13:16">
      <c r="M1327">
        <v>0.30484392792594672</v>
      </c>
      <c r="N1327">
        <v>0.16192982166069739</v>
      </c>
      <c r="O1327">
        <v>0.29332264530204782</v>
      </c>
      <c r="P1327">
        <v>0.23990360511130801</v>
      </c>
    </row>
    <row r="1328" spans="13:16">
      <c r="M1328">
        <v>0.274752559976564</v>
      </c>
      <c r="N1328">
        <v>0.19132221106613514</v>
      </c>
      <c r="O1328">
        <v>0.26687074228615559</v>
      </c>
      <c r="P1328">
        <v>0.26705448667114517</v>
      </c>
    </row>
    <row r="1329" spans="13:16">
      <c r="M1329">
        <v>0.27959348631208142</v>
      </c>
      <c r="N1329">
        <v>0.19185834760843531</v>
      </c>
      <c r="O1329">
        <v>0.27534725846705826</v>
      </c>
      <c r="P1329">
        <v>0.25320090761242503</v>
      </c>
    </row>
    <row r="1330" spans="13:16">
      <c r="M1330">
        <v>0.27091762498348232</v>
      </c>
      <c r="N1330">
        <v>0.18790578672575112</v>
      </c>
      <c r="O1330">
        <v>0.28152146515518012</v>
      </c>
      <c r="P1330">
        <v>0.25965512313558653</v>
      </c>
    </row>
    <row r="1331" spans="13:16">
      <c r="M1331">
        <v>0.26176957648906146</v>
      </c>
      <c r="N1331">
        <v>0.20353937309362133</v>
      </c>
      <c r="O1331">
        <v>0.27150144522244779</v>
      </c>
      <c r="P1331">
        <v>0.26318960519486939</v>
      </c>
    </row>
    <row r="1332" spans="13:16">
      <c r="M1332">
        <v>0.27833072990370761</v>
      </c>
      <c r="N1332">
        <v>0.18613923289619078</v>
      </c>
      <c r="O1332">
        <v>0.27333286609199908</v>
      </c>
      <c r="P1332">
        <v>0.26219717110810253</v>
      </c>
    </row>
    <row r="1333" spans="13:16">
      <c r="M1333">
        <v>0.29775584744627465</v>
      </c>
      <c r="N1333">
        <v>0.20310419781274847</v>
      </c>
      <c r="O1333">
        <v>0.22876145131995076</v>
      </c>
      <c r="P1333">
        <v>0.27037850342102615</v>
      </c>
    </row>
    <row r="1334" spans="13:16">
      <c r="M1334">
        <v>0.27674690697044674</v>
      </c>
      <c r="N1334">
        <v>0.21010216662992609</v>
      </c>
      <c r="O1334">
        <v>0.22627862796265164</v>
      </c>
      <c r="P1334">
        <v>0.28687229843697543</v>
      </c>
    </row>
    <row r="1335" spans="13:16">
      <c r="M1335">
        <v>0.29366883084565631</v>
      </c>
      <c r="N1335">
        <v>0.1751229659241107</v>
      </c>
      <c r="O1335">
        <v>0.26976936805156909</v>
      </c>
      <c r="P1335">
        <v>0.26143883517866373</v>
      </c>
    </row>
    <row r="1336" spans="13:16">
      <c r="M1336">
        <v>0.27672888298860399</v>
      </c>
      <c r="N1336">
        <v>0.18792463637317208</v>
      </c>
      <c r="O1336">
        <v>0.26022772225008539</v>
      </c>
      <c r="P1336">
        <v>0.27511875838813848</v>
      </c>
    </row>
    <row r="1337" spans="13:16">
      <c r="M1337">
        <v>0.281865438840605</v>
      </c>
      <c r="N1337">
        <v>0.17565935971294896</v>
      </c>
      <c r="O1337">
        <v>0.26466650981421747</v>
      </c>
      <c r="P1337">
        <v>0.2778086916322286</v>
      </c>
    </row>
    <row r="1338" spans="13:16">
      <c r="M1338">
        <v>0.29754325290484718</v>
      </c>
      <c r="N1338">
        <v>0.19280251691743616</v>
      </c>
      <c r="O1338">
        <v>0.22215884944395259</v>
      </c>
      <c r="P1338">
        <v>0.28749538073376413</v>
      </c>
    </row>
    <row r="1339" spans="13:16">
      <c r="M1339">
        <v>0.28890956591055394</v>
      </c>
      <c r="N1339">
        <v>0.19555184108289339</v>
      </c>
      <c r="O1339">
        <v>0.24159546491820874</v>
      </c>
      <c r="P1339">
        <v>0.27394312808834398</v>
      </c>
    </row>
    <row r="1340" spans="13:16">
      <c r="M1340">
        <v>0.25723375908596652</v>
      </c>
      <c r="N1340">
        <v>0.2054654392566502</v>
      </c>
      <c r="O1340">
        <v>0.28217638674373391</v>
      </c>
      <c r="P1340">
        <v>0.25512441491364918</v>
      </c>
    </row>
    <row r="1341" spans="13:16">
      <c r="M1341">
        <v>0.29379546904157933</v>
      </c>
      <c r="N1341">
        <v>0.17599021323947314</v>
      </c>
      <c r="O1341">
        <v>0.27556970805785658</v>
      </c>
      <c r="P1341">
        <v>0.25464460966109104</v>
      </c>
    </row>
    <row r="1342" spans="13:16">
      <c r="M1342">
        <v>0.2667203867351059</v>
      </c>
      <c r="N1342">
        <v>0.20481971494962808</v>
      </c>
      <c r="O1342">
        <v>0.27172875216892473</v>
      </c>
      <c r="P1342">
        <v>0.25673114614634135</v>
      </c>
    </row>
    <row r="1343" spans="13:16">
      <c r="M1343">
        <v>0.2626551976174919</v>
      </c>
      <c r="N1343">
        <v>0.20409872602564277</v>
      </c>
      <c r="O1343">
        <v>0.26667094257271245</v>
      </c>
      <c r="P1343">
        <v>0.26657513378415282</v>
      </c>
    </row>
    <row r="1344" spans="13:16">
      <c r="M1344">
        <v>0.27035445227442534</v>
      </c>
      <c r="N1344">
        <v>0.21193551118576964</v>
      </c>
      <c r="O1344">
        <v>0.23476463959380739</v>
      </c>
      <c r="P1344">
        <v>0.28294539694599763</v>
      </c>
    </row>
    <row r="1345" spans="13:16">
      <c r="M1345">
        <v>0.29625135482257658</v>
      </c>
      <c r="N1345">
        <v>0.1732952086225806</v>
      </c>
      <c r="O1345">
        <v>0.26956870959859297</v>
      </c>
      <c r="P1345">
        <v>0.2608847269562497</v>
      </c>
    </row>
    <row r="1346" spans="13:16">
      <c r="M1346">
        <v>0.30894513029541459</v>
      </c>
      <c r="N1346">
        <v>0.18030463285573622</v>
      </c>
      <c r="O1346">
        <v>0.25135877667542966</v>
      </c>
      <c r="P1346">
        <v>0.25939146017341957</v>
      </c>
    </row>
    <row r="1347" spans="13:16">
      <c r="M1347">
        <v>0.26632711598461628</v>
      </c>
      <c r="N1347">
        <v>0.20711454101860152</v>
      </c>
      <c r="O1347">
        <v>0.26161573933932114</v>
      </c>
      <c r="P1347">
        <v>0.26494260365746108</v>
      </c>
    </row>
    <row r="1348" spans="13:16">
      <c r="M1348">
        <v>0.29066340734318991</v>
      </c>
      <c r="N1348">
        <v>0.20299961430545457</v>
      </c>
      <c r="O1348">
        <v>0.23446621235179876</v>
      </c>
      <c r="P1348">
        <v>0.27187076599955667</v>
      </c>
    </row>
    <row r="1349" spans="13:16">
      <c r="M1349">
        <v>0.31299799891744051</v>
      </c>
      <c r="N1349">
        <v>0.17811823039663185</v>
      </c>
      <c r="O1349">
        <v>0.25049205677725173</v>
      </c>
      <c r="P1349">
        <v>0.25839171390867577</v>
      </c>
    </row>
    <row r="1350" spans="13:16">
      <c r="M1350">
        <v>0.29821624937584051</v>
      </c>
      <c r="N1350">
        <v>0.15866375759838838</v>
      </c>
      <c r="O1350">
        <v>0.3006384562044519</v>
      </c>
      <c r="P1350">
        <v>0.24248153682131912</v>
      </c>
    </row>
    <row r="1351" spans="13:16">
      <c r="M1351">
        <v>0.28873326810388711</v>
      </c>
      <c r="N1351">
        <v>0.1991687038187899</v>
      </c>
      <c r="O1351">
        <v>0.22688843837248324</v>
      </c>
      <c r="P1351">
        <v>0.28520958970483995</v>
      </c>
    </row>
    <row r="1352" spans="13:16">
      <c r="M1352">
        <v>0.29743796420430479</v>
      </c>
      <c r="N1352">
        <v>0.19473920230517311</v>
      </c>
      <c r="O1352">
        <v>0.2512701416400494</v>
      </c>
      <c r="P1352">
        <v>0.25655269185047269</v>
      </c>
    </row>
    <row r="1353" spans="13:16">
      <c r="M1353">
        <v>0.29850919524142194</v>
      </c>
      <c r="N1353">
        <v>0.18543574506751725</v>
      </c>
      <c r="O1353">
        <v>0.2625007223578299</v>
      </c>
      <c r="P1353">
        <v>0.25355433733323096</v>
      </c>
    </row>
    <row r="1354" spans="13:16">
      <c r="M1354">
        <v>0.30687102108267855</v>
      </c>
      <c r="N1354">
        <v>0.17313841938452831</v>
      </c>
      <c r="O1354">
        <v>0.24859687494362545</v>
      </c>
      <c r="P1354">
        <v>0.27139368458916779</v>
      </c>
    </row>
    <row r="1355" spans="13:16">
      <c r="M1355">
        <v>0.30194220643207043</v>
      </c>
      <c r="N1355">
        <v>0.19836109545764141</v>
      </c>
      <c r="O1355">
        <v>0.23683382073496706</v>
      </c>
      <c r="P1355">
        <v>0.26286287737532094</v>
      </c>
    </row>
    <row r="1356" spans="13:16">
      <c r="M1356">
        <v>0.31287864617447902</v>
      </c>
      <c r="N1356">
        <v>0.18846468905302413</v>
      </c>
      <c r="O1356">
        <v>0.22725540820653684</v>
      </c>
      <c r="P1356">
        <v>0.27140125656595998</v>
      </c>
    </row>
    <row r="1357" spans="13:16">
      <c r="M1357">
        <v>0.30725149261300427</v>
      </c>
      <c r="N1357">
        <v>0.16445615642868566</v>
      </c>
      <c r="O1357">
        <v>0.27904681306568929</v>
      </c>
      <c r="P1357">
        <v>0.24924553789262069</v>
      </c>
    </row>
    <row r="1358" spans="13:16">
      <c r="M1358">
        <v>0.31870412271780135</v>
      </c>
      <c r="N1358">
        <v>0.17196463485480187</v>
      </c>
      <c r="O1358">
        <v>0.25365295479965805</v>
      </c>
      <c r="P1358">
        <v>0.25567828762773875</v>
      </c>
    </row>
    <row r="1359" spans="13:16">
      <c r="M1359">
        <v>0.29980829272259912</v>
      </c>
      <c r="N1359">
        <v>0.17805337395431897</v>
      </c>
      <c r="O1359">
        <v>0.26687103175602495</v>
      </c>
      <c r="P1359">
        <v>0.25526730156705701</v>
      </c>
    </row>
    <row r="1360" spans="13:16">
      <c r="M1360">
        <v>0.3000879897242858</v>
      </c>
      <c r="N1360">
        <v>0.19010280740005756</v>
      </c>
      <c r="O1360">
        <v>0.25409224125945828</v>
      </c>
      <c r="P1360">
        <v>0.25571696161619845</v>
      </c>
    </row>
    <row r="1361" spans="13:16">
      <c r="M1361">
        <v>0.2771040314783299</v>
      </c>
      <c r="N1361">
        <v>0.17185305244511759</v>
      </c>
      <c r="O1361">
        <v>0.29434822800056776</v>
      </c>
      <c r="P1361">
        <v>0.25669468807598461</v>
      </c>
    </row>
    <row r="1362" spans="13:16">
      <c r="M1362">
        <v>0.29077527476500054</v>
      </c>
      <c r="N1362">
        <v>0.16903568486458542</v>
      </c>
      <c r="O1362">
        <v>0.291040916545793</v>
      </c>
      <c r="P1362">
        <v>0.24914812382462095</v>
      </c>
    </row>
    <row r="1363" spans="13:16">
      <c r="M1363">
        <v>0.28934680932335871</v>
      </c>
      <c r="N1363">
        <v>0.20413672499064903</v>
      </c>
      <c r="O1363">
        <v>0.23708076536295719</v>
      </c>
      <c r="P1363">
        <v>0.26943570032303515</v>
      </c>
    </row>
    <row r="1364" spans="13:16">
      <c r="M1364">
        <v>0.26309747207246825</v>
      </c>
      <c r="N1364">
        <v>0.20027750904497049</v>
      </c>
      <c r="O1364">
        <v>0.26183161333978738</v>
      </c>
      <c r="P1364">
        <v>0.27479340554277387</v>
      </c>
    </row>
    <row r="1365" spans="13:16">
      <c r="M1365">
        <v>0.28063401314505104</v>
      </c>
      <c r="N1365">
        <v>0.19907410404168144</v>
      </c>
      <c r="O1365">
        <v>0.25309095713541724</v>
      </c>
      <c r="P1365">
        <v>0.26720092567785031</v>
      </c>
    </row>
    <row r="1366" spans="13:16">
      <c r="M1366">
        <v>0.29192454218657066</v>
      </c>
      <c r="N1366">
        <v>0.1742537700055149</v>
      </c>
      <c r="O1366">
        <v>0.27595025590760053</v>
      </c>
      <c r="P1366">
        <v>0.25787143190031386</v>
      </c>
    </row>
    <row r="1367" spans="13:16">
      <c r="M1367">
        <v>0.31450584143806098</v>
      </c>
      <c r="N1367">
        <v>0.16800241948038344</v>
      </c>
      <c r="O1367">
        <v>0.26129843431637673</v>
      </c>
      <c r="P1367">
        <v>0.25619330476517871</v>
      </c>
    </row>
    <row r="1368" spans="13:16">
      <c r="M1368">
        <v>0.28609295889429898</v>
      </c>
      <c r="N1368">
        <v>0.18208802516841241</v>
      </c>
      <c r="O1368">
        <v>0.27525943359930871</v>
      </c>
      <c r="P1368">
        <v>0.25655958233797982</v>
      </c>
    </row>
    <row r="1369" spans="13:16">
      <c r="M1369">
        <v>0.2868478344387555</v>
      </c>
      <c r="N1369">
        <v>0.17608773392266627</v>
      </c>
      <c r="O1369">
        <v>0.26047277077635489</v>
      </c>
      <c r="P1369">
        <v>0.27659166086222325</v>
      </c>
    </row>
    <row r="1370" spans="13:16">
      <c r="M1370">
        <v>0.27079716492084888</v>
      </c>
      <c r="N1370">
        <v>0.20095340855067101</v>
      </c>
      <c r="O1370">
        <v>0.25687061594905991</v>
      </c>
      <c r="P1370">
        <v>0.27137881057942032</v>
      </c>
    </row>
    <row r="1371" spans="13:16">
      <c r="M1371">
        <v>0.28632833216485581</v>
      </c>
      <c r="N1371">
        <v>0.17766718475502483</v>
      </c>
      <c r="O1371">
        <v>0.28126008222652721</v>
      </c>
      <c r="P1371">
        <v>0.25474440085359218</v>
      </c>
    </row>
    <row r="1372" spans="13:16">
      <c r="M1372">
        <v>0.28735908340881183</v>
      </c>
      <c r="N1372">
        <v>0.21606568310882471</v>
      </c>
      <c r="O1372">
        <v>0.22101014128928873</v>
      </c>
      <c r="P1372">
        <v>0.27556509219307473</v>
      </c>
    </row>
    <row r="1373" spans="13:16">
      <c r="M1373">
        <v>0.30059417355912821</v>
      </c>
      <c r="N1373">
        <v>0.21013031623087533</v>
      </c>
      <c r="O1373">
        <v>0.22360361943475127</v>
      </c>
      <c r="P1373">
        <v>0.26567189077524517</v>
      </c>
    </row>
    <row r="1374" spans="13:16">
      <c r="M1374">
        <v>0.29472062653451087</v>
      </c>
      <c r="N1374">
        <v>0.18458841582611274</v>
      </c>
      <c r="O1374">
        <v>0.25613494073770665</v>
      </c>
      <c r="P1374">
        <v>0.26455601690166974</v>
      </c>
    </row>
    <row r="1375" spans="13:16">
      <c r="M1375">
        <v>0.29495431408478179</v>
      </c>
      <c r="N1375">
        <v>0.17833205379070288</v>
      </c>
      <c r="O1375">
        <v>0.26908220177823444</v>
      </c>
      <c r="P1375">
        <v>0.25763143034628089</v>
      </c>
    </row>
    <row r="1376" spans="13:16">
      <c r="M1376">
        <v>0.29779348216124873</v>
      </c>
      <c r="N1376">
        <v>0.18283602243603964</v>
      </c>
      <c r="O1376">
        <v>0.24381306783121146</v>
      </c>
      <c r="P1376">
        <v>0.27555742757150015</v>
      </c>
    </row>
    <row r="1377" spans="13:16">
      <c r="M1377">
        <v>0.29442345442509255</v>
      </c>
      <c r="N1377">
        <v>0.18938621100086253</v>
      </c>
      <c r="O1377">
        <v>0.25592126868135889</v>
      </c>
      <c r="P1377">
        <v>0.26026906589268606</v>
      </c>
    </row>
    <row r="1378" spans="13:16">
      <c r="M1378">
        <v>0.2864317138210854</v>
      </c>
      <c r="N1378">
        <v>0.21550980557742591</v>
      </c>
      <c r="O1378">
        <v>0.20788366348300294</v>
      </c>
      <c r="P1378">
        <v>0.29017481711848575</v>
      </c>
    </row>
    <row r="1379" spans="13:16">
      <c r="M1379">
        <v>0.31168126672643948</v>
      </c>
      <c r="N1379">
        <v>0.18328382057453965</v>
      </c>
      <c r="O1379">
        <v>0.23402613981531967</v>
      </c>
      <c r="P1379">
        <v>0.27100877288370107</v>
      </c>
    </row>
    <row r="1380" spans="13:16">
      <c r="M1380">
        <v>0.29933866536745141</v>
      </c>
      <c r="N1380">
        <v>0.18092213003951638</v>
      </c>
      <c r="O1380">
        <v>0.24210175983066654</v>
      </c>
      <c r="P1380">
        <v>0.27763744476236574</v>
      </c>
    </row>
    <row r="1381" spans="13:16">
      <c r="M1381">
        <v>0.26430673717393116</v>
      </c>
      <c r="N1381">
        <v>0.2091487819695379</v>
      </c>
      <c r="O1381">
        <v>0.26005852547107533</v>
      </c>
      <c r="P1381">
        <v>0.26648595538545561</v>
      </c>
    </row>
    <row r="1382" spans="13:16">
      <c r="M1382">
        <v>0.30115075495611121</v>
      </c>
      <c r="N1382">
        <v>0.18525419893446729</v>
      </c>
      <c r="O1382">
        <v>0.24327430308328221</v>
      </c>
      <c r="P1382">
        <v>0.27032074302613923</v>
      </c>
    </row>
    <row r="1383" spans="13:16">
      <c r="M1383">
        <v>0.27465819987987583</v>
      </c>
      <c r="N1383">
        <v>0.17942286007401276</v>
      </c>
      <c r="O1383">
        <v>0.27302590896586459</v>
      </c>
      <c r="P1383">
        <v>0.27289303108024676</v>
      </c>
    </row>
    <row r="1384" spans="13:16">
      <c r="M1384">
        <v>0.27224177883230505</v>
      </c>
      <c r="N1384">
        <v>0.18373669483874788</v>
      </c>
      <c r="O1384">
        <v>0.28697185754193849</v>
      </c>
      <c r="P1384">
        <v>0.25704966878700858</v>
      </c>
    </row>
    <row r="1385" spans="13:16">
      <c r="M1385">
        <v>0.27517662552813354</v>
      </c>
      <c r="N1385">
        <v>0.20893335848142436</v>
      </c>
      <c r="O1385">
        <v>0.23852972022219465</v>
      </c>
      <c r="P1385">
        <v>0.27736029576824739</v>
      </c>
    </row>
    <row r="1386" spans="13:16">
      <c r="M1386">
        <v>0.30026897380403206</v>
      </c>
      <c r="N1386">
        <v>0.17819299522985194</v>
      </c>
      <c r="O1386">
        <v>0.26517515172562667</v>
      </c>
      <c r="P1386">
        <v>0.25636287924048951</v>
      </c>
    </row>
    <row r="1387" spans="13:16">
      <c r="M1387">
        <v>0.30428656002356841</v>
      </c>
      <c r="N1387">
        <v>0.17476965694577565</v>
      </c>
      <c r="O1387">
        <v>0.26068149968737447</v>
      </c>
      <c r="P1387">
        <v>0.26026228334328155</v>
      </c>
    </row>
    <row r="1388" spans="13:16">
      <c r="M1388">
        <v>0.2767698843990371</v>
      </c>
      <c r="N1388">
        <v>0.18882169282030528</v>
      </c>
      <c r="O1388">
        <v>0.25966785332488929</v>
      </c>
      <c r="P1388">
        <v>0.27474056945576841</v>
      </c>
    </row>
    <row r="1389" spans="13:16">
      <c r="M1389">
        <v>0.27739906582869817</v>
      </c>
      <c r="N1389">
        <v>0.19456098834685348</v>
      </c>
      <c r="O1389">
        <v>0.24957597393609884</v>
      </c>
      <c r="P1389">
        <v>0.27846397188834943</v>
      </c>
    </row>
    <row r="1390" spans="13:16">
      <c r="M1390">
        <v>0.26215152885119497</v>
      </c>
      <c r="N1390">
        <v>0.20050043127138678</v>
      </c>
      <c r="O1390">
        <v>0.27454495810197782</v>
      </c>
      <c r="P1390">
        <v>0.26280308177544043</v>
      </c>
    </row>
    <row r="1391" spans="13:16">
      <c r="M1391">
        <v>0.2852332910930977</v>
      </c>
      <c r="N1391">
        <v>0.18053396874516009</v>
      </c>
      <c r="O1391">
        <v>0.25533472830729165</v>
      </c>
      <c r="P1391">
        <v>0.27889801185445068</v>
      </c>
    </row>
    <row r="1392" spans="13:16">
      <c r="M1392">
        <v>0.28956302316674459</v>
      </c>
      <c r="N1392">
        <v>0.19080414936593362</v>
      </c>
      <c r="O1392">
        <v>0.24027139278575502</v>
      </c>
      <c r="P1392">
        <v>0.27936143468156671</v>
      </c>
    </row>
    <row r="1393" spans="13:16">
      <c r="M1393">
        <v>0.31013532203864314</v>
      </c>
      <c r="N1393">
        <v>0.17343252786765759</v>
      </c>
      <c r="O1393">
        <v>0.26342406271761321</v>
      </c>
      <c r="P1393">
        <v>0.2530080873760861</v>
      </c>
    </row>
    <row r="1394" spans="13:16">
      <c r="M1394">
        <v>0.26473182274932333</v>
      </c>
      <c r="N1394">
        <v>0.18458549620566136</v>
      </c>
      <c r="O1394">
        <v>0.28728688534807861</v>
      </c>
      <c r="P1394">
        <v>0.26339579569693661</v>
      </c>
    </row>
    <row r="1395" spans="13:16">
      <c r="M1395">
        <v>0.28989974191726831</v>
      </c>
      <c r="N1395">
        <v>0.17853867159274953</v>
      </c>
      <c r="O1395">
        <v>0.27464661246822125</v>
      </c>
      <c r="P1395">
        <v>0.25691497402176083</v>
      </c>
    </row>
    <row r="1396" spans="13:16">
      <c r="M1396">
        <v>0.26976973414970179</v>
      </c>
      <c r="N1396">
        <v>0.20016738962814817</v>
      </c>
      <c r="O1396">
        <v>0.25475156628265477</v>
      </c>
      <c r="P1396">
        <v>0.27531130993949532</v>
      </c>
    </row>
    <row r="1397" spans="13:16">
      <c r="M1397">
        <v>0.29444714431952052</v>
      </c>
      <c r="N1397">
        <v>0.16645172724421708</v>
      </c>
      <c r="O1397">
        <v>0.28600937666762682</v>
      </c>
      <c r="P1397">
        <v>0.25309175176863552</v>
      </c>
    </row>
    <row r="1398" spans="13:16">
      <c r="M1398">
        <v>0.31751439472164278</v>
      </c>
      <c r="N1398">
        <v>0.17960007045331813</v>
      </c>
      <c r="O1398">
        <v>0.2456563317541024</v>
      </c>
      <c r="P1398">
        <v>0.25722920307093666</v>
      </c>
    </row>
    <row r="1399" spans="13:16">
      <c r="M1399">
        <v>0.31216670855194539</v>
      </c>
      <c r="N1399">
        <v>0.19486313597157903</v>
      </c>
      <c r="O1399">
        <v>0.21697220775713638</v>
      </c>
      <c r="P1399">
        <v>0.27599794771933911</v>
      </c>
    </row>
    <row r="1400" spans="13:16">
      <c r="M1400">
        <v>0.32415178233361708</v>
      </c>
      <c r="N1400">
        <v>0.1852518266181237</v>
      </c>
      <c r="O1400">
        <v>0.22460116441076899</v>
      </c>
      <c r="P1400">
        <v>0.2659952266374902</v>
      </c>
    </row>
    <row r="1401" spans="13:16">
      <c r="M1401">
        <v>0.27413585742092195</v>
      </c>
      <c r="N1401">
        <v>0.1851177885967456</v>
      </c>
      <c r="O1401">
        <v>0.2588897719936295</v>
      </c>
      <c r="P1401">
        <v>0.28185658198870295</v>
      </c>
    </row>
    <row r="1402" spans="13:16">
      <c r="M1402">
        <v>0.27462669458534661</v>
      </c>
      <c r="N1402">
        <v>0.18676429335374634</v>
      </c>
      <c r="O1402">
        <v>0.27521308758126789</v>
      </c>
      <c r="P1402">
        <v>0.263395924479639</v>
      </c>
    </row>
    <row r="1403" spans="13:16">
      <c r="M1403">
        <v>0.29448011649145944</v>
      </c>
      <c r="N1403">
        <v>0.20863815771230326</v>
      </c>
      <c r="O1403">
        <v>0.22828008686793133</v>
      </c>
      <c r="P1403">
        <v>0.26860163892830596</v>
      </c>
    </row>
    <row r="1404" spans="13:16">
      <c r="M1404">
        <v>0.28545056712030448</v>
      </c>
      <c r="N1404">
        <v>0.1839576069925605</v>
      </c>
      <c r="O1404">
        <v>0.24518101706264994</v>
      </c>
      <c r="P1404">
        <v>0.28541080882448511</v>
      </c>
    </row>
    <row r="1405" spans="13:16">
      <c r="M1405">
        <v>0.29939284261883303</v>
      </c>
      <c r="N1405">
        <v>0.1702110189619794</v>
      </c>
      <c r="O1405">
        <v>0.27615188867789403</v>
      </c>
      <c r="P1405">
        <v>0.25424424974129345</v>
      </c>
    </row>
    <row r="1406" spans="13:16">
      <c r="M1406">
        <v>0.28027592746158886</v>
      </c>
      <c r="N1406">
        <v>0.1776776269790856</v>
      </c>
      <c r="O1406">
        <v>0.27976023633957153</v>
      </c>
      <c r="P1406">
        <v>0.2622862092197541</v>
      </c>
    </row>
    <row r="1407" spans="13:16">
      <c r="M1407">
        <v>0.29858903731841502</v>
      </c>
      <c r="N1407">
        <v>0.18197999226171971</v>
      </c>
      <c r="O1407">
        <v>0.25018093903515709</v>
      </c>
      <c r="P1407">
        <v>0.2692500313847081</v>
      </c>
    </row>
    <row r="1408" spans="13:16">
      <c r="M1408">
        <v>0.29399291015552254</v>
      </c>
      <c r="N1408">
        <v>0.17668163146064489</v>
      </c>
      <c r="O1408">
        <v>0.28587645292528274</v>
      </c>
      <c r="P1408">
        <v>0.24344900545854975</v>
      </c>
    </row>
    <row r="1409" spans="13:16">
      <c r="M1409">
        <v>0.27546659185098982</v>
      </c>
      <c r="N1409">
        <v>0.18469354917815928</v>
      </c>
      <c r="O1409">
        <v>0.26288269711914486</v>
      </c>
      <c r="P1409">
        <v>0.27695716185170594</v>
      </c>
    </row>
    <row r="1410" spans="13:16">
      <c r="M1410">
        <v>0.2872724156136971</v>
      </c>
      <c r="N1410">
        <v>0.18345743142222024</v>
      </c>
      <c r="O1410">
        <v>0.26897767490637564</v>
      </c>
      <c r="P1410">
        <v>0.260292478057707</v>
      </c>
    </row>
    <row r="1411" spans="13:16">
      <c r="M1411">
        <v>0.28499659178344544</v>
      </c>
      <c r="N1411">
        <v>0.17902585662908316</v>
      </c>
      <c r="O1411">
        <v>0.26901043122137547</v>
      </c>
      <c r="P1411">
        <v>0.26696712036609604</v>
      </c>
    </row>
    <row r="1412" spans="13:16">
      <c r="M1412">
        <v>0.28724208958742892</v>
      </c>
      <c r="N1412">
        <v>0.18277957054631686</v>
      </c>
      <c r="O1412">
        <v>0.26949692675334769</v>
      </c>
      <c r="P1412">
        <v>0.26048141311290646</v>
      </c>
    </row>
    <row r="1413" spans="13:16">
      <c r="M1413">
        <v>0.3079544209436238</v>
      </c>
      <c r="N1413">
        <v>0.18189191483225264</v>
      </c>
      <c r="O1413">
        <v>0.25572947448545963</v>
      </c>
      <c r="P1413">
        <v>0.25442418973866388</v>
      </c>
    </row>
    <row r="1414" spans="13:16">
      <c r="M1414">
        <v>0.27597483021369629</v>
      </c>
      <c r="N1414">
        <v>0.20690397644224984</v>
      </c>
      <c r="O1414">
        <v>0.24861328942662816</v>
      </c>
      <c r="P1414">
        <v>0.26850790391742557</v>
      </c>
    </row>
    <row r="1415" spans="13:16">
      <c r="M1415">
        <v>0.26657700291085529</v>
      </c>
      <c r="N1415">
        <v>0.20131733306568003</v>
      </c>
      <c r="O1415">
        <v>0.26158491254599886</v>
      </c>
      <c r="P1415">
        <v>0.27052075147746574</v>
      </c>
    </row>
    <row r="1416" spans="13:16">
      <c r="M1416">
        <v>0.3042907198293287</v>
      </c>
      <c r="N1416">
        <v>0.18012243638916048</v>
      </c>
      <c r="O1416">
        <v>0.25949034248299474</v>
      </c>
      <c r="P1416">
        <v>0.25609650129851619</v>
      </c>
    </row>
    <row r="1417" spans="13:16">
      <c r="M1417">
        <v>0.27660102036969747</v>
      </c>
      <c r="N1417">
        <v>0.19486383449967792</v>
      </c>
      <c r="O1417">
        <v>0.25355147617981855</v>
      </c>
      <c r="P1417">
        <v>0.27498366895080611</v>
      </c>
    </row>
    <row r="1418" spans="13:16">
      <c r="M1418">
        <v>0.31811696189352162</v>
      </c>
      <c r="N1418">
        <v>0.1778219388645772</v>
      </c>
      <c r="O1418">
        <v>0.24919668111872173</v>
      </c>
      <c r="P1418">
        <v>0.25486441812317945</v>
      </c>
    </row>
    <row r="1419" spans="13:16">
      <c r="M1419">
        <v>0.27813847020429266</v>
      </c>
      <c r="N1419">
        <v>0.20512356161533249</v>
      </c>
      <c r="O1419">
        <v>0.2428527418288387</v>
      </c>
      <c r="P1419">
        <v>0.27388522635153623</v>
      </c>
    </row>
    <row r="1420" spans="13:16">
      <c r="M1420">
        <v>0.33151507605290054</v>
      </c>
      <c r="N1420">
        <v>0.17342779332934533</v>
      </c>
      <c r="O1420">
        <v>0.23712201666463101</v>
      </c>
      <c r="P1420">
        <v>0.25793511395312302</v>
      </c>
    </row>
    <row r="1421" spans="13:16">
      <c r="M1421">
        <v>0.28570498902175628</v>
      </c>
      <c r="N1421">
        <v>0.17406025948632378</v>
      </c>
      <c r="O1421">
        <v>0.28258801347312135</v>
      </c>
      <c r="P1421">
        <v>0.25764673801879862</v>
      </c>
    </row>
    <row r="1422" spans="13:16">
      <c r="M1422">
        <v>0.28865819240047058</v>
      </c>
      <c r="N1422">
        <v>0.19303545244787362</v>
      </c>
      <c r="O1422">
        <v>0.2340390970063827</v>
      </c>
      <c r="P1422">
        <v>0.28426725814527315</v>
      </c>
    </row>
    <row r="1423" spans="13:16">
      <c r="M1423">
        <v>0.29905510273811486</v>
      </c>
      <c r="N1423">
        <v>0.19189334495013596</v>
      </c>
      <c r="O1423">
        <v>0.23788291986891369</v>
      </c>
      <c r="P1423">
        <v>0.2711686324428354</v>
      </c>
    </row>
    <row r="1424" spans="13:16">
      <c r="M1424">
        <v>0.2767367561617633</v>
      </c>
      <c r="N1424">
        <v>0.19236973746383396</v>
      </c>
      <c r="O1424">
        <v>0.2684638363693419</v>
      </c>
      <c r="P1424">
        <v>0.26242967000506084</v>
      </c>
    </row>
    <row r="1425" spans="13:16">
      <c r="M1425">
        <v>0.28068267627842686</v>
      </c>
      <c r="N1425">
        <v>0.18553679262755435</v>
      </c>
      <c r="O1425">
        <v>0.25122189876151674</v>
      </c>
      <c r="P1425">
        <v>0.28255863233250217</v>
      </c>
    </row>
    <row r="1426" spans="13:16">
      <c r="M1426">
        <v>0.2742832448263709</v>
      </c>
      <c r="N1426">
        <v>0.18999247166124536</v>
      </c>
      <c r="O1426">
        <v>0.28163829019006142</v>
      </c>
      <c r="P1426">
        <v>0.25408599332232223</v>
      </c>
    </row>
    <row r="1427" spans="13:16">
      <c r="M1427">
        <v>0.30595589110406046</v>
      </c>
      <c r="N1427">
        <v>0.17729609452613107</v>
      </c>
      <c r="O1427">
        <v>0.23600191972593396</v>
      </c>
      <c r="P1427">
        <v>0.28074609464387446</v>
      </c>
    </row>
    <row r="1428" spans="13:16">
      <c r="M1428">
        <v>0.28576218671036679</v>
      </c>
      <c r="N1428">
        <v>0.19010111475174046</v>
      </c>
      <c r="O1428">
        <v>0.25067271754182213</v>
      </c>
      <c r="P1428">
        <v>0.27346398099607067</v>
      </c>
    </row>
    <row r="1429" spans="13:16">
      <c r="M1429">
        <v>0.29203066387719118</v>
      </c>
      <c r="N1429">
        <v>0.18001510881180044</v>
      </c>
      <c r="O1429">
        <v>0.25989256911968489</v>
      </c>
      <c r="P1429">
        <v>0.26806165819132344</v>
      </c>
    </row>
    <row r="1430" spans="13:16">
      <c r="M1430">
        <v>0.29403846117978899</v>
      </c>
      <c r="N1430">
        <v>0.18374521195488971</v>
      </c>
      <c r="O1430">
        <v>0.25974668072067392</v>
      </c>
      <c r="P1430">
        <v>0.26246964614464741</v>
      </c>
    </row>
    <row r="1431" spans="13:16">
      <c r="M1431">
        <v>0.32079408361140266</v>
      </c>
      <c r="N1431">
        <v>0.18003745181001304</v>
      </c>
      <c r="O1431">
        <v>0.23913867904692648</v>
      </c>
      <c r="P1431">
        <v>0.26002978553165779</v>
      </c>
    </row>
    <row r="1432" spans="13:16">
      <c r="M1432">
        <v>0.29305077643901117</v>
      </c>
      <c r="N1432">
        <v>0.17151910944819243</v>
      </c>
      <c r="O1432">
        <v>0.27678812774754002</v>
      </c>
      <c r="P1432">
        <v>0.25864198636525654</v>
      </c>
    </row>
    <row r="1433" spans="13:16">
      <c r="M1433">
        <v>0.28417484514057922</v>
      </c>
      <c r="N1433">
        <v>0.19455471888548595</v>
      </c>
      <c r="O1433">
        <v>0.26939373218377471</v>
      </c>
      <c r="P1433">
        <v>0.25187670379016019</v>
      </c>
    </row>
    <row r="1434" spans="13:16">
      <c r="M1434">
        <v>0.28896453163535035</v>
      </c>
      <c r="N1434">
        <v>0.20700191242783331</v>
      </c>
      <c r="O1434">
        <v>0.24983800826835309</v>
      </c>
      <c r="P1434">
        <v>0.25419554766846331</v>
      </c>
    </row>
    <row r="1435" spans="13:16">
      <c r="M1435">
        <v>0.2830497105448298</v>
      </c>
      <c r="N1435">
        <v>0.17680759397743073</v>
      </c>
      <c r="O1435">
        <v>0.27400411953783144</v>
      </c>
      <c r="P1435">
        <v>0.26613857593990803</v>
      </c>
    </row>
    <row r="1436" spans="13:16">
      <c r="M1436">
        <v>0.26437205656404955</v>
      </c>
      <c r="N1436">
        <v>0.19704296024949081</v>
      </c>
      <c r="O1436">
        <v>0.25453202646042816</v>
      </c>
      <c r="P1436">
        <v>0.28405295672603159</v>
      </c>
    </row>
    <row r="1437" spans="13:16">
      <c r="M1437">
        <v>0.30802548640371119</v>
      </c>
      <c r="N1437">
        <v>0.18868047604822596</v>
      </c>
      <c r="O1437">
        <v>0.24627860573991947</v>
      </c>
      <c r="P1437">
        <v>0.2570154318081434</v>
      </c>
    </row>
    <row r="1438" spans="13:16">
      <c r="M1438">
        <v>0.3469653399767364</v>
      </c>
      <c r="N1438">
        <v>0.16921683517343489</v>
      </c>
      <c r="O1438">
        <v>0.22730795198970433</v>
      </c>
      <c r="P1438">
        <v>0.25650987286012433</v>
      </c>
    </row>
    <row r="1439" spans="13:16">
      <c r="M1439">
        <v>0.30940929145372836</v>
      </c>
      <c r="N1439">
        <v>0.18888233947617561</v>
      </c>
      <c r="O1439">
        <v>0.23213559929561595</v>
      </c>
      <c r="P1439">
        <v>0.26957276977448008</v>
      </c>
    </row>
    <row r="1440" spans="13:16">
      <c r="M1440">
        <v>0.29375799327813668</v>
      </c>
      <c r="N1440">
        <v>0.17966167914832246</v>
      </c>
      <c r="O1440">
        <v>0.2777432232677427</v>
      </c>
      <c r="P1440">
        <v>0.24883710430579817</v>
      </c>
    </row>
    <row r="1441" spans="13:16">
      <c r="M1441">
        <v>0.257132211544853</v>
      </c>
      <c r="N1441">
        <v>0.19198566016648699</v>
      </c>
      <c r="O1441">
        <v>0.29645292420063885</v>
      </c>
      <c r="P1441">
        <v>0.25442920408802122</v>
      </c>
    </row>
    <row r="1442" spans="13:16">
      <c r="M1442">
        <v>0.30235694983057537</v>
      </c>
      <c r="N1442">
        <v>0.17686953170429667</v>
      </c>
      <c r="O1442">
        <v>0.24779562630461058</v>
      </c>
      <c r="P1442">
        <v>0.27297789216051754</v>
      </c>
    </row>
    <row r="1443" spans="13:16">
      <c r="M1443">
        <v>0.28551599595607202</v>
      </c>
      <c r="N1443">
        <v>0.1711815730176203</v>
      </c>
      <c r="O1443">
        <v>0.28963878702574331</v>
      </c>
      <c r="P1443">
        <v>0.25366364400056446</v>
      </c>
    </row>
    <row r="1444" spans="13:16">
      <c r="M1444">
        <v>0.27784888017215059</v>
      </c>
      <c r="N1444">
        <v>0.18573206179885846</v>
      </c>
      <c r="O1444">
        <v>0.27119466690032334</v>
      </c>
      <c r="P1444">
        <v>0.26522439112866758</v>
      </c>
    </row>
    <row r="1445" spans="13:16">
      <c r="M1445">
        <v>0.2951061072548864</v>
      </c>
      <c r="N1445">
        <v>0.19228539582985257</v>
      </c>
      <c r="O1445">
        <v>0.25546088556295149</v>
      </c>
      <c r="P1445">
        <v>0.25714761135230957</v>
      </c>
    </row>
    <row r="1446" spans="13:16">
      <c r="M1446">
        <v>0.27117772176461469</v>
      </c>
      <c r="N1446">
        <v>0.19825098338042596</v>
      </c>
      <c r="O1446">
        <v>0.25154892782858995</v>
      </c>
      <c r="P1446">
        <v>0.27902236702636934</v>
      </c>
    </row>
    <row r="1447" spans="13:16">
      <c r="M1447">
        <v>0.29981813742405666</v>
      </c>
      <c r="N1447">
        <v>0.17696040984938616</v>
      </c>
      <c r="O1447">
        <v>0.25102553240912689</v>
      </c>
      <c r="P1447">
        <v>0.27219592031743023</v>
      </c>
    </row>
    <row r="1448" spans="13:16">
      <c r="M1448">
        <v>0.2771588771782485</v>
      </c>
      <c r="N1448">
        <v>0.17169398725231319</v>
      </c>
      <c r="O1448">
        <v>0.28731028925472307</v>
      </c>
      <c r="P1448">
        <v>0.26383684631471521</v>
      </c>
    </row>
    <row r="1449" spans="13:16">
      <c r="M1449">
        <v>0.32058694371190316</v>
      </c>
      <c r="N1449">
        <v>0.16715250077151175</v>
      </c>
      <c r="O1449">
        <v>0.25217932253776876</v>
      </c>
      <c r="P1449">
        <v>0.26008123297881625</v>
      </c>
    </row>
    <row r="1450" spans="13:16">
      <c r="M1450">
        <v>0.31681375273372214</v>
      </c>
      <c r="N1450">
        <v>0.16754953378433601</v>
      </c>
      <c r="O1450">
        <v>0.26098860180150518</v>
      </c>
      <c r="P1450">
        <v>0.25464811168043677</v>
      </c>
    </row>
    <row r="1451" spans="13:16">
      <c r="M1451">
        <v>0.29245296620950723</v>
      </c>
      <c r="N1451">
        <v>0.19345690023563739</v>
      </c>
      <c r="O1451">
        <v>0.2557650402882255</v>
      </c>
      <c r="P1451">
        <v>0.25832509326662972</v>
      </c>
    </row>
    <row r="1452" spans="13:16">
      <c r="M1452">
        <v>0.26564589233237451</v>
      </c>
      <c r="N1452">
        <v>0.17371268322500213</v>
      </c>
      <c r="O1452">
        <v>0.30106506464869937</v>
      </c>
      <c r="P1452">
        <v>0.25957635979392413</v>
      </c>
    </row>
    <row r="1453" spans="13:16">
      <c r="M1453">
        <v>0.28484253204434518</v>
      </c>
      <c r="N1453">
        <v>0.18097077500455319</v>
      </c>
      <c r="O1453">
        <v>0.25847455835805411</v>
      </c>
      <c r="P1453">
        <v>0.27571213459304744</v>
      </c>
    </row>
    <row r="1454" spans="13:16">
      <c r="M1454">
        <v>0.27596413428897487</v>
      </c>
      <c r="N1454">
        <v>0.18208018494243389</v>
      </c>
      <c r="O1454">
        <v>0.27744311274655026</v>
      </c>
      <c r="P1454">
        <v>0.26451256802204093</v>
      </c>
    </row>
    <row r="1455" spans="13:16">
      <c r="M1455">
        <v>0.29810839535029482</v>
      </c>
      <c r="N1455">
        <v>0.17373249745862468</v>
      </c>
      <c r="O1455">
        <v>0.26352188271837163</v>
      </c>
      <c r="P1455">
        <v>0.26463722447270888</v>
      </c>
    </row>
    <row r="1456" spans="13:16">
      <c r="M1456">
        <v>0.27981208528541546</v>
      </c>
      <c r="N1456">
        <v>0.18347357221073612</v>
      </c>
      <c r="O1456">
        <v>0.26861538570611798</v>
      </c>
      <c r="P1456">
        <v>0.26809895679773049</v>
      </c>
    </row>
    <row r="1457" spans="13:16">
      <c r="M1457">
        <v>0.26608650635731618</v>
      </c>
      <c r="N1457">
        <v>0.20144144789478752</v>
      </c>
      <c r="O1457">
        <v>0.27373161571221899</v>
      </c>
      <c r="P1457">
        <v>0.25874043003567748</v>
      </c>
    </row>
    <row r="1458" spans="13:16">
      <c r="M1458">
        <v>0.27286222558020895</v>
      </c>
      <c r="N1458">
        <v>0.1909562143584225</v>
      </c>
      <c r="O1458">
        <v>0.26567540529403816</v>
      </c>
      <c r="P1458">
        <v>0.27050615476733031</v>
      </c>
    </row>
    <row r="1459" spans="13:16">
      <c r="M1459">
        <v>0.29737386123677589</v>
      </c>
      <c r="N1459">
        <v>0.18440387416205675</v>
      </c>
      <c r="O1459">
        <v>0.24579174632955086</v>
      </c>
      <c r="P1459">
        <v>0.27243051827161652</v>
      </c>
    </row>
    <row r="1460" spans="13:16">
      <c r="M1460">
        <v>0.27794205447769155</v>
      </c>
      <c r="N1460">
        <v>0.19282222956950318</v>
      </c>
      <c r="O1460">
        <v>0.26662990273005377</v>
      </c>
      <c r="P1460">
        <v>0.26260581322275139</v>
      </c>
    </row>
    <row r="1461" spans="13:16">
      <c r="M1461">
        <v>0.29146875124659533</v>
      </c>
      <c r="N1461">
        <v>0.19164348611390744</v>
      </c>
      <c r="O1461">
        <v>0.24689988066671179</v>
      </c>
      <c r="P1461">
        <v>0.26998788197278561</v>
      </c>
    </row>
    <row r="1462" spans="13:16">
      <c r="M1462">
        <v>0.29940231162275627</v>
      </c>
      <c r="N1462">
        <v>0.19295863434335403</v>
      </c>
      <c r="O1462">
        <v>0.24967496863395655</v>
      </c>
      <c r="P1462">
        <v>0.25796408539993315</v>
      </c>
    </row>
    <row r="1463" spans="13:16">
      <c r="M1463">
        <v>0.26153936610196599</v>
      </c>
      <c r="N1463">
        <v>0.17820961352028719</v>
      </c>
      <c r="O1463">
        <v>0.29639292406222489</v>
      </c>
      <c r="P1463">
        <v>0.26385809631552176</v>
      </c>
    </row>
    <row r="1464" spans="13:16">
      <c r="M1464">
        <v>0.26419052397809339</v>
      </c>
      <c r="N1464">
        <v>0.21171583061381805</v>
      </c>
      <c r="O1464">
        <v>0.25693660044383698</v>
      </c>
      <c r="P1464">
        <v>0.26715704496425158</v>
      </c>
    </row>
    <row r="1465" spans="13:16">
      <c r="M1465">
        <v>0.28213665325937659</v>
      </c>
      <c r="N1465">
        <v>0.17333842071877298</v>
      </c>
      <c r="O1465">
        <v>0.28158213453424441</v>
      </c>
      <c r="P1465">
        <v>0.26294279148760602</v>
      </c>
    </row>
    <row r="1466" spans="13:16">
      <c r="M1466">
        <v>0.29737557832702194</v>
      </c>
      <c r="N1466">
        <v>0.19251246135076344</v>
      </c>
      <c r="O1466">
        <v>0.22586778109187083</v>
      </c>
      <c r="P1466">
        <v>0.28424417923034384</v>
      </c>
    </row>
    <row r="1467" spans="13:16">
      <c r="M1467">
        <v>0.3188081682556308</v>
      </c>
      <c r="N1467">
        <v>0.1785175046317119</v>
      </c>
      <c r="O1467">
        <v>0.25435342820218643</v>
      </c>
      <c r="P1467">
        <v>0.24832089891047093</v>
      </c>
    </row>
    <row r="1468" spans="13:16">
      <c r="M1468">
        <v>0.30429117051039101</v>
      </c>
      <c r="N1468">
        <v>0.19161626478940175</v>
      </c>
      <c r="O1468">
        <v>0.23788889810155076</v>
      </c>
      <c r="P1468">
        <v>0.26620366659865641</v>
      </c>
    </row>
    <row r="1469" spans="13:16">
      <c r="M1469">
        <v>0.29977662005418071</v>
      </c>
      <c r="N1469">
        <v>0.17171143881051865</v>
      </c>
      <c r="O1469">
        <v>0.2829581311753484</v>
      </c>
      <c r="P1469">
        <v>0.2455538099599523</v>
      </c>
    </row>
    <row r="1470" spans="13:16">
      <c r="M1470">
        <v>0.3092257723604554</v>
      </c>
      <c r="N1470">
        <v>0.19047048543319825</v>
      </c>
      <c r="O1470">
        <v>0.23699827467819731</v>
      </c>
      <c r="P1470">
        <v>0.26330546752814898</v>
      </c>
    </row>
    <row r="1471" spans="13:16">
      <c r="M1471">
        <v>0.29747796750046823</v>
      </c>
      <c r="N1471">
        <v>0.1917058526057224</v>
      </c>
      <c r="O1471">
        <v>0.24287575207941112</v>
      </c>
      <c r="P1471">
        <v>0.2679404278143982</v>
      </c>
    </row>
    <row r="1472" spans="13:16">
      <c r="M1472">
        <v>0.3154514939425746</v>
      </c>
      <c r="N1472">
        <v>0.19150975742061585</v>
      </c>
      <c r="O1472">
        <v>0.23557335885629641</v>
      </c>
      <c r="P1472">
        <v>0.25746538978051309</v>
      </c>
    </row>
    <row r="1473" spans="13:16">
      <c r="M1473">
        <v>0.29185676346914324</v>
      </c>
      <c r="N1473">
        <v>0.19126747667550778</v>
      </c>
      <c r="O1473">
        <v>0.27019228590186606</v>
      </c>
      <c r="P1473">
        <v>0.24668347395348275</v>
      </c>
    </row>
    <row r="1474" spans="13:16">
      <c r="M1474">
        <v>0.32767758788049128</v>
      </c>
      <c r="N1474">
        <v>0.17309946361664663</v>
      </c>
      <c r="O1474">
        <v>0.23256615332840738</v>
      </c>
      <c r="P1474">
        <v>0.26665679517445462</v>
      </c>
    </row>
    <row r="1475" spans="13:16">
      <c r="M1475">
        <v>0.28032091814425447</v>
      </c>
      <c r="N1475">
        <v>0.19976339726755948</v>
      </c>
      <c r="O1475">
        <v>0.24072880976265965</v>
      </c>
      <c r="P1475">
        <v>0.27918687482552634</v>
      </c>
    </row>
    <row r="1476" spans="13:16">
      <c r="M1476">
        <v>0.2907971799124402</v>
      </c>
      <c r="N1476">
        <v>0.18959064503134138</v>
      </c>
      <c r="O1476">
        <v>0.25431935526414862</v>
      </c>
      <c r="P1476">
        <v>0.26529281979206981</v>
      </c>
    </row>
    <row r="1477" spans="13:16">
      <c r="M1477">
        <v>0.26037906772333064</v>
      </c>
      <c r="N1477">
        <v>0.18635055385033383</v>
      </c>
      <c r="O1477">
        <v>0.28994961411360232</v>
      </c>
      <c r="P1477">
        <v>0.26332076431273332</v>
      </c>
    </row>
    <row r="1478" spans="13:16">
      <c r="M1478">
        <v>0.29159441824252746</v>
      </c>
      <c r="N1478">
        <v>0.1929321814836254</v>
      </c>
      <c r="O1478">
        <v>0.22550610383305869</v>
      </c>
      <c r="P1478">
        <v>0.28996729644078828</v>
      </c>
    </row>
    <row r="1479" spans="13:16">
      <c r="M1479">
        <v>0.2740839705403475</v>
      </c>
      <c r="N1479">
        <v>0.1960980400039973</v>
      </c>
      <c r="O1479">
        <v>0.2582920150973369</v>
      </c>
      <c r="P1479">
        <v>0.27152597435831827</v>
      </c>
    </row>
    <row r="1480" spans="13:16">
      <c r="M1480">
        <v>0.29480074636426384</v>
      </c>
      <c r="N1480">
        <v>0.18437263864563352</v>
      </c>
      <c r="O1480">
        <v>0.26016565280560611</v>
      </c>
      <c r="P1480">
        <v>0.26066096218449641</v>
      </c>
    </row>
    <row r="1481" spans="13:16">
      <c r="M1481">
        <v>0.29518095214388068</v>
      </c>
      <c r="N1481">
        <v>0.18063146529034924</v>
      </c>
      <c r="O1481">
        <v>0.26539551379748577</v>
      </c>
      <c r="P1481">
        <v>0.25879206876828431</v>
      </c>
    </row>
    <row r="1482" spans="13:16">
      <c r="M1482">
        <v>0.31092005859941668</v>
      </c>
      <c r="N1482">
        <v>0.18556836810635394</v>
      </c>
      <c r="O1482">
        <v>0.25628015553343197</v>
      </c>
      <c r="P1482">
        <v>0.24723141776079741</v>
      </c>
    </row>
    <row r="1483" spans="13:16">
      <c r="M1483">
        <v>0.29873858024333111</v>
      </c>
      <c r="N1483">
        <v>0.17215456734848192</v>
      </c>
      <c r="O1483">
        <v>0.28860965936410465</v>
      </c>
      <c r="P1483">
        <v>0.24049719304408221</v>
      </c>
    </row>
    <row r="1484" spans="13:16">
      <c r="M1484">
        <v>0.26934147839787792</v>
      </c>
      <c r="N1484">
        <v>0.19348651885838872</v>
      </c>
      <c r="O1484">
        <v>0.27762499975822214</v>
      </c>
      <c r="P1484">
        <v>0.2595470029855112</v>
      </c>
    </row>
    <row r="1485" spans="13:16">
      <c r="M1485">
        <v>0.28947828032213774</v>
      </c>
      <c r="N1485">
        <v>0.1891078284825306</v>
      </c>
      <c r="O1485">
        <v>0.2501739484059245</v>
      </c>
      <c r="P1485">
        <v>0.27123994278940705</v>
      </c>
    </row>
    <row r="1486" spans="13:16">
      <c r="M1486">
        <v>0.2905401865887951</v>
      </c>
      <c r="N1486">
        <v>0.19936892262378969</v>
      </c>
      <c r="O1486">
        <v>0.25816143724960539</v>
      </c>
      <c r="P1486">
        <v>0.25192945353780977</v>
      </c>
    </row>
    <row r="1487" spans="13:16">
      <c r="M1487">
        <v>0.28804379443148814</v>
      </c>
      <c r="N1487">
        <v>0.19706782105740023</v>
      </c>
      <c r="O1487">
        <v>0.26374931224731452</v>
      </c>
      <c r="P1487">
        <v>0.25113907226379717</v>
      </c>
    </row>
    <row r="1488" spans="13:16">
      <c r="M1488">
        <v>0.33030781034020873</v>
      </c>
      <c r="N1488">
        <v>0.16254390528968451</v>
      </c>
      <c r="O1488">
        <v>0.25927197302335409</v>
      </c>
      <c r="P1488">
        <v>0.24787631134675259</v>
      </c>
    </row>
    <row r="1489" spans="13:16">
      <c r="M1489">
        <v>0.30858414803407935</v>
      </c>
      <c r="N1489">
        <v>0.18462181076379855</v>
      </c>
      <c r="O1489">
        <v>0.22793718245246028</v>
      </c>
      <c r="P1489">
        <v>0.27885685874966176</v>
      </c>
    </row>
    <row r="1490" spans="13:16">
      <c r="M1490">
        <v>0.30950157876027812</v>
      </c>
      <c r="N1490">
        <v>0.18821024402615996</v>
      </c>
      <c r="O1490">
        <v>0.25359321221535258</v>
      </c>
      <c r="P1490">
        <v>0.24869496499820945</v>
      </c>
    </row>
    <row r="1491" spans="13:16">
      <c r="M1491">
        <v>0.30361924601598889</v>
      </c>
      <c r="N1491">
        <v>0.16949274991696528</v>
      </c>
      <c r="O1491">
        <v>0.27048721792819869</v>
      </c>
      <c r="P1491">
        <v>0.25640078613884726</v>
      </c>
    </row>
    <row r="1492" spans="13:16">
      <c r="M1492">
        <v>0.30385646776502007</v>
      </c>
      <c r="N1492">
        <v>0.17182247309980889</v>
      </c>
      <c r="O1492">
        <v>0.26147019178807868</v>
      </c>
      <c r="P1492">
        <v>0.2628508673470924</v>
      </c>
    </row>
    <row r="1493" spans="13:16">
      <c r="M1493">
        <v>0.2971672760756911</v>
      </c>
      <c r="N1493">
        <v>0.18162817067291964</v>
      </c>
      <c r="O1493">
        <v>0.26152313178815384</v>
      </c>
      <c r="P1493">
        <v>0.25968142146323536</v>
      </c>
    </row>
    <row r="1494" spans="13:16">
      <c r="M1494">
        <v>0.28823972616026239</v>
      </c>
      <c r="N1494">
        <v>0.18218821986925618</v>
      </c>
      <c r="O1494">
        <v>0.25217274568641501</v>
      </c>
      <c r="P1494">
        <v>0.27739930828406645</v>
      </c>
    </row>
    <row r="1495" spans="13:16">
      <c r="M1495">
        <v>0.27926452194728962</v>
      </c>
      <c r="N1495">
        <v>0.20752425864585974</v>
      </c>
      <c r="O1495">
        <v>0.22583621552008717</v>
      </c>
      <c r="P1495">
        <v>0.28737500388676329</v>
      </c>
    </row>
    <row r="1496" spans="13:16">
      <c r="M1496">
        <v>0.29265980442866629</v>
      </c>
      <c r="N1496">
        <v>0.1909466810644932</v>
      </c>
      <c r="O1496">
        <v>0.23861491559341463</v>
      </c>
      <c r="P1496">
        <v>0.27777859891342599</v>
      </c>
    </row>
    <row r="1497" spans="13:16">
      <c r="M1497">
        <v>0.30570671318479764</v>
      </c>
      <c r="N1497">
        <v>0.18168158992513114</v>
      </c>
      <c r="O1497">
        <v>0.25888292564926713</v>
      </c>
      <c r="P1497">
        <v>0.25372877124080412</v>
      </c>
    </row>
    <row r="1498" spans="13:16">
      <c r="M1498">
        <v>0.28480832588709959</v>
      </c>
      <c r="N1498">
        <v>0.18472823356822787</v>
      </c>
      <c r="O1498">
        <v>0.24667658714379354</v>
      </c>
      <c r="P1498">
        <v>0.28378685340087906</v>
      </c>
    </row>
    <row r="1499" spans="13:16">
      <c r="M1499">
        <v>0.30391406366300067</v>
      </c>
      <c r="N1499">
        <v>0.17345643486598789</v>
      </c>
      <c r="O1499">
        <v>0.26154390128744082</v>
      </c>
      <c r="P1499">
        <v>0.26108560018357069</v>
      </c>
    </row>
    <row r="1500" spans="13:16">
      <c r="M1500">
        <v>0.30326027949959111</v>
      </c>
      <c r="N1500">
        <v>0.17161513835715012</v>
      </c>
      <c r="O1500">
        <v>0.24734229086410875</v>
      </c>
      <c r="P1500">
        <v>0.27778229127915005</v>
      </c>
    </row>
    <row r="1501" spans="13:16">
      <c r="M1501">
        <v>0.29479233033468155</v>
      </c>
      <c r="N1501">
        <v>0.1913889930599294</v>
      </c>
      <c r="O1501">
        <v>0.24618003967788191</v>
      </c>
      <c r="P1501">
        <v>0.26763863692750711</v>
      </c>
    </row>
    <row r="1502" spans="13:16">
      <c r="M1502">
        <v>0.30585040822883913</v>
      </c>
      <c r="N1502">
        <v>0.18326095050695673</v>
      </c>
      <c r="O1502">
        <v>0.25675392898699878</v>
      </c>
      <c r="P1502">
        <v>0.25413471227720535</v>
      </c>
    </row>
    <row r="1503" spans="13:16">
      <c r="M1503">
        <v>0.27199658271240906</v>
      </c>
      <c r="N1503">
        <v>0.20517047634793348</v>
      </c>
      <c r="O1503">
        <v>0.26472655024862773</v>
      </c>
      <c r="P1503">
        <v>0.25810639069102981</v>
      </c>
    </row>
    <row r="1504" spans="13:16">
      <c r="M1504">
        <v>0.27321778458101592</v>
      </c>
      <c r="N1504">
        <v>0.19260756769783169</v>
      </c>
      <c r="O1504">
        <v>0.24716407378104624</v>
      </c>
      <c r="P1504">
        <v>0.28701057394010604</v>
      </c>
    </row>
    <row r="1505" spans="13:16">
      <c r="M1505">
        <v>0.30098582080528358</v>
      </c>
      <c r="N1505">
        <v>0.17659757830747216</v>
      </c>
      <c r="O1505">
        <v>0.26181141106572398</v>
      </c>
      <c r="P1505">
        <v>0.26060518982152037</v>
      </c>
    </row>
    <row r="1506" spans="13:16">
      <c r="M1506">
        <v>0.30220771352085113</v>
      </c>
      <c r="N1506">
        <v>0.1795602445392282</v>
      </c>
      <c r="O1506">
        <v>0.25269471708938418</v>
      </c>
      <c r="P1506">
        <v>0.26553732485053644</v>
      </c>
    </row>
    <row r="1507" spans="13:16">
      <c r="M1507">
        <v>0.30651389937208467</v>
      </c>
      <c r="N1507">
        <v>0.17341831300792521</v>
      </c>
      <c r="O1507">
        <v>0.25087620932755389</v>
      </c>
      <c r="P1507">
        <v>0.26919157829243623</v>
      </c>
    </row>
    <row r="1508" spans="13:16">
      <c r="M1508">
        <v>0.27292724570744853</v>
      </c>
      <c r="N1508">
        <v>0.19804620141193902</v>
      </c>
      <c r="O1508">
        <v>0.25683615079540034</v>
      </c>
      <c r="P1508">
        <v>0.27219040208521228</v>
      </c>
    </row>
    <row r="1509" spans="13:16">
      <c r="M1509">
        <v>0.32017075275516155</v>
      </c>
      <c r="N1509">
        <v>0.16997306789857095</v>
      </c>
      <c r="O1509">
        <v>0.23973235638526083</v>
      </c>
      <c r="P1509">
        <v>0.27012382296100673</v>
      </c>
    </row>
    <row r="1510" spans="13:16">
      <c r="M1510">
        <v>0.30511184782969014</v>
      </c>
      <c r="N1510">
        <v>0.18916160235186094</v>
      </c>
      <c r="O1510">
        <v>0.23358182631063126</v>
      </c>
      <c r="P1510">
        <v>0.27214472350781771</v>
      </c>
    </row>
    <row r="1511" spans="13:16">
      <c r="M1511">
        <v>0.27533997626283802</v>
      </c>
      <c r="N1511">
        <v>0.21038753424701792</v>
      </c>
      <c r="O1511">
        <v>0.25173803992761251</v>
      </c>
      <c r="P1511">
        <v>0.26253444956253147</v>
      </c>
    </row>
    <row r="1512" spans="13:16">
      <c r="M1512">
        <v>0.29484264003965266</v>
      </c>
      <c r="N1512">
        <v>0.18897555079373593</v>
      </c>
      <c r="O1512">
        <v>0.2290848027573576</v>
      </c>
      <c r="P1512">
        <v>0.28709700640925379</v>
      </c>
    </row>
    <row r="1513" spans="13:16">
      <c r="M1513">
        <v>0.30492580124971713</v>
      </c>
      <c r="N1513">
        <v>0.20391524431225092</v>
      </c>
      <c r="O1513">
        <v>0.21906203676081673</v>
      </c>
      <c r="P1513">
        <v>0.27209691767721522</v>
      </c>
    </row>
    <row r="1514" spans="13:16">
      <c r="M1514">
        <v>0.31713684925211694</v>
      </c>
      <c r="N1514">
        <v>0.18459014919820055</v>
      </c>
      <c r="O1514">
        <v>0.22826356599696349</v>
      </c>
      <c r="P1514">
        <v>0.270009435552719</v>
      </c>
    </row>
    <row r="1515" spans="13:16">
      <c r="M1515">
        <v>0.29426593779488769</v>
      </c>
      <c r="N1515">
        <v>0.1887591262083228</v>
      </c>
      <c r="O1515">
        <v>0.25834903513060253</v>
      </c>
      <c r="P1515">
        <v>0.25862590086618703</v>
      </c>
    </row>
    <row r="1516" spans="13:16">
      <c r="M1516">
        <v>0.29106547760479795</v>
      </c>
      <c r="N1516">
        <v>0.18522678020887234</v>
      </c>
      <c r="O1516">
        <v>0.25754376143734425</v>
      </c>
      <c r="P1516">
        <v>0.26616398074898545</v>
      </c>
    </row>
    <row r="1517" spans="13:16">
      <c r="M1517">
        <v>0.27512528476114922</v>
      </c>
      <c r="N1517">
        <v>0.20556919243512636</v>
      </c>
      <c r="O1517">
        <v>0.24281290871052744</v>
      </c>
      <c r="P1517">
        <v>0.27649261409319686</v>
      </c>
    </row>
    <row r="1518" spans="13:16">
      <c r="M1518">
        <v>0.27560392631558217</v>
      </c>
      <c r="N1518">
        <v>0.2035871178224872</v>
      </c>
      <c r="O1518">
        <v>0.23821081776093148</v>
      </c>
      <c r="P1518">
        <v>0.28259813810099921</v>
      </c>
    </row>
    <row r="1519" spans="13:16">
      <c r="M1519">
        <v>0.29151000740575939</v>
      </c>
      <c r="N1519">
        <v>0.19096215521377802</v>
      </c>
      <c r="O1519">
        <v>0.25216556644922938</v>
      </c>
      <c r="P1519">
        <v>0.26536227093123332</v>
      </c>
    </row>
    <row r="1520" spans="13:16">
      <c r="M1520">
        <v>0.2888313341953257</v>
      </c>
      <c r="N1520">
        <v>0.19197348426206123</v>
      </c>
      <c r="O1520">
        <v>0.24505574106344608</v>
      </c>
      <c r="P1520">
        <v>0.274139440479167</v>
      </c>
    </row>
    <row r="1521" spans="13:16">
      <c r="M1521">
        <v>0.27942195752008553</v>
      </c>
      <c r="N1521">
        <v>0.18312069935995176</v>
      </c>
      <c r="O1521">
        <v>0.28095102202692179</v>
      </c>
      <c r="P1521">
        <v>0.25650632109304095</v>
      </c>
    </row>
    <row r="1522" spans="13:16">
      <c r="M1522">
        <v>0.28554455207442242</v>
      </c>
      <c r="N1522">
        <v>0.19971079138274481</v>
      </c>
      <c r="O1522">
        <v>0.25335557601439118</v>
      </c>
      <c r="P1522">
        <v>0.26138908052844145</v>
      </c>
    </row>
    <row r="1523" spans="13:16">
      <c r="M1523">
        <v>0.28744600151659599</v>
      </c>
      <c r="N1523">
        <v>0.20113251848454489</v>
      </c>
      <c r="O1523">
        <v>0.23276254558137746</v>
      </c>
      <c r="P1523">
        <v>0.27865893441748163</v>
      </c>
    </row>
    <row r="1524" spans="13:16">
      <c r="M1524">
        <v>0.30857610803885466</v>
      </c>
      <c r="N1524">
        <v>0.17784343159150626</v>
      </c>
      <c r="O1524">
        <v>0.23439249552903299</v>
      </c>
      <c r="P1524">
        <v>0.27918796484060604</v>
      </c>
    </row>
    <row r="1525" spans="13:16">
      <c r="M1525">
        <v>0.31887622822647943</v>
      </c>
      <c r="N1525">
        <v>0.17343129114134845</v>
      </c>
      <c r="O1525">
        <v>0.2433945268824062</v>
      </c>
      <c r="P1525">
        <v>0.264297953749766</v>
      </c>
    </row>
    <row r="1526" spans="13:16">
      <c r="M1526">
        <v>0.29675171219101359</v>
      </c>
      <c r="N1526">
        <v>0.19906103174739168</v>
      </c>
      <c r="O1526">
        <v>0.21684238949429641</v>
      </c>
      <c r="P1526">
        <v>0.28734486656729841</v>
      </c>
    </row>
    <row r="1527" spans="13:16">
      <c r="M1527">
        <v>0.29458799434862931</v>
      </c>
      <c r="N1527">
        <v>0.17487372256424755</v>
      </c>
      <c r="O1527">
        <v>0.28098400537590995</v>
      </c>
      <c r="P1527">
        <v>0.24955427771121316</v>
      </c>
    </row>
    <row r="1528" spans="13:16">
      <c r="M1528">
        <v>0.30882628482013336</v>
      </c>
      <c r="N1528">
        <v>0.18914742212954228</v>
      </c>
      <c r="O1528">
        <v>0.23014281370704917</v>
      </c>
      <c r="P1528">
        <v>0.27188347934327523</v>
      </c>
    </row>
    <row r="1529" spans="13:16">
      <c r="M1529">
        <v>0.28851103493280511</v>
      </c>
      <c r="N1529">
        <v>0.185524870138145</v>
      </c>
      <c r="O1529">
        <v>0.27850352109103532</v>
      </c>
      <c r="P1529">
        <v>0.24746057383801462</v>
      </c>
    </row>
    <row r="1530" spans="13:16">
      <c r="M1530">
        <v>0.31965074264332005</v>
      </c>
      <c r="N1530">
        <v>0.16238607229249846</v>
      </c>
      <c r="O1530">
        <v>0.2650377811741631</v>
      </c>
      <c r="P1530">
        <v>0.25292540389001839</v>
      </c>
    </row>
    <row r="1531" spans="13:16">
      <c r="M1531">
        <v>0.30616751415558174</v>
      </c>
      <c r="N1531">
        <v>0.17989289296521316</v>
      </c>
      <c r="O1531">
        <v>0.2554144547242902</v>
      </c>
      <c r="P1531">
        <v>0.25852513815491485</v>
      </c>
    </row>
    <row r="1532" spans="13:16">
      <c r="M1532">
        <v>0.269573498781155</v>
      </c>
      <c r="N1532">
        <v>0.1843354495142551</v>
      </c>
      <c r="O1532">
        <v>0.28699348712604456</v>
      </c>
      <c r="P1532">
        <v>0.25909756457854544</v>
      </c>
    </row>
    <row r="1533" spans="13:16">
      <c r="M1533">
        <v>0.30935148447171712</v>
      </c>
      <c r="N1533">
        <v>0.18968194268010977</v>
      </c>
      <c r="O1533">
        <v>0.23409155538106732</v>
      </c>
      <c r="P1533">
        <v>0.26687501746710574</v>
      </c>
    </row>
    <row r="1534" spans="13:16">
      <c r="M1534">
        <v>0.29429475173274328</v>
      </c>
      <c r="N1534">
        <v>0.18103236106277734</v>
      </c>
      <c r="O1534">
        <v>0.25566282239965121</v>
      </c>
      <c r="P1534">
        <v>0.2690100648048282</v>
      </c>
    </row>
    <row r="1535" spans="13:16">
      <c r="M1535">
        <v>0.28498606388860676</v>
      </c>
      <c r="N1535">
        <v>0.18011913565087534</v>
      </c>
      <c r="O1535">
        <v>0.25586377710737451</v>
      </c>
      <c r="P1535">
        <v>0.2790310233531435</v>
      </c>
    </row>
    <row r="1536" spans="13:16">
      <c r="M1536">
        <v>0.30199286094153888</v>
      </c>
      <c r="N1536">
        <v>0.16555605734924178</v>
      </c>
      <c r="O1536">
        <v>0.28136225982664259</v>
      </c>
      <c r="P1536">
        <v>0.25108882188257675</v>
      </c>
    </row>
    <row r="1537" spans="13:16">
      <c r="M1537">
        <v>0.29789804971961548</v>
      </c>
      <c r="N1537">
        <v>0.18810021509354327</v>
      </c>
      <c r="O1537">
        <v>0.26018593249299876</v>
      </c>
      <c r="P1537">
        <v>0.25381580269384246</v>
      </c>
    </row>
    <row r="1538" spans="13:16">
      <c r="M1538">
        <v>0.28893117847165956</v>
      </c>
      <c r="N1538">
        <v>0.18397812490720516</v>
      </c>
      <c r="O1538">
        <v>0.28436557315344063</v>
      </c>
      <c r="P1538">
        <v>0.24272512346769468</v>
      </c>
    </row>
    <row r="1539" spans="13:16">
      <c r="M1539">
        <v>0.29800020311834857</v>
      </c>
      <c r="N1539">
        <v>0.16609159051207242</v>
      </c>
      <c r="O1539">
        <v>0.29207605401863623</v>
      </c>
      <c r="P1539">
        <v>0.24383215235094274</v>
      </c>
    </row>
    <row r="1540" spans="13:16">
      <c r="M1540">
        <v>0.2785184956679112</v>
      </c>
      <c r="N1540">
        <v>0.17754449007715803</v>
      </c>
      <c r="O1540">
        <v>0.28185102224202313</v>
      </c>
      <c r="P1540">
        <v>0.26208599201290766</v>
      </c>
    </row>
    <row r="1541" spans="13:16">
      <c r="M1541">
        <v>0.30096233297906</v>
      </c>
      <c r="N1541">
        <v>0.1757216813830583</v>
      </c>
      <c r="O1541">
        <v>0.27270952330596931</v>
      </c>
      <c r="P1541">
        <v>0.25060646233191236</v>
      </c>
    </row>
    <row r="1542" spans="13:16">
      <c r="M1542">
        <v>0.27133226478931294</v>
      </c>
      <c r="N1542">
        <v>0.19059536003099067</v>
      </c>
      <c r="O1542">
        <v>0.27445699766352005</v>
      </c>
      <c r="P1542">
        <v>0.26361537751617625</v>
      </c>
    </row>
    <row r="1543" spans="13:16">
      <c r="M1543">
        <v>0.29149012372348299</v>
      </c>
      <c r="N1543">
        <v>0.18686993136183347</v>
      </c>
      <c r="O1543">
        <v>0.27526233078745793</v>
      </c>
      <c r="P1543">
        <v>0.2463776141272257</v>
      </c>
    </row>
    <row r="1544" spans="13:16">
      <c r="M1544">
        <v>0.29444195556149905</v>
      </c>
      <c r="N1544">
        <v>0.18634897067926665</v>
      </c>
      <c r="O1544">
        <v>0.24172771170281798</v>
      </c>
      <c r="P1544">
        <v>0.27748136205641638</v>
      </c>
    </row>
    <row r="1545" spans="13:16">
      <c r="M1545">
        <v>0.28888533353737228</v>
      </c>
      <c r="N1545">
        <v>0.20161937499606863</v>
      </c>
      <c r="O1545">
        <v>0.24334302556061327</v>
      </c>
      <c r="P1545">
        <v>0.26615226590594587</v>
      </c>
    </row>
    <row r="1546" spans="13:16">
      <c r="M1546">
        <v>0.2919488634105375</v>
      </c>
      <c r="N1546">
        <v>0.21143888505017527</v>
      </c>
      <c r="O1546">
        <v>0.22289236742099361</v>
      </c>
      <c r="P1546">
        <v>0.27371988411829362</v>
      </c>
    </row>
    <row r="1547" spans="13:16">
      <c r="M1547">
        <v>0.29545086968785939</v>
      </c>
      <c r="N1547">
        <v>0.17700064904127735</v>
      </c>
      <c r="O1547">
        <v>0.27360327064714918</v>
      </c>
      <c r="P1547">
        <v>0.25394521062371422</v>
      </c>
    </row>
    <row r="1548" spans="13:16">
      <c r="M1548">
        <v>0.28894436414846303</v>
      </c>
      <c r="N1548">
        <v>0.20117031380459605</v>
      </c>
      <c r="O1548">
        <v>0.23262208208322002</v>
      </c>
      <c r="P1548">
        <v>0.27726323996372093</v>
      </c>
    </row>
    <row r="1549" spans="13:16">
      <c r="M1549">
        <v>0.30484233075014416</v>
      </c>
      <c r="N1549">
        <v>0.18583570264916252</v>
      </c>
      <c r="O1549">
        <v>0.24321168779209645</v>
      </c>
      <c r="P1549">
        <v>0.26611027880859683</v>
      </c>
    </row>
    <row r="1550" spans="13:16">
      <c r="M1550">
        <v>0.25742829424328179</v>
      </c>
      <c r="N1550">
        <v>0.19962196708931931</v>
      </c>
      <c r="O1550">
        <v>0.26646423371005906</v>
      </c>
      <c r="P1550">
        <v>0.27648550495733981</v>
      </c>
    </row>
    <row r="1551" spans="13:16">
      <c r="M1551">
        <v>0.28178743492308389</v>
      </c>
      <c r="N1551">
        <v>0.20472772150863089</v>
      </c>
      <c r="O1551">
        <v>0.25015344765828817</v>
      </c>
      <c r="P1551">
        <v>0.26333139590999716</v>
      </c>
    </row>
    <row r="1552" spans="13:16">
      <c r="M1552">
        <v>0.27246369078136579</v>
      </c>
      <c r="N1552">
        <v>0.20667616201666991</v>
      </c>
      <c r="O1552">
        <v>0.25200295055337746</v>
      </c>
      <c r="P1552">
        <v>0.26885719664858682</v>
      </c>
    </row>
    <row r="1553" spans="13:16">
      <c r="M1553">
        <v>0.30093019951374239</v>
      </c>
      <c r="N1553">
        <v>0.17022307398054848</v>
      </c>
      <c r="O1553">
        <v>0.26843706142113738</v>
      </c>
      <c r="P1553">
        <v>0.26040966508457186</v>
      </c>
    </row>
    <row r="1554" spans="13:16">
      <c r="M1554">
        <v>0.28308287499679413</v>
      </c>
      <c r="N1554">
        <v>0.20500565605840629</v>
      </c>
      <c r="O1554">
        <v>0.23373897499769603</v>
      </c>
      <c r="P1554">
        <v>0.27817249394710364</v>
      </c>
    </row>
    <row r="1555" spans="13:16">
      <c r="M1555">
        <v>0.29056217637977194</v>
      </c>
      <c r="N1555">
        <v>0.17170150300017906</v>
      </c>
      <c r="O1555">
        <v>0.28954565091094608</v>
      </c>
      <c r="P1555">
        <v>0.24819066970910286</v>
      </c>
    </row>
    <row r="1556" spans="13:16">
      <c r="M1556">
        <v>0.29167953525692453</v>
      </c>
      <c r="N1556">
        <v>0.18820363523249684</v>
      </c>
      <c r="O1556">
        <v>0.27194769415336262</v>
      </c>
      <c r="P1556">
        <v>0.24816913535721588</v>
      </c>
    </row>
    <row r="1557" spans="13:16">
      <c r="M1557">
        <v>0.28872685671107551</v>
      </c>
      <c r="N1557">
        <v>0.17435152622819478</v>
      </c>
      <c r="O1557">
        <v>0.27235045746632142</v>
      </c>
      <c r="P1557">
        <v>0.26457115959440819</v>
      </c>
    </row>
    <row r="1558" spans="13:16">
      <c r="M1558">
        <v>0.27479126153245748</v>
      </c>
      <c r="N1558">
        <v>0.19328911085985226</v>
      </c>
      <c r="O1558">
        <v>0.25344884553077446</v>
      </c>
      <c r="P1558">
        <v>0.27847078207691595</v>
      </c>
    </row>
    <row r="1559" spans="13:16">
      <c r="M1559">
        <v>0.29282890228174646</v>
      </c>
      <c r="N1559">
        <v>0.18579985244173058</v>
      </c>
      <c r="O1559">
        <v>0.24931105465349451</v>
      </c>
      <c r="P1559">
        <v>0.27206019062302844</v>
      </c>
    </row>
    <row r="1560" spans="13:16">
      <c r="M1560">
        <v>0.29792290752432815</v>
      </c>
      <c r="N1560">
        <v>0.18311715406503093</v>
      </c>
      <c r="O1560">
        <v>0.26782231591669275</v>
      </c>
      <c r="P1560">
        <v>0.25113762249394805</v>
      </c>
    </row>
    <row r="1561" spans="13:16">
      <c r="M1561">
        <v>0.29817462868303957</v>
      </c>
      <c r="N1561">
        <v>0.19030036736146733</v>
      </c>
      <c r="O1561">
        <v>0.24626057879575772</v>
      </c>
      <c r="P1561">
        <v>0.26526442515973536</v>
      </c>
    </row>
    <row r="1562" spans="13:16">
      <c r="M1562">
        <v>0.32216822340904278</v>
      </c>
      <c r="N1562">
        <v>0.18557367194324376</v>
      </c>
      <c r="O1562">
        <v>0.23078631814422754</v>
      </c>
      <c r="P1562">
        <v>0.26147178650348596</v>
      </c>
    </row>
    <row r="1563" spans="13:16">
      <c r="M1563">
        <v>0.30635083153317771</v>
      </c>
      <c r="N1563">
        <v>0.18434541401238963</v>
      </c>
      <c r="O1563">
        <v>0.25344492442455957</v>
      </c>
      <c r="P1563">
        <v>0.25585883002987309</v>
      </c>
    </row>
    <row r="1564" spans="13:16">
      <c r="M1564">
        <v>0.2981909703030165</v>
      </c>
      <c r="N1564">
        <v>0.21231819611411407</v>
      </c>
      <c r="O1564">
        <v>0.22784621552046164</v>
      </c>
      <c r="P1564">
        <v>0.26164461806240774</v>
      </c>
    </row>
    <row r="1565" spans="13:16">
      <c r="M1565">
        <v>0.26988709086471524</v>
      </c>
      <c r="N1565">
        <v>0.19058707342007161</v>
      </c>
      <c r="O1565">
        <v>0.2801019270599886</v>
      </c>
      <c r="P1565">
        <v>0.25942390865522458</v>
      </c>
    </row>
    <row r="1566" spans="13:16">
      <c r="M1566">
        <v>0.28424519793904157</v>
      </c>
      <c r="N1566">
        <v>0.18873263362681975</v>
      </c>
      <c r="O1566">
        <v>0.24875821740833506</v>
      </c>
      <c r="P1566">
        <v>0.27826395102580354</v>
      </c>
    </row>
    <row r="1567" spans="13:16">
      <c r="M1567">
        <v>0.31741181027863652</v>
      </c>
      <c r="N1567">
        <v>0.16199116420318796</v>
      </c>
      <c r="O1567">
        <v>0.28020756846345696</v>
      </c>
      <c r="P1567">
        <v>0.24038945705471859</v>
      </c>
    </row>
    <row r="1568" spans="13:16">
      <c r="M1568">
        <v>0.25717207795185554</v>
      </c>
      <c r="N1568">
        <v>0.1958147355849103</v>
      </c>
      <c r="O1568">
        <v>0.27673582264149016</v>
      </c>
      <c r="P1568">
        <v>0.27027736382174405</v>
      </c>
    </row>
    <row r="1569" spans="13:16">
      <c r="M1569">
        <v>0.29480298857856535</v>
      </c>
      <c r="N1569">
        <v>0.18595738813376894</v>
      </c>
      <c r="O1569">
        <v>0.28161994865352219</v>
      </c>
      <c r="P1569">
        <v>0.23761967463414357</v>
      </c>
    </row>
    <row r="1570" spans="13:16">
      <c r="M1570">
        <v>0.30735860666434572</v>
      </c>
      <c r="N1570">
        <v>0.19409671984621871</v>
      </c>
      <c r="O1570">
        <v>0.23213028412530115</v>
      </c>
      <c r="P1570">
        <v>0.26641438936413447</v>
      </c>
    </row>
    <row r="1571" spans="13:16">
      <c r="M1571">
        <v>0.30845802737548533</v>
      </c>
      <c r="N1571">
        <v>0.1785600246104577</v>
      </c>
      <c r="O1571">
        <v>0.24637798788587761</v>
      </c>
      <c r="P1571">
        <v>0.26660396012817933</v>
      </c>
    </row>
    <row r="1572" spans="13:16">
      <c r="M1572">
        <v>0.31282682577099785</v>
      </c>
      <c r="N1572">
        <v>0.17221249863716745</v>
      </c>
      <c r="O1572">
        <v>0.25011683868008144</v>
      </c>
      <c r="P1572">
        <v>0.26484383691175334</v>
      </c>
    </row>
    <row r="1573" spans="13:16">
      <c r="M1573">
        <v>0.28431749785026345</v>
      </c>
      <c r="N1573">
        <v>0.18138832563749943</v>
      </c>
      <c r="O1573">
        <v>0.26096918334557806</v>
      </c>
      <c r="P1573">
        <v>0.27332499316665898</v>
      </c>
    </row>
    <row r="1574" spans="13:16">
      <c r="M1574">
        <v>0.30443910090193477</v>
      </c>
      <c r="N1574">
        <v>0.1813205745117204</v>
      </c>
      <c r="O1574">
        <v>0.25715083287908086</v>
      </c>
      <c r="P1574">
        <v>0.25708949170726403</v>
      </c>
    </row>
    <row r="1575" spans="13:16">
      <c r="M1575">
        <v>0.28382691287114714</v>
      </c>
      <c r="N1575">
        <v>0.19424673481077975</v>
      </c>
      <c r="O1575">
        <v>0.2404191707888417</v>
      </c>
      <c r="P1575">
        <v>0.28150718152923138</v>
      </c>
    </row>
    <row r="1576" spans="13:16">
      <c r="M1576">
        <v>0.2916642534093728</v>
      </c>
      <c r="N1576">
        <v>0.17538965904897932</v>
      </c>
      <c r="O1576">
        <v>0.27733676007132296</v>
      </c>
      <c r="P1576">
        <v>0.25560932747032489</v>
      </c>
    </row>
    <row r="1577" spans="13:16">
      <c r="M1577">
        <v>0.29746001180197984</v>
      </c>
      <c r="N1577">
        <v>0.20891892167831619</v>
      </c>
      <c r="O1577">
        <v>0.23052662294105117</v>
      </c>
      <c r="P1577">
        <v>0.26309444357865269</v>
      </c>
    </row>
    <row r="1578" spans="13:16">
      <c r="M1578">
        <v>0.27630557595838473</v>
      </c>
      <c r="N1578">
        <v>0.19531834578802962</v>
      </c>
      <c r="O1578">
        <v>0.25271246528128516</v>
      </c>
      <c r="P1578">
        <v>0.27566361297230046</v>
      </c>
    </row>
    <row r="1579" spans="13:16">
      <c r="M1579">
        <v>0.28316888602244622</v>
      </c>
      <c r="N1579">
        <v>0.18414178303833639</v>
      </c>
      <c r="O1579">
        <v>0.27575321077037257</v>
      </c>
      <c r="P1579">
        <v>0.25693612016884487</v>
      </c>
    </row>
    <row r="1580" spans="13:16">
      <c r="M1580">
        <v>0.34231504218351333</v>
      </c>
      <c r="N1580">
        <v>0.17709876626242566</v>
      </c>
      <c r="O1580">
        <v>0.21212358756103591</v>
      </c>
      <c r="P1580">
        <v>0.26846260399302524</v>
      </c>
    </row>
    <row r="1581" spans="13:16">
      <c r="M1581">
        <v>0.30805852428101715</v>
      </c>
      <c r="N1581">
        <v>0.1814894188542846</v>
      </c>
      <c r="O1581">
        <v>0.25269214879652013</v>
      </c>
      <c r="P1581">
        <v>0.25775990806817817</v>
      </c>
    </row>
    <row r="1582" spans="13:16">
      <c r="M1582">
        <v>0.28217659775199705</v>
      </c>
      <c r="N1582">
        <v>0.20446614976721836</v>
      </c>
      <c r="O1582">
        <v>0.23855159012680555</v>
      </c>
      <c r="P1582">
        <v>0.27480566235397907</v>
      </c>
    </row>
    <row r="1583" spans="13:16">
      <c r="M1583">
        <v>0.29248144028142675</v>
      </c>
      <c r="N1583">
        <v>0.19020641673840377</v>
      </c>
      <c r="O1583">
        <v>0.25221530056833275</v>
      </c>
      <c r="P1583">
        <v>0.26509684241183684</v>
      </c>
    </row>
    <row r="1584" spans="13:16">
      <c r="M1584">
        <v>0.27257404419995557</v>
      </c>
      <c r="N1584">
        <v>0.18491515440356748</v>
      </c>
      <c r="O1584">
        <v>0.29129437218509552</v>
      </c>
      <c r="P1584">
        <v>0.25121642921138143</v>
      </c>
    </row>
    <row r="1585" spans="13:16">
      <c r="M1585">
        <v>0.28980709475095173</v>
      </c>
      <c r="N1585">
        <v>0.21200971657156981</v>
      </c>
      <c r="O1585">
        <v>0.22871840323543205</v>
      </c>
      <c r="P1585">
        <v>0.26946478544204627</v>
      </c>
    </row>
    <row r="1586" spans="13:16">
      <c r="M1586">
        <v>0.27698856258431515</v>
      </c>
      <c r="N1586">
        <v>0.20739803024066861</v>
      </c>
      <c r="O1586">
        <v>0.23663431713988831</v>
      </c>
      <c r="P1586">
        <v>0.27897909003512794</v>
      </c>
    </row>
    <row r="1587" spans="13:16">
      <c r="M1587">
        <v>0.31599344754929698</v>
      </c>
      <c r="N1587">
        <v>0.16094402379729897</v>
      </c>
      <c r="O1587">
        <v>0.27012580952288756</v>
      </c>
      <c r="P1587">
        <v>0.25293671913051652</v>
      </c>
    </row>
    <row r="1588" spans="13:16">
      <c r="M1588">
        <v>0.31524083747192233</v>
      </c>
      <c r="N1588">
        <v>0.16298078264140048</v>
      </c>
      <c r="O1588">
        <v>0.28044598369744178</v>
      </c>
      <c r="P1588">
        <v>0.24133239618923538</v>
      </c>
    </row>
    <row r="1589" spans="13:16">
      <c r="M1589">
        <v>0.26833192942843476</v>
      </c>
      <c r="N1589">
        <v>0.19321249044382549</v>
      </c>
      <c r="O1589">
        <v>0.27749393386998372</v>
      </c>
      <c r="P1589">
        <v>0.26096164625775609</v>
      </c>
    </row>
    <row r="1590" spans="13:16">
      <c r="M1590">
        <v>0.3069841344495276</v>
      </c>
      <c r="N1590">
        <v>0.18179145671722244</v>
      </c>
      <c r="O1590">
        <v>0.25936103541010103</v>
      </c>
      <c r="P1590">
        <v>0.25186337342314891</v>
      </c>
    </row>
    <row r="1591" spans="13:16">
      <c r="M1591">
        <v>0.30472136537979277</v>
      </c>
      <c r="N1591">
        <v>0.17527636465504387</v>
      </c>
      <c r="O1591">
        <v>0.26308356526907123</v>
      </c>
      <c r="P1591">
        <v>0.25691870469609213</v>
      </c>
    </row>
    <row r="1592" spans="13:16">
      <c r="M1592">
        <v>0.29848437939961175</v>
      </c>
      <c r="N1592">
        <v>0.17966890562425017</v>
      </c>
      <c r="O1592">
        <v>0.23118637535952827</v>
      </c>
      <c r="P1592">
        <v>0.29066033961660975</v>
      </c>
    </row>
    <row r="1593" spans="13:16">
      <c r="M1593">
        <v>0.2821526847770075</v>
      </c>
      <c r="N1593">
        <v>0.19657257551770768</v>
      </c>
      <c r="O1593">
        <v>0.25374507343396036</v>
      </c>
      <c r="P1593">
        <v>0.26752966627132435</v>
      </c>
    </row>
    <row r="1594" spans="13:16">
      <c r="M1594">
        <v>0.29464716588983642</v>
      </c>
      <c r="N1594">
        <v>0.19392654998872119</v>
      </c>
      <c r="O1594">
        <v>0.24805902836947966</v>
      </c>
      <c r="P1594">
        <v>0.26336725575196279</v>
      </c>
    </row>
    <row r="1595" spans="13:16">
      <c r="M1595">
        <v>0.33205731775915903</v>
      </c>
      <c r="N1595">
        <v>0.16966429508697339</v>
      </c>
      <c r="O1595">
        <v>0.24580099150866369</v>
      </c>
      <c r="P1595">
        <v>0.25247739564520388</v>
      </c>
    </row>
    <row r="1596" spans="13:16">
      <c r="M1596">
        <v>0.29176495055672791</v>
      </c>
      <c r="N1596">
        <v>0.19202934070384051</v>
      </c>
      <c r="O1596">
        <v>0.25111085299049596</v>
      </c>
      <c r="P1596">
        <v>0.26509485574893554</v>
      </c>
    </row>
    <row r="1597" spans="13:16">
      <c r="M1597">
        <v>0.28059056644410224</v>
      </c>
      <c r="N1597">
        <v>0.18708473682139518</v>
      </c>
      <c r="O1597">
        <v>0.26409534659419409</v>
      </c>
      <c r="P1597">
        <v>0.26822935014030841</v>
      </c>
    </row>
    <row r="1598" spans="13:16">
      <c r="M1598">
        <v>0.29461313419606028</v>
      </c>
      <c r="N1598">
        <v>0.1944914275738055</v>
      </c>
      <c r="O1598">
        <v>0.24363147337281441</v>
      </c>
      <c r="P1598">
        <v>0.26726396485731979</v>
      </c>
    </row>
    <row r="1599" spans="13:16">
      <c r="M1599">
        <v>0.26489229964204475</v>
      </c>
      <c r="N1599">
        <v>0.20029235048012356</v>
      </c>
      <c r="O1599">
        <v>0.26860681140625953</v>
      </c>
      <c r="P1599">
        <v>0.26620853847157222</v>
      </c>
    </row>
    <row r="1600" spans="13:16">
      <c r="M1600">
        <v>0.26451790877781156</v>
      </c>
      <c r="N1600">
        <v>0.17308643210275135</v>
      </c>
      <c r="O1600">
        <v>0.30119456659801819</v>
      </c>
      <c r="P1600">
        <v>0.26120109252141899</v>
      </c>
    </row>
    <row r="1601" spans="13:16">
      <c r="M1601">
        <v>0.31778690444583241</v>
      </c>
      <c r="N1601">
        <v>0.15799078339899916</v>
      </c>
      <c r="O1601">
        <v>0.28108075463981141</v>
      </c>
      <c r="P1601">
        <v>0.24314155751535704</v>
      </c>
    </row>
    <row r="1602" spans="13:16">
      <c r="M1602">
        <v>0.29725747048256673</v>
      </c>
      <c r="N1602">
        <v>0.20114268991239193</v>
      </c>
      <c r="O1602">
        <v>0.22956324589929991</v>
      </c>
      <c r="P1602">
        <v>0.2720365937057414</v>
      </c>
    </row>
    <row r="1603" spans="13:16">
      <c r="M1603">
        <v>0.29717619662225031</v>
      </c>
      <c r="N1603">
        <v>0.16613713660008572</v>
      </c>
      <c r="O1603">
        <v>0.29786106103937343</v>
      </c>
      <c r="P1603">
        <v>0.23882560573829048</v>
      </c>
    </row>
    <row r="1604" spans="13:16">
      <c r="M1604">
        <v>0.30913979164141236</v>
      </c>
      <c r="N1604">
        <v>0.18254839898622258</v>
      </c>
      <c r="O1604">
        <v>0.25754929633334711</v>
      </c>
      <c r="P1604">
        <v>0.25076251303901798</v>
      </c>
    </row>
    <row r="1605" spans="13:16">
      <c r="M1605">
        <v>0.27191181944527776</v>
      </c>
      <c r="N1605">
        <v>0.18656556967853527</v>
      </c>
      <c r="O1605">
        <v>0.25831029601185701</v>
      </c>
      <c r="P1605">
        <v>0.28321231486433013</v>
      </c>
    </row>
    <row r="1606" spans="13:16">
      <c r="M1606">
        <v>0.28570946422039933</v>
      </c>
      <c r="N1606">
        <v>0.17800300620623696</v>
      </c>
      <c r="O1606">
        <v>0.27154419450507794</v>
      </c>
      <c r="P1606">
        <v>0.26474333506828573</v>
      </c>
    </row>
    <row r="1607" spans="13:16">
      <c r="M1607">
        <v>0.2823457472753253</v>
      </c>
      <c r="N1607">
        <v>0.19343944212881969</v>
      </c>
      <c r="O1607">
        <v>0.23611038613246918</v>
      </c>
      <c r="P1607">
        <v>0.28810442446338586</v>
      </c>
    </row>
    <row r="1608" spans="13:16">
      <c r="M1608">
        <v>0.31453135857731429</v>
      </c>
      <c r="N1608">
        <v>0.16938372102834814</v>
      </c>
      <c r="O1608">
        <v>0.26090846045763477</v>
      </c>
      <c r="P1608">
        <v>0.2551764599367029</v>
      </c>
    </row>
    <row r="1609" spans="13:16">
      <c r="M1609">
        <v>0.26397785847605565</v>
      </c>
      <c r="N1609">
        <v>0.20466928119349276</v>
      </c>
      <c r="O1609">
        <v>0.26011799749171549</v>
      </c>
      <c r="P1609">
        <v>0.27123486283873599</v>
      </c>
    </row>
    <row r="1610" spans="13:16">
      <c r="M1610">
        <v>0.31410381551945532</v>
      </c>
      <c r="N1610">
        <v>0.18732665127646483</v>
      </c>
      <c r="O1610">
        <v>0.23777332274736754</v>
      </c>
      <c r="P1610">
        <v>0.26079621045671231</v>
      </c>
    </row>
    <row r="1611" spans="13:16">
      <c r="M1611">
        <v>0.28949602703456573</v>
      </c>
      <c r="N1611">
        <v>0.18339349207409486</v>
      </c>
      <c r="O1611">
        <v>0.26086018800662525</v>
      </c>
      <c r="P1611">
        <v>0.26625029288471408</v>
      </c>
    </row>
    <row r="1612" spans="13:16">
      <c r="M1612">
        <v>0.2704751079008465</v>
      </c>
      <c r="N1612">
        <v>0.21706552139839727</v>
      </c>
      <c r="O1612">
        <v>0.24242843166579897</v>
      </c>
      <c r="P1612">
        <v>0.2700309390349574</v>
      </c>
    </row>
    <row r="1613" spans="13:16">
      <c r="M1613">
        <v>0.28364335651809897</v>
      </c>
      <c r="N1613">
        <v>0.18686038748543188</v>
      </c>
      <c r="O1613">
        <v>0.2639177242955511</v>
      </c>
      <c r="P1613">
        <v>0.26557853170091811</v>
      </c>
    </row>
    <row r="1614" spans="13:16">
      <c r="M1614">
        <v>0.30355796632418958</v>
      </c>
      <c r="N1614">
        <v>0.18595174403748768</v>
      </c>
      <c r="O1614">
        <v>0.25613756422246886</v>
      </c>
      <c r="P1614">
        <v>0.25435272541585391</v>
      </c>
    </row>
    <row r="1615" spans="13:16">
      <c r="M1615">
        <v>0.30585524091977767</v>
      </c>
      <c r="N1615">
        <v>0.16785204131705389</v>
      </c>
      <c r="O1615">
        <v>0.26483879881002986</v>
      </c>
      <c r="P1615">
        <v>0.26145391895313852</v>
      </c>
    </row>
    <row r="1616" spans="13:16">
      <c r="M1616">
        <v>0.29616977769805469</v>
      </c>
      <c r="N1616">
        <v>0.17763468174860506</v>
      </c>
      <c r="O1616">
        <v>0.24964960195551428</v>
      </c>
      <c r="P1616">
        <v>0.27654593859782589</v>
      </c>
    </row>
    <row r="1617" spans="13:16">
      <c r="M1617">
        <v>0.27309089731727371</v>
      </c>
      <c r="N1617">
        <v>0.18678310396325914</v>
      </c>
      <c r="O1617">
        <v>0.27084843260287583</v>
      </c>
      <c r="P1617">
        <v>0.26927756611659148</v>
      </c>
    </row>
    <row r="1618" spans="13:16">
      <c r="M1618">
        <v>0.28067425862741241</v>
      </c>
      <c r="N1618">
        <v>0.18093690015074348</v>
      </c>
      <c r="O1618">
        <v>0.26704852104091448</v>
      </c>
      <c r="P1618">
        <v>0.27134032018092968</v>
      </c>
    </row>
    <row r="1619" spans="13:16">
      <c r="M1619">
        <v>0.28728973597071955</v>
      </c>
      <c r="N1619">
        <v>0.18348031562712433</v>
      </c>
      <c r="O1619">
        <v>0.24694166614230945</v>
      </c>
      <c r="P1619">
        <v>0.28228828225984676</v>
      </c>
    </row>
    <row r="1620" spans="13:16">
      <c r="M1620">
        <v>0.32493969760016922</v>
      </c>
      <c r="N1620">
        <v>0.16739145250327495</v>
      </c>
      <c r="O1620">
        <v>0.24866239962136463</v>
      </c>
      <c r="P1620">
        <v>0.25900645027519126</v>
      </c>
    </row>
    <row r="1621" spans="13:16">
      <c r="M1621">
        <v>0.32386005492052422</v>
      </c>
      <c r="N1621">
        <v>0.16136162178152769</v>
      </c>
      <c r="O1621">
        <v>0.26015933115953543</v>
      </c>
      <c r="P1621">
        <v>0.25461899213841277</v>
      </c>
    </row>
    <row r="1622" spans="13:16">
      <c r="M1622">
        <v>0.32049081984681133</v>
      </c>
      <c r="N1622">
        <v>0.17140592452575945</v>
      </c>
      <c r="O1622">
        <v>0.23832517364245673</v>
      </c>
      <c r="P1622">
        <v>0.26977808198497244</v>
      </c>
    </row>
    <row r="1623" spans="13:16">
      <c r="M1623">
        <v>0.32132566660529527</v>
      </c>
      <c r="N1623">
        <v>0.18714902085358415</v>
      </c>
      <c r="O1623">
        <v>0.22933575217967969</v>
      </c>
      <c r="P1623">
        <v>0.26218956036144098</v>
      </c>
    </row>
    <row r="1624" spans="13:16">
      <c r="M1624">
        <v>0.31726118792121133</v>
      </c>
      <c r="N1624">
        <v>0.1872906663495667</v>
      </c>
      <c r="O1624">
        <v>0.23709065729006415</v>
      </c>
      <c r="P1624">
        <v>0.25835748843915785</v>
      </c>
    </row>
    <row r="1625" spans="13:16">
      <c r="M1625">
        <v>0.27831914879487923</v>
      </c>
      <c r="N1625">
        <v>0.19303344148323448</v>
      </c>
      <c r="O1625">
        <v>0.26839501090297874</v>
      </c>
      <c r="P1625">
        <v>0.26025239881890755</v>
      </c>
    </row>
    <row r="1626" spans="13:16">
      <c r="M1626">
        <v>0.27059913949495096</v>
      </c>
      <c r="N1626">
        <v>0.19149630000196735</v>
      </c>
      <c r="O1626">
        <v>0.2667970323419448</v>
      </c>
      <c r="P1626">
        <v>0.27110752816113692</v>
      </c>
    </row>
    <row r="1627" spans="13:16">
      <c r="M1627">
        <v>0.29032597488980488</v>
      </c>
      <c r="N1627">
        <v>0.18483451766561865</v>
      </c>
      <c r="O1627">
        <v>0.27166235091060259</v>
      </c>
      <c r="P1627">
        <v>0.25317715653397382</v>
      </c>
    </row>
    <row r="1628" spans="13:16">
      <c r="M1628">
        <v>0.28776372661232585</v>
      </c>
      <c r="N1628">
        <v>0.17672862345469831</v>
      </c>
      <c r="O1628">
        <v>0.27502673313490167</v>
      </c>
      <c r="P1628">
        <v>0.26048091679807422</v>
      </c>
    </row>
    <row r="1629" spans="13:16">
      <c r="M1629">
        <v>0.30625448824610019</v>
      </c>
      <c r="N1629">
        <v>0.18125300825468785</v>
      </c>
      <c r="O1629">
        <v>0.24251411597687833</v>
      </c>
      <c r="P1629">
        <v>0.26997838752233355</v>
      </c>
    </row>
    <row r="1630" spans="13:16">
      <c r="M1630">
        <v>0.28402559213323136</v>
      </c>
      <c r="N1630">
        <v>0.1813541699160055</v>
      </c>
      <c r="O1630">
        <v>0.28185336570811576</v>
      </c>
      <c r="P1630">
        <v>0.25276687224264727</v>
      </c>
    </row>
    <row r="1631" spans="13:16">
      <c r="M1631">
        <v>0.29713398394425899</v>
      </c>
      <c r="N1631">
        <v>0.18979298988552318</v>
      </c>
      <c r="O1631">
        <v>0.26065210545727474</v>
      </c>
      <c r="P1631">
        <v>0.25242092071294303</v>
      </c>
    </row>
    <row r="1632" spans="13:16">
      <c r="M1632">
        <v>0.29235172264365372</v>
      </c>
      <c r="N1632">
        <v>0.18322051264912476</v>
      </c>
      <c r="O1632">
        <v>0.26415594051554991</v>
      </c>
      <c r="P1632">
        <v>0.2602718241916715</v>
      </c>
    </row>
    <row r="1633" spans="13:16">
      <c r="M1633">
        <v>0.29236286165565517</v>
      </c>
      <c r="N1633">
        <v>0.18233254843327648</v>
      </c>
      <c r="O1633">
        <v>0.26315280849644129</v>
      </c>
      <c r="P1633">
        <v>0.26215178141462703</v>
      </c>
    </row>
    <row r="1634" spans="13:16">
      <c r="M1634">
        <v>0.31878467521712528</v>
      </c>
      <c r="N1634">
        <v>0.17441513471994424</v>
      </c>
      <c r="O1634">
        <v>0.23151632885779258</v>
      </c>
      <c r="P1634">
        <v>0.27528386120513793</v>
      </c>
    </row>
    <row r="1635" spans="13:16">
      <c r="M1635">
        <v>0.27760340121367438</v>
      </c>
      <c r="N1635">
        <v>0.21766732172945885</v>
      </c>
      <c r="O1635">
        <v>0.22583120054807684</v>
      </c>
      <c r="P1635">
        <v>0.27889807650878989</v>
      </c>
    </row>
    <row r="1636" spans="13:16">
      <c r="M1636">
        <v>0.29091887982836667</v>
      </c>
      <c r="N1636">
        <v>0.18166584538175587</v>
      </c>
      <c r="O1636">
        <v>0.27743333830767747</v>
      </c>
      <c r="P1636">
        <v>0.24998193648219996</v>
      </c>
    </row>
    <row r="1637" spans="13:16">
      <c r="M1637">
        <v>0.28905403346574771</v>
      </c>
      <c r="N1637">
        <v>0.20105331323924786</v>
      </c>
      <c r="O1637">
        <v>0.24312999055511011</v>
      </c>
      <c r="P1637">
        <v>0.26676266273989419</v>
      </c>
    </row>
    <row r="1638" spans="13:16">
      <c r="M1638">
        <v>0.30838556359821795</v>
      </c>
      <c r="N1638">
        <v>0.17344818562111594</v>
      </c>
      <c r="O1638">
        <v>0.27260962098765379</v>
      </c>
      <c r="P1638">
        <v>0.24555662979301232</v>
      </c>
    </row>
    <row r="1639" spans="13:16">
      <c r="M1639">
        <v>0.29114803672536566</v>
      </c>
      <c r="N1639">
        <v>0.17478110459851495</v>
      </c>
      <c r="O1639">
        <v>0.27761051055318386</v>
      </c>
      <c r="P1639">
        <v>0.25646034812293556</v>
      </c>
    </row>
    <row r="1640" spans="13:16">
      <c r="M1640">
        <v>0.27121486843808318</v>
      </c>
      <c r="N1640">
        <v>0.19241417914519504</v>
      </c>
      <c r="O1640">
        <v>0.27504034398110982</v>
      </c>
      <c r="P1640">
        <v>0.26133060843561179</v>
      </c>
    </row>
    <row r="1641" spans="13:16">
      <c r="M1641">
        <v>0.30727513118579197</v>
      </c>
      <c r="N1641">
        <v>0.19796029944136195</v>
      </c>
      <c r="O1641">
        <v>0.21160006104221032</v>
      </c>
      <c r="P1641">
        <v>0.28316450833063578</v>
      </c>
    </row>
    <row r="1642" spans="13:16">
      <c r="M1642">
        <v>0.28144265585018113</v>
      </c>
      <c r="N1642">
        <v>0.19117508027053504</v>
      </c>
      <c r="O1642">
        <v>0.27903548155352731</v>
      </c>
      <c r="P1642">
        <v>0.24834678232575666</v>
      </c>
    </row>
    <row r="1643" spans="13:16">
      <c r="M1643">
        <v>0.27400206169116154</v>
      </c>
      <c r="N1643">
        <v>0.19753838831710238</v>
      </c>
      <c r="O1643">
        <v>0.25673096196062473</v>
      </c>
      <c r="P1643">
        <v>0.27172858803111122</v>
      </c>
    </row>
    <row r="1644" spans="13:16">
      <c r="M1644">
        <v>0.30100795186454427</v>
      </c>
      <c r="N1644">
        <v>0.1724842884479133</v>
      </c>
      <c r="O1644">
        <v>0.27203030529200006</v>
      </c>
      <c r="P1644">
        <v>0.25447745439554231</v>
      </c>
    </row>
    <row r="1645" spans="13:16">
      <c r="M1645">
        <v>0.29088000219279064</v>
      </c>
      <c r="N1645">
        <v>0.18159830503073851</v>
      </c>
      <c r="O1645">
        <v>0.28416577326252174</v>
      </c>
      <c r="P1645">
        <v>0.24335591951394919</v>
      </c>
    </row>
    <row r="1646" spans="13:16">
      <c r="M1646">
        <v>0.31251067887292716</v>
      </c>
      <c r="N1646">
        <v>0.17027634379615125</v>
      </c>
      <c r="O1646">
        <v>0.25966990588047073</v>
      </c>
      <c r="P1646">
        <v>0.25754307145045097</v>
      </c>
    </row>
    <row r="1647" spans="13:16">
      <c r="M1647">
        <v>0.3046292838102555</v>
      </c>
      <c r="N1647">
        <v>0.17507277511613339</v>
      </c>
      <c r="O1647">
        <v>0.24090944034916076</v>
      </c>
      <c r="P1647">
        <v>0.27938850072445037</v>
      </c>
    </row>
    <row r="1648" spans="13:16">
      <c r="M1648">
        <v>0.28589498958004006</v>
      </c>
      <c r="N1648">
        <v>0.18682519831046937</v>
      </c>
      <c r="O1648">
        <v>0.25515286727514269</v>
      </c>
      <c r="P1648">
        <v>0.27212694483434779</v>
      </c>
    </row>
    <row r="1649" spans="13:16">
      <c r="M1649">
        <v>0.27668317490945732</v>
      </c>
      <c r="N1649">
        <v>0.19107543454860274</v>
      </c>
      <c r="O1649">
        <v>0.26204936577718918</v>
      </c>
      <c r="P1649">
        <v>0.27019202476475085</v>
      </c>
    </row>
    <row r="1650" spans="13:16">
      <c r="M1650">
        <v>0.28719922723854729</v>
      </c>
      <c r="N1650">
        <v>0.16996305927104161</v>
      </c>
      <c r="O1650">
        <v>0.2954958189240447</v>
      </c>
      <c r="P1650">
        <v>0.24734189456636627</v>
      </c>
    </row>
    <row r="1651" spans="13:16">
      <c r="M1651">
        <v>0.25967078325599613</v>
      </c>
      <c r="N1651">
        <v>0.20447138544043805</v>
      </c>
      <c r="O1651">
        <v>0.27580786926685952</v>
      </c>
      <c r="P1651">
        <v>0.26004996203670616</v>
      </c>
    </row>
    <row r="1652" spans="13:16">
      <c r="M1652">
        <v>0.26706016594831034</v>
      </c>
      <c r="N1652">
        <v>0.18337464459573347</v>
      </c>
      <c r="O1652">
        <v>0.28268343144929192</v>
      </c>
      <c r="P1652">
        <v>0.26688175800666442</v>
      </c>
    </row>
    <row r="1653" spans="13:16">
      <c r="M1653">
        <v>0.32063660855435994</v>
      </c>
      <c r="N1653">
        <v>0.18752059903755941</v>
      </c>
      <c r="O1653">
        <v>0.22481573581755135</v>
      </c>
      <c r="P1653">
        <v>0.26702705659052939</v>
      </c>
    </row>
    <row r="1654" spans="13:16">
      <c r="M1654">
        <v>0.32268210371742179</v>
      </c>
      <c r="N1654">
        <v>0.1615928706778923</v>
      </c>
      <c r="O1654">
        <v>0.28384012114450685</v>
      </c>
      <c r="P1654">
        <v>0.23188490446017918</v>
      </c>
    </row>
    <row r="1655" spans="13:16">
      <c r="M1655">
        <v>0.31580726979960971</v>
      </c>
      <c r="N1655">
        <v>0.17400856586880792</v>
      </c>
      <c r="O1655">
        <v>0.25401277623868823</v>
      </c>
      <c r="P1655">
        <v>0.25617138809289414</v>
      </c>
    </row>
    <row r="1656" spans="13:16">
      <c r="M1656">
        <v>0.28539442092457812</v>
      </c>
      <c r="N1656">
        <v>0.18585024697804051</v>
      </c>
      <c r="O1656">
        <v>0.27111757390297708</v>
      </c>
      <c r="P1656">
        <v>0.25763775819440432</v>
      </c>
    </row>
    <row r="1657" spans="13:16">
      <c r="M1657">
        <v>0.29269589944069913</v>
      </c>
      <c r="N1657">
        <v>0.20116294294426115</v>
      </c>
      <c r="O1657">
        <v>0.24056231186550883</v>
      </c>
      <c r="P1657">
        <v>0.26557884574953089</v>
      </c>
    </row>
    <row r="1658" spans="13:16">
      <c r="M1658">
        <v>0.2728708010824315</v>
      </c>
      <c r="N1658">
        <v>0.17443002085296402</v>
      </c>
      <c r="O1658">
        <v>0.29440249612359226</v>
      </c>
      <c r="P1658">
        <v>0.2582966819410123</v>
      </c>
    </row>
    <row r="1659" spans="13:16">
      <c r="M1659">
        <v>0.2734441817608293</v>
      </c>
      <c r="N1659">
        <v>0.19089364909587372</v>
      </c>
      <c r="O1659">
        <v>0.2692082847827682</v>
      </c>
      <c r="P1659">
        <v>0.26645388436052875</v>
      </c>
    </row>
    <row r="1660" spans="13:16">
      <c r="M1660">
        <v>0.29681685715871975</v>
      </c>
      <c r="N1660">
        <v>0.18592591530516001</v>
      </c>
      <c r="O1660">
        <v>0.25591448283671853</v>
      </c>
      <c r="P1660">
        <v>0.26134274469940161</v>
      </c>
    </row>
    <row r="1661" spans="13:16">
      <c r="M1661">
        <v>0.30642872801576798</v>
      </c>
      <c r="N1661">
        <v>0.18621292197103603</v>
      </c>
      <c r="O1661">
        <v>0.21788565977715266</v>
      </c>
      <c r="P1661">
        <v>0.28947269023604333</v>
      </c>
    </row>
    <row r="1662" spans="13:16">
      <c r="M1662">
        <v>0.27582779403266916</v>
      </c>
      <c r="N1662">
        <v>0.19039128126800273</v>
      </c>
      <c r="O1662">
        <v>0.25144512117672108</v>
      </c>
      <c r="P1662">
        <v>0.28233580352260712</v>
      </c>
    </row>
    <row r="1663" spans="13:16">
      <c r="M1663">
        <v>0.32141640073431804</v>
      </c>
      <c r="N1663">
        <v>0.17378299907489156</v>
      </c>
      <c r="O1663">
        <v>0.26997718286854067</v>
      </c>
      <c r="P1663">
        <v>0.23482341732224968</v>
      </c>
    </row>
    <row r="1664" spans="13:16">
      <c r="M1664">
        <v>0.27765366295707911</v>
      </c>
      <c r="N1664">
        <v>0.17435276775045128</v>
      </c>
      <c r="O1664">
        <v>0.29475334486404869</v>
      </c>
      <c r="P1664">
        <v>0.25324022442842103</v>
      </c>
    </row>
    <row r="1665" spans="13:16">
      <c r="M1665">
        <v>0.30161495253170589</v>
      </c>
      <c r="N1665">
        <v>0.17290359158220261</v>
      </c>
      <c r="O1665">
        <v>0.27153033015076128</v>
      </c>
      <c r="P1665">
        <v>0.25395112573533019</v>
      </c>
    </row>
    <row r="1666" spans="13:16">
      <c r="M1666">
        <v>0.31476011597832476</v>
      </c>
      <c r="N1666">
        <v>0.17223369278265069</v>
      </c>
      <c r="O1666">
        <v>0.25192232338314907</v>
      </c>
      <c r="P1666">
        <v>0.26108386785587562</v>
      </c>
    </row>
    <row r="1667" spans="13:16">
      <c r="M1667">
        <v>0.30198083229503458</v>
      </c>
      <c r="N1667">
        <v>0.18762421599463688</v>
      </c>
      <c r="O1667">
        <v>0.25206325174302924</v>
      </c>
      <c r="P1667">
        <v>0.25833169996729932</v>
      </c>
    </row>
    <row r="1668" spans="13:16">
      <c r="M1668">
        <v>0.28293760795373452</v>
      </c>
      <c r="N1668">
        <v>0.16648917811087929</v>
      </c>
      <c r="O1668">
        <v>0.29586977902449108</v>
      </c>
      <c r="P1668">
        <v>0.25470343491089514</v>
      </c>
    </row>
    <row r="1669" spans="13:16">
      <c r="M1669">
        <v>0.27546386325667166</v>
      </c>
      <c r="N1669">
        <v>0.19381792141936943</v>
      </c>
      <c r="O1669">
        <v>0.24983396032427049</v>
      </c>
      <c r="P1669">
        <v>0.28088425499968833</v>
      </c>
    </row>
    <row r="1670" spans="13:16">
      <c r="M1670">
        <v>0.31890916102142008</v>
      </c>
      <c r="N1670">
        <v>0.17931016516876724</v>
      </c>
      <c r="O1670">
        <v>0.23749652843342714</v>
      </c>
      <c r="P1670">
        <v>0.2642841453763855</v>
      </c>
    </row>
    <row r="1671" spans="13:16">
      <c r="M1671">
        <v>0.30121140075725672</v>
      </c>
      <c r="N1671">
        <v>0.18104062899647522</v>
      </c>
      <c r="O1671">
        <v>0.24657409639428232</v>
      </c>
      <c r="P1671">
        <v>0.27117387385198566</v>
      </c>
    </row>
    <row r="1672" spans="13:16">
      <c r="M1672">
        <v>0.27187482612528091</v>
      </c>
      <c r="N1672">
        <v>0.21440727413057603</v>
      </c>
      <c r="O1672">
        <v>0.23049155814458894</v>
      </c>
      <c r="P1672">
        <v>0.28322634159955407</v>
      </c>
    </row>
    <row r="1673" spans="13:16">
      <c r="M1673">
        <v>0.31110263523601289</v>
      </c>
      <c r="N1673">
        <v>0.19013207514079347</v>
      </c>
      <c r="O1673">
        <v>0.22930182094054691</v>
      </c>
      <c r="P1673">
        <v>0.26946346868264665</v>
      </c>
    </row>
    <row r="1674" spans="13:16">
      <c r="M1674">
        <v>0.28724174440299782</v>
      </c>
      <c r="N1674">
        <v>0.1943013260056913</v>
      </c>
      <c r="O1674">
        <v>0.24167667815194846</v>
      </c>
      <c r="P1674">
        <v>0.27678025143936236</v>
      </c>
    </row>
    <row r="1675" spans="13:16">
      <c r="M1675">
        <v>0.29341834058536082</v>
      </c>
      <c r="N1675">
        <v>0.18716709271034571</v>
      </c>
      <c r="O1675">
        <v>0.24297891624025583</v>
      </c>
      <c r="P1675">
        <v>0.27643565046403767</v>
      </c>
    </row>
    <row r="1676" spans="13:16">
      <c r="M1676">
        <v>0.2770314370726687</v>
      </c>
      <c r="N1676">
        <v>0.18768951558163469</v>
      </c>
      <c r="O1676">
        <v>0.26306337382115474</v>
      </c>
      <c r="P1676">
        <v>0.27221567352454179</v>
      </c>
    </row>
    <row r="1677" spans="13:16">
      <c r="M1677">
        <v>0.26037570802959764</v>
      </c>
      <c r="N1677">
        <v>0.17580809714953044</v>
      </c>
      <c r="O1677">
        <v>0.30429995715503239</v>
      </c>
      <c r="P1677">
        <v>0.25951623766583953</v>
      </c>
    </row>
    <row r="1678" spans="13:16">
      <c r="M1678">
        <v>0.26318360888911069</v>
      </c>
      <c r="N1678">
        <v>0.20913453710216004</v>
      </c>
      <c r="O1678">
        <v>0.25643210462947136</v>
      </c>
      <c r="P1678">
        <v>0.27124974937925794</v>
      </c>
    </row>
    <row r="1679" spans="13:16">
      <c r="M1679">
        <v>0.25462807294833506</v>
      </c>
      <c r="N1679">
        <v>0.19596807880824277</v>
      </c>
      <c r="O1679">
        <v>0.28463526608167372</v>
      </c>
      <c r="P1679">
        <v>0.26476858216174853</v>
      </c>
    </row>
    <row r="1680" spans="13:16">
      <c r="M1680">
        <v>0.28436203998219622</v>
      </c>
      <c r="N1680">
        <v>0.18783960785788001</v>
      </c>
      <c r="O1680">
        <v>0.24870548099759024</v>
      </c>
      <c r="P1680">
        <v>0.27909287116233361</v>
      </c>
    </row>
    <row r="1681" spans="13:16">
      <c r="M1681">
        <v>0.26664191652826336</v>
      </c>
      <c r="N1681">
        <v>0.20242144877841453</v>
      </c>
      <c r="O1681">
        <v>0.26129630222593064</v>
      </c>
      <c r="P1681">
        <v>0.2696403324673915</v>
      </c>
    </row>
    <row r="1682" spans="13:16">
      <c r="M1682">
        <v>0.29131909338882528</v>
      </c>
      <c r="N1682">
        <v>0.18271448643546517</v>
      </c>
      <c r="O1682">
        <v>0.27155371430219089</v>
      </c>
      <c r="P1682">
        <v>0.25441270587351877</v>
      </c>
    </row>
    <row r="1683" spans="13:16">
      <c r="M1683">
        <v>0.29438907643303208</v>
      </c>
      <c r="N1683">
        <v>0.17081588732458455</v>
      </c>
      <c r="O1683">
        <v>0.28861020014652067</v>
      </c>
      <c r="P1683">
        <v>0.24618483609586264</v>
      </c>
    </row>
    <row r="1684" spans="13:16">
      <c r="M1684">
        <v>0.28520244385042826</v>
      </c>
      <c r="N1684">
        <v>0.18996571162105821</v>
      </c>
      <c r="O1684">
        <v>0.2556608977638879</v>
      </c>
      <c r="P1684">
        <v>0.26917094676462561</v>
      </c>
    </row>
    <row r="1685" spans="13:16">
      <c r="M1685">
        <v>0.29009682967024364</v>
      </c>
      <c r="N1685">
        <v>0.20068014307839946</v>
      </c>
      <c r="O1685">
        <v>0.22744581052527588</v>
      </c>
      <c r="P1685">
        <v>0.28177721672608097</v>
      </c>
    </row>
    <row r="1686" spans="13:16">
      <c r="M1686">
        <v>0.30587295552824267</v>
      </c>
      <c r="N1686">
        <v>0.17347270480440444</v>
      </c>
      <c r="O1686">
        <v>0.27388224557026147</v>
      </c>
      <c r="P1686">
        <v>0.24677209409709142</v>
      </c>
    </row>
    <row r="1687" spans="13:16">
      <c r="M1687">
        <v>0.27708326715112008</v>
      </c>
      <c r="N1687">
        <v>0.17368084945580159</v>
      </c>
      <c r="O1687">
        <v>0.28423967008884182</v>
      </c>
      <c r="P1687">
        <v>0.26499621330423645</v>
      </c>
    </row>
    <row r="1688" spans="13:16">
      <c r="M1688">
        <v>0.28415324750189169</v>
      </c>
      <c r="N1688">
        <v>0.19460818000543956</v>
      </c>
      <c r="O1688">
        <v>0.26696989804210469</v>
      </c>
      <c r="P1688">
        <v>0.254268674450564</v>
      </c>
    </row>
    <row r="1689" spans="13:16">
      <c r="M1689">
        <v>0.31294531042399232</v>
      </c>
      <c r="N1689">
        <v>0.17404092018317649</v>
      </c>
      <c r="O1689">
        <v>0.27095785077180135</v>
      </c>
      <c r="P1689">
        <v>0.24205591862102982</v>
      </c>
    </row>
    <row r="1690" spans="13:16">
      <c r="M1690">
        <v>0.28594565324050203</v>
      </c>
      <c r="N1690">
        <v>0.19267642412104091</v>
      </c>
      <c r="O1690">
        <v>0.25419016146726225</v>
      </c>
      <c r="P1690">
        <v>0.2671877611711948</v>
      </c>
    </row>
    <row r="1691" spans="13:16">
      <c r="M1691">
        <v>0.27677319192673311</v>
      </c>
      <c r="N1691">
        <v>0.18255709113953039</v>
      </c>
      <c r="O1691">
        <v>0.28194777260098636</v>
      </c>
      <c r="P1691">
        <v>0.25872194433274998</v>
      </c>
    </row>
    <row r="1692" spans="13:16">
      <c r="M1692">
        <v>0.3163167841515796</v>
      </c>
      <c r="N1692">
        <v>0.181865177953245</v>
      </c>
      <c r="O1692">
        <v>0.21642529077529515</v>
      </c>
      <c r="P1692">
        <v>0.28539274711988039</v>
      </c>
    </row>
    <row r="1693" spans="13:16">
      <c r="M1693">
        <v>0.27661939382215206</v>
      </c>
      <c r="N1693">
        <v>0.19974868944687407</v>
      </c>
      <c r="O1693">
        <v>0.26447331136427843</v>
      </c>
      <c r="P1693">
        <v>0.25915860536669544</v>
      </c>
    </row>
    <row r="1694" spans="13:16">
      <c r="M1694">
        <v>0.27490851235264435</v>
      </c>
      <c r="N1694">
        <v>0.18958112944018807</v>
      </c>
      <c r="O1694">
        <v>0.25286923004583378</v>
      </c>
      <c r="P1694">
        <v>0.28264112816133369</v>
      </c>
    </row>
    <row r="1695" spans="13:16">
      <c r="M1695">
        <v>0.28883266142596969</v>
      </c>
      <c r="N1695">
        <v>0.1834600688883378</v>
      </c>
      <c r="O1695">
        <v>0.26816017853862384</v>
      </c>
      <c r="P1695">
        <v>0.25954709114706875</v>
      </c>
    </row>
    <row r="1696" spans="13:16">
      <c r="M1696">
        <v>0.29631966564990103</v>
      </c>
      <c r="N1696">
        <v>0.1927913306664138</v>
      </c>
      <c r="O1696">
        <v>0.24105994083633364</v>
      </c>
      <c r="P1696">
        <v>0.26982906284735159</v>
      </c>
    </row>
    <row r="1697" spans="13:16">
      <c r="M1697">
        <v>0.29238589460969933</v>
      </c>
      <c r="N1697">
        <v>0.18366758757147011</v>
      </c>
      <c r="O1697">
        <v>0.27100569613053244</v>
      </c>
      <c r="P1697">
        <v>0.25294082168829818</v>
      </c>
    </row>
    <row r="1698" spans="13:16">
      <c r="M1698">
        <v>0.28034114608781191</v>
      </c>
      <c r="N1698">
        <v>0.1942776637803777</v>
      </c>
      <c r="O1698">
        <v>0.26642996621379467</v>
      </c>
      <c r="P1698">
        <v>0.25895122391801567</v>
      </c>
    </row>
    <row r="1699" spans="13:16">
      <c r="M1699">
        <v>0.32183155084950893</v>
      </c>
      <c r="N1699">
        <v>0.17500455974889984</v>
      </c>
      <c r="O1699">
        <v>0.23294323869263078</v>
      </c>
      <c r="P1699">
        <v>0.27022065070896045</v>
      </c>
    </row>
    <row r="1700" spans="13:16">
      <c r="M1700">
        <v>0.32311776001678538</v>
      </c>
      <c r="N1700">
        <v>0.18080469935159388</v>
      </c>
      <c r="O1700">
        <v>0.23204080792255405</v>
      </c>
      <c r="P1700">
        <v>0.2640367327090668</v>
      </c>
    </row>
    <row r="1701" spans="13:16">
      <c r="M1701">
        <v>0.27861506340136383</v>
      </c>
      <c r="N1701">
        <v>0.17493392414946052</v>
      </c>
      <c r="O1701">
        <v>0.28756297820406806</v>
      </c>
      <c r="P1701">
        <v>0.25888803424510765</v>
      </c>
    </row>
    <row r="1702" spans="13:16">
      <c r="M1702">
        <v>0.29940210139455548</v>
      </c>
      <c r="N1702">
        <v>0.18997381120473325</v>
      </c>
      <c r="O1702">
        <v>0.25768707561325616</v>
      </c>
      <c r="P1702">
        <v>0.25293701178745509</v>
      </c>
    </row>
    <row r="1703" spans="13:16">
      <c r="M1703">
        <v>0.2846341659278559</v>
      </c>
      <c r="N1703">
        <v>0.20641371235641925</v>
      </c>
      <c r="O1703">
        <v>0.22714590947698435</v>
      </c>
      <c r="P1703">
        <v>0.28180621223874036</v>
      </c>
    </row>
    <row r="1704" spans="13:16">
      <c r="M1704">
        <v>0.30936114432278877</v>
      </c>
      <c r="N1704">
        <v>0.16706206789817277</v>
      </c>
      <c r="O1704">
        <v>0.27660826913649134</v>
      </c>
      <c r="P1704">
        <v>0.24696851864254715</v>
      </c>
    </row>
    <row r="1705" spans="13:16">
      <c r="M1705">
        <v>0.29480681852887158</v>
      </c>
      <c r="N1705">
        <v>0.19012241972339688</v>
      </c>
      <c r="O1705">
        <v>0.25311406686437626</v>
      </c>
      <c r="P1705">
        <v>0.26195669488335538</v>
      </c>
    </row>
    <row r="1706" spans="13:16">
      <c r="M1706">
        <v>0.3189229516091166</v>
      </c>
      <c r="N1706">
        <v>0.1871157978878476</v>
      </c>
      <c r="O1706">
        <v>0.21971619273612089</v>
      </c>
      <c r="P1706">
        <v>0.27424505776691482</v>
      </c>
    </row>
    <row r="1707" spans="13:16">
      <c r="M1707">
        <v>0.28468869898752824</v>
      </c>
      <c r="N1707">
        <v>0.19030638924232621</v>
      </c>
      <c r="O1707">
        <v>0.25888484966472025</v>
      </c>
      <c r="P1707">
        <v>0.26612006210542533</v>
      </c>
    </row>
    <row r="1708" spans="13:16">
      <c r="M1708">
        <v>0.30246447597324222</v>
      </c>
      <c r="N1708">
        <v>0.17630531644396308</v>
      </c>
      <c r="O1708">
        <v>0.26077281197436469</v>
      </c>
      <c r="P1708">
        <v>0.26045739560843001</v>
      </c>
    </row>
    <row r="1709" spans="13:16">
      <c r="M1709">
        <v>0.32141302252022041</v>
      </c>
      <c r="N1709">
        <v>0.17649098378431094</v>
      </c>
      <c r="O1709">
        <v>0.2364808042578842</v>
      </c>
      <c r="P1709">
        <v>0.2656151894375845</v>
      </c>
    </row>
    <row r="1710" spans="13:16">
      <c r="M1710">
        <v>0.29378678884147652</v>
      </c>
      <c r="N1710">
        <v>0.17129177199188164</v>
      </c>
      <c r="O1710">
        <v>0.27013486241279222</v>
      </c>
      <c r="P1710">
        <v>0.26478657675384953</v>
      </c>
    </row>
    <row r="1711" spans="13:16">
      <c r="M1711">
        <v>0.30391108455666971</v>
      </c>
      <c r="N1711">
        <v>0.18455119338311121</v>
      </c>
      <c r="O1711">
        <v>0.23102747818433611</v>
      </c>
      <c r="P1711">
        <v>0.28051024387588303</v>
      </c>
    </row>
    <row r="1712" spans="13:16">
      <c r="M1712">
        <v>0.30211952186276692</v>
      </c>
      <c r="N1712">
        <v>0.18336161097325127</v>
      </c>
      <c r="O1712">
        <v>0.25441250970675788</v>
      </c>
      <c r="P1712">
        <v>0.26010635745722405</v>
      </c>
    </row>
    <row r="1713" spans="13:16">
      <c r="M1713">
        <v>0.28907064245503733</v>
      </c>
      <c r="N1713">
        <v>0.17353505561085961</v>
      </c>
      <c r="O1713">
        <v>0.26851967731844595</v>
      </c>
      <c r="P1713">
        <v>0.26887462461565703</v>
      </c>
    </row>
    <row r="1714" spans="13:16">
      <c r="M1714">
        <v>0.31242202391109986</v>
      </c>
      <c r="N1714">
        <v>0.18815918918578972</v>
      </c>
      <c r="O1714">
        <v>0.25172773202685422</v>
      </c>
      <c r="P1714">
        <v>0.24769105487625626</v>
      </c>
    </row>
    <row r="1715" spans="13:16">
      <c r="M1715">
        <v>0.29597809809947762</v>
      </c>
      <c r="N1715">
        <v>0.169656196915315</v>
      </c>
      <c r="O1715">
        <v>0.27570557636225623</v>
      </c>
      <c r="P1715">
        <v>0.25866012862295112</v>
      </c>
    </row>
    <row r="1716" spans="13:16">
      <c r="M1716">
        <v>0.26998614584863867</v>
      </c>
      <c r="N1716">
        <v>0.20409499005073939</v>
      </c>
      <c r="O1716">
        <v>0.24938809944978735</v>
      </c>
      <c r="P1716">
        <v>0.27653076465083465</v>
      </c>
    </row>
    <row r="1717" spans="13:16">
      <c r="M1717">
        <v>0.31203947858335207</v>
      </c>
      <c r="N1717">
        <v>0.18456971119393434</v>
      </c>
      <c r="O1717">
        <v>0.24645509873553587</v>
      </c>
      <c r="P1717">
        <v>0.25693571148717786</v>
      </c>
    </row>
    <row r="1718" spans="13:16">
      <c r="M1718">
        <v>0.2609733351748974</v>
      </c>
      <c r="N1718">
        <v>0.18591238804542382</v>
      </c>
      <c r="O1718">
        <v>0.30280120919131581</v>
      </c>
      <c r="P1718">
        <v>0.25031306758836291</v>
      </c>
    </row>
    <row r="1719" spans="13:16">
      <c r="M1719">
        <v>0.31270415804137081</v>
      </c>
      <c r="N1719">
        <v>0.18035741774615854</v>
      </c>
      <c r="O1719">
        <v>0.23969842426155519</v>
      </c>
      <c r="P1719">
        <v>0.26723999995091552</v>
      </c>
    </row>
    <row r="1720" spans="13:16">
      <c r="M1720">
        <v>0.28529227571551546</v>
      </c>
      <c r="N1720">
        <v>0.19422473008328389</v>
      </c>
      <c r="O1720">
        <v>0.23583925906354616</v>
      </c>
      <c r="P1720">
        <v>0.28464373513765451</v>
      </c>
    </row>
    <row r="1721" spans="13:16">
      <c r="M1721">
        <v>0.29204778708806983</v>
      </c>
      <c r="N1721">
        <v>0.18542163520907787</v>
      </c>
      <c r="O1721">
        <v>0.23918917583242633</v>
      </c>
      <c r="P1721">
        <v>0.283341401870426</v>
      </c>
    </row>
    <row r="1722" spans="13:16">
      <c r="M1722">
        <v>0.29435336139137536</v>
      </c>
      <c r="N1722">
        <v>0.19287404383991807</v>
      </c>
      <c r="O1722">
        <v>0.25596154862759191</v>
      </c>
      <c r="P1722">
        <v>0.25681104614111472</v>
      </c>
    </row>
    <row r="1723" spans="13:16">
      <c r="M1723">
        <v>0.28403483767891674</v>
      </c>
      <c r="N1723">
        <v>0.18342551518874739</v>
      </c>
      <c r="O1723">
        <v>0.27239390129818186</v>
      </c>
      <c r="P1723">
        <v>0.2601457458341539</v>
      </c>
    </row>
    <row r="1724" spans="13:16">
      <c r="M1724">
        <v>0.29822956670057238</v>
      </c>
      <c r="N1724">
        <v>0.17259959629398813</v>
      </c>
      <c r="O1724">
        <v>0.26402630445829484</v>
      </c>
      <c r="P1724">
        <v>0.26514453254714465</v>
      </c>
    </row>
    <row r="1725" spans="13:16">
      <c r="M1725">
        <v>0.32215519022685224</v>
      </c>
      <c r="N1725">
        <v>0.16769435196863597</v>
      </c>
      <c r="O1725">
        <v>0.25615184245612516</v>
      </c>
      <c r="P1725">
        <v>0.25399861534838658</v>
      </c>
    </row>
    <row r="1726" spans="13:16">
      <c r="M1726">
        <v>0.28087384713193614</v>
      </c>
      <c r="N1726">
        <v>0.18277265524968217</v>
      </c>
      <c r="O1726">
        <v>0.27292528340277417</v>
      </c>
      <c r="P1726">
        <v>0.26342821421560747</v>
      </c>
    </row>
    <row r="1727" spans="13:16">
      <c r="M1727">
        <v>0.3234536426773616</v>
      </c>
      <c r="N1727">
        <v>0.18304766333269698</v>
      </c>
      <c r="O1727">
        <v>0.23169421228806933</v>
      </c>
      <c r="P1727">
        <v>0.26180448170187215</v>
      </c>
    </row>
    <row r="1728" spans="13:16">
      <c r="M1728">
        <v>0.27998621528224099</v>
      </c>
      <c r="N1728">
        <v>0.19900721770946384</v>
      </c>
      <c r="O1728">
        <v>0.26462046519643528</v>
      </c>
      <c r="P1728">
        <v>0.25638610181185995</v>
      </c>
    </row>
    <row r="1729" spans="13:16">
      <c r="M1729">
        <v>0.29972591875485399</v>
      </c>
      <c r="N1729">
        <v>0.18465606625154862</v>
      </c>
      <c r="O1729">
        <v>0.27985582399749559</v>
      </c>
      <c r="P1729">
        <v>0.23576219099610188</v>
      </c>
    </row>
    <row r="1730" spans="13:16">
      <c r="M1730">
        <v>0.2809598638419481</v>
      </c>
      <c r="N1730">
        <v>0.19714938022189213</v>
      </c>
      <c r="O1730">
        <v>0.24776439791319521</v>
      </c>
      <c r="P1730">
        <v>0.2741263580229647</v>
      </c>
    </row>
    <row r="1731" spans="13:16">
      <c r="M1731">
        <v>0.30189901184113099</v>
      </c>
      <c r="N1731">
        <v>0.17228904471642187</v>
      </c>
      <c r="O1731">
        <v>0.25471342050317991</v>
      </c>
      <c r="P1731">
        <v>0.27109852293926723</v>
      </c>
    </row>
    <row r="1732" spans="13:16">
      <c r="M1732">
        <v>0.30368154050605012</v>
      </c>
      <c r="N1732">
        <v>0.18371516494870177</v>
      </c>
      <c r="O1732">
        <v>0.24041843404739446</v>
      </c>
      <c r="P1732">
        <v>0.27218486049785373</v>
      </c>
    </row>
    <row r="1733" spans="13:16">
      <c r="M1733">
        <v>0.2891456394165931</v>
      </c>
      <c r="N1733">
        <v>0.17355706694521117</v>
      </c>
      <c r="O1733">
        <v>0.273980392099473</v>
      </c>
      <c r="P1733">
        <v>0.26331690153872273</v>
      </c>
    </row>
    <row r="1734" spans="13:16">
      <c r="M1734">
        <v>0.26688284884701935</v>
      </c>
      <c r="N1734">
        <v>0.20418931271328614</v>
      </c>
      <c r="O1734">
        <v>0.25367175820036664</v>
      </c>
      <c r="P1734">
        <v>0.27525608023932785</v>
      </c>
    </row>
    <row r="1735" spans="13:16">
      <c r="M1735">
        <v>0.28649272568820622</v>
      </c>
      <c r="N1735">
        <v>0.20467033854407804</v>
      </c>
      <c r="O1735">
        <v>0.25084896534997769</v>
      </c>
      <c r="P1735">
        <v>0.25798797041773808</v>
      </c>
    </row>
    <row r="1736" spans="13:16">
      <c r="M1736">
        <v>0.29774271191292045</v>
      </c>
      <c r="N1736">
        <v>0.18015539076343415</v>
      </c>
      <c r="O1736">
        <v>0.24537997341024911</v>
      </c>
      <c r="P1736">
        <v>0.27672192391339634</v>
      </c>
    </row>
    <row r="1737" spans="13:16">
      <c r="M1737">
        <v>0.31628731350761036</v>
      </c>
      <c r="N1737">
        <v>0.1759035800205061</v>
      </c>
      <c r="O1737">
        <v>0.23650318668769324</v>
      </c>
      <c r="P1737">
        <v>0.27130591978419022</v>
      </c>
    </row>
    <row r="1738" spans="13:16">
      <c r="M1738">
        <v>0.2809954514997825</v>
      </c>
      <c r="N1738">
        <v>0.19563417517244705</v>
      </c>
      <c r="O1738">
        <v>0.26209575398908802</v>
      </c>
      <c r="P1738">
        <v>0.26127461933868257</v>
      </c>
    </row>
    <row r="1739" spans="13:16">
      <c r="M1739">
        <v>0.28927022970605176</v>
      </c>
      <c r="N1739">
        <v>0.18235399650113984</v>
      </c>
      <c r="O1739">
        <v>0.25372753771639373</v>
      </c>
      <c r="P1739">
        <v>0.27464823607641453</v>
      </c>
    </row>
    <row r="1740" spans="13:16">
      <c r="M1740">
        <v>0.28512144299851283</v>
      </c>
      <c r="N1740">
        <v>0.18294486649784877</v>
      </c>
      <c r="O1740">
        <v>0.2681161293550145</v>
      </c>
      <c r="P1740">
        <v>0.26381756114862387</v>
      </c>
    </row>
    <row r="1741" spans="13:16">
      <c r="M1741">
        <v>0.26396921750711905</v>
      </c>
      <c r="N1741">
        <v>0.20775040252480595</v>
      </c>
      <c r="O1741">
        <v>0.26031415861578749</v>
      </c>
      <c r="P1741">
        <v>0.26796622135228754</v>
      </c>
    </row>
    <row r="1742" spans="13:16">
      <c r="M1742">
        <v>0.29292436872179323</v>
      </c>
      <c r="N1742">
        <v>0.17240906074110293</v>
      </c>
      <c r="O1742">
        <v>0.29377246072703489</v>
      </c>
      <c r="P1742">
        <v>0.24089410981006892</v>
      </c>
    </row>
    <row r="1743" spans="13:16">
      <c r="M1743">
        <v>0.2761022244483497</v>
      </c>
      <c r="N1743">
        <v>0.18343618444830176</v>
      </c>
      <c r="O1743">
        <v>0.27118473833460766</v>
      </c>
      <c r="P1743">
        <v>0.26927685276874103</v>
      </c>
    </row>
    <row r="1744" spans="13:16">
      <c r="M1744">
        <v>0.27913786391269252</v>
      </c>
      <c r="N1744">
        <v>0.19172946586086809</v>
      </c>
      <c r="O1744">
        <v>0.25157676465944867</v>
      </c>
      <c r="P1744">
        <v>0.27755590556699067</v>
      </c>
    </row>
    <row r="1745" spans="13:16">
      <c r="M1745">
        <v>0.29502970544521395</v>
      </c>
      <c r="N1745">
        <v>0.19693466277807709</v>
      </c>
      <c r="O1745">
        <v>0.22091353782130618</v>
      </c>
      <c r="P1745">
        <v>0.28712209395540278</v>
      </c>
    </row>
    <row r="1746" spans="13:16">
      <c r="M1746">
        <v>0.29504887513684075</v>
      </c>
      <c r="N1746">
        <v>0.16836526757826584</v>
      </c>
      <c r="O1746">
        <v>0.28739326376140956</v>
      </c>
      <c r="P1746">
        <v>0.24919259352348391</v>
      </c>
    </row>
    <row r="1747" spans="13:16">
      <c r="M1747">
        <v>0.26792340270616527</v>
      </c>
      <c r="N1747">
        <v>0.19317436958707451</v>
      </c>
      <c r="O1747">
        <v>0.27033657520069154</v>
      </c>
      <c r="P1747">
        <v>0.26856565250606862</v>
      </c>
    </row>
    <row r="1748" spans="13:16">
      <c r="M1748">
        <v>0.29616806118813149</v>
      </c>
      <c r="N1748">
        <v>0.19538533440053485</v>
      </c>
      <c r="O1748">
        <v>0.23428274605149532</v>
      </c>
      <c r="P1748">
        <v>0.27416385835983831</v>
      </c>
    </row>
    <row r="1749" spans="13:16">
      <c r="M1749">
        <v>0.27160943160353812</v>
      </c>
      <c r="N1749">
        <v>0.18973914866526279</v>
      </c>
      <c r="O1749">
        <v>0.27203616658575175</v>
      </c>
      <c r="P1749">
        <v>0.26661525314544721</v>
      </c>
    </row>
    <row r="1750" spans="13:16">
      <c r="M1750">
        <v>0.26289734862712238</v>
      </c>
      <c r="N1750">
        <v>0.19677029179674496</v>
      </c>
      <c r="O1750">
        <v>0.27080371842540385</v>
      </c>
      <c r="P1750">
        <v>0.26952864115072878</v>
      </c>
    </row>
    <row r="1751" spans="13:16">
      <c r="M1751">
        <v>0.28708984448569763</v>
      </c>
      <c r="N1751">
        <v>0.19232487896291967</v>
      </c>
      <c r="O1751">
        <v>0.25611799288833115</v>
      </c>
      <c r="P1751">
        <v>0.26446728366305161</v>
      </c>
    </row>
    <row r="1752" spans="13:16">
      <c r="M1752">
        <v>0.31931017020108643</v>
      </c>
      <c r="N1752">
        <v>0.16544505760444297</v>
      </c>
      <c r="O1752">
        <v>0.26348847158349326</v>
      </c>
      <c r="P1752">
        <v>0.25175630061097742</v>
      </c>
    </row>
    <row r="1753" spans="13:16">
      <c r="M1753">
        <v>0.29979982284809042</v>
      </c>
      <c r="N1753">
        <v>0.16810759207740464</v>
      </c>
      <c r="O1753">
        <v>0.27577085418831893</v>
      </c>
      <c r="P1753">
        <v>0.25632173088618598</v>
      </c>
    </row>
    <row r="1754" spans="13:16">
      <c r="M1754">
        <v>0.29580694892480319</v>
      </c>
      <c r="N1754">
        <v>0.17129581157792276</v>
      </c>
      <c r="O1754">
        <v>0.28374678944105103</v>
      </c>
      <c r="P1754">
        <v>0.24915045005622308</v>
      </c>
    </row>
    <row r="1755" spans="13:16">
      <c r="M1755">
        <v>0.29909694878534199</v>
      </c>
      <c r="N1755">
        <v>0.19388712941442388</v>
      </c>
      <c r="O1755">
        <v>0.24045214427996453</v>
      </c>
      <c r="P1755">
        <v>0.26656377752026961</v>
      </c>
    </row>
    <row r="1756" spans="13:16">
      <c r="M1756">
        <v>0.31740194212443873</v>
      </c>
      <c r="N1756">
        <v>0.19072139954665487</v>
      </c>
      <c r="O1756">
        <v>0.23433741242452419</v>
      </c>
      <c r="P1756">
        <v>0.25753924590438221</v>
      </c>
    </row>
    <row r="1757" spans="13:16">
      <c r="M1757">
        <v>0.27959894110916977</v>
      </c>
      <c r="N1757">
        <v>0.20630976288377217</v>
      </c>
      <c r="O1757">
        <v>0.23540221099175773</v>
      </c>
      <c r="P1757">
        <v>0.27868908501530021</v>
      </c>
    </row>
    <row r="1758" spans="13:16">
      <c r="M1758">
        <v>0.27520083070705714</v>
      </c>
      <c r="N1758">
        <v>0.18898664864319403</v>
      </c>
      <c r="O1758">
        <v>0.26723486371684096</v>
      </c>
      <c r="P1758">
        <v>0.26857765693290792</v>
      </c>
    </row>
    <row r="1759" spans="13:16">
      <c r="M1759">
        <v>0.29070273196443491</v>
      </c>
      <c r="N1759">
        <v>0.17952024982509293</v>
      </c>
      <c r="O1759">
        <v>0.24288869319525697</v>
      </c>
      <c r="P1759">
        <v>0.28688832501521527</v>
      </c>
    </row>
    <row r="1760" spans="13:16">
      <c r="M1760">
        <v>0.29055498433596799</v>
      </c>
      <c r="N1760">
        <v>0.20778370857845396</v>
      </c>
      <c r="O1760">
        <v>0.22873399606875247</v>
      </c>
      <c r="P1760">
        <v>0.27292731101682555</v>
      </c>
    </row>
    <row r="1761" spans="13:16">
      <c r="M1761">
        <v>0.27957773058867491</v>
      </c>
      <c r="N1761">
        <v>0.17206894727550182</v>
      </c>
      <c r="O1761">
        <v>0.28949102778312824</v>
      </c>
      <c r="P1761">
        <v>0.25886229435269498</v>
      </c>
    </row>
    <row r="1762" spans="13:16">
      <c r="M1762">
        <v>0.27863346902109787</v>
      </c>
      <c r="N1762">
        <v>0.1938815340240154</v>
      </c>
      <c r="O1762">
        <v>0.28089826435034099</v>
      </c>
      <c r="P1762">
        <v>0.24658673260454586</v>
      </c>
    </row>
    <row r="1763" spans="13:16">
      <c r="M1763">
        <v>0.28833315865789905</v>
      </c>
      <c r="N1763">
        <v>0.16914419354015453</v>
      </c>
      <c r="O1763">
        <v>0.28858017140079112</v>
      </c>
      <c r="P1763">
        <v>0.25394247640115525</v>
      </c>
    </row>
    <row r="1764" spans="13:16">
      <c r="M1764">
        <v>0.26684657885634594</v>
      </c>
      <c r="N1764">
        <v>0.19057977947269289</v>
      </c>
      <c r="O1764">
        <v>0.27199482824441329</v>
      </c>
      <c r="P1764">
        <v>0.27057881342654783</v>
      </c>
    </row>
    <row r="1765" spans="13:16">
      <c r="M1765">
        <v>0.28681802945707141</v>
      </c>
      <c r="N1765">
        <v>0.16971945601669733</v>
      </c>
      <c r="O1765">
        <v>0.2923703626373011</v>
      </c>
      <c r="P1765">
        <v>0.25109215188893008</v>
      </c>
    </row>
    <row r="1766" spans="13:16">
      <c r="M1766">
        <v>0.27356816481589719</v>
      </c>
      <c r="N1766">
        <v>0.19988547563216286</v>
      </c>
      <c r="O1766">
        <v>0.26106984986448117</v>
      </c>
      <c r="P1766">
        <v>0.26547650968745873</v>
      </c>
    </row>
    <row r="1767" spans="13:16">
      <c r="M1767">
        <v>0.2732321207783513</v>
      </c>
      <c r="N1767">
        <v>0.18954174384306707</v>
      </c>
      <c r="O1767">
        <v>0.27185705504936891</v>
      </c>
      <c r="P1767">
        <v>0.26536908032921264</v>
      </c>
    </row>
    <row r="1768" spans="13:16">
      <c r="M1768">
        <v>0.29795898190076064</v>
      </c>
      <c r="N1768">
        <v>0.17159524483342523</v>
      </c>
      <c r="O1768">
        <v>0.27055282094240551</v>
      </c>
      <c r="P1768">
        <v>0.25989295232340848</v>
      </c>
    </row>
    <row r="1769" spans="13:16">
      <c r="M1769">
        <v>0.30706111718529028</v>
      </c>
      <c r="N1769">
        <v>0.16751048400388704</v>
      </c>
      <c r="O1769">
        <v>0.28237338957316072</v>
      </c>
      <c r="P1769">
        <v>0.24305500923766207</v>
      </c>
    </row>
    <row r="1770" spans="13:16">
      <c r="M1770">
        <v>0.29362453348199757</v>
      </c>
      <c r="N1770">
        <v>0.19416505885985735</v>
      </c>
      <c r="O1770">
        <v>0.24875514293657058</v>
      </c>
      <c r="P1770">
        <v>0.26345526472157449</v>
      </c>
    </row>
    <row r="1771" spans="13:16">
      <c r="M1771">
        <v>0.27919962153574346</v>
      </c>
      <c r="N1771">
        <v>0.1803868474409584</v>
      </c>
      <c r="O1771">
        <v>0.28281892499189276</v>
      </c>
      <c r="P1771">
        <v>0.25759460603140538</v>
      </c>
    </row>
    <row r="1772" spans="13:16">
      <c r="M1772">
        <v>0.2689155377844617</v>
      </c>
      <c r="N1772">
        <v>0.1778621893470535</v>
      </c>
      <c r="O1772">
        <v>0.29045629027485581</v>
      </c>
      <c r="P1772">
        <v>0.26276598259362921</v>
      </c>
    </row>
    <row r="1773" spans="13:16">
      <c r="M1773">
        <v>0.27710111130446829</v>
      </c>
      <c r="N1773">
        <v>0.16710808467837615</v>
      </c>
      <c r="O1773">
        <v>0.30000372291816618</v>
      </c>
      <c r="P1773">
        <v>0.25578708109898945</v>
      </c>
    </row>
    <row r="1774" spans="13:16">
      <c r="M1774">
        <v>0.29626707497206467</v>
      </c>
      <c r="N1774">
        <v>0.1808819458839607</v>
      </c>
      <c r="O1774">
        <v>0.26450017698503053</v>
      </c>
      <c r="P1774">
        <v>0.25835080215894413</v>
      </c>
    </row>
    <row r="1775" spans="13:16">
      <c r="M1775">
        <v>0.30382343433352621</v>
      </c>
      <c r="N1775">
        <v>0.19949153552205687</v>
      </c>
      <c r="O1775">
        <v>0.21391990949214781</v>
      </c>
      <c r="P1775">
        <v>0.28276512065226911</v>
      </c>
    </row>
    <row r="1776" spans="13:16">
      <c r="M1776">
        <v>0.27844887376215904</v>
      </c>
      <c r="N1776">
        <v>0.19914494614268752</v>
      </c>
      <c r="O1776">
        <v>0.26026394431882727</v>
      </c>
      <c r="P1776">
        <v>0.26214223577632628</v>
      </c>
    </row>
    <row r="1777" spans="13:16">
      <c r="M1777">
        <v>0.28155015740490336</v>
      </c>
      <c r="N1777">
        <v>0.17470352763772243</v>
      </c>
      <c r="O1777">
        <v>0.29104243377429279</v>
      </c>
      <c r="P1777">
        <v>0.25270388118308157</v>
      </c>
    </row>
    <row r="1778" spans="13:16">
      <c r="M1778">
        <v>0.28830093757883862</v>
      </c>
      <c r="N1778">
        <v>0.17729300890447505</v>
      </c>
      <c r="O1778">
        <v>0.28126234897602154</v>
      </c>
      <c r="P1778">
        <v>0.25314370454066476</v>
      </c>
    </row>
    <row r="1779" spans="13:16">
      <c r="M1779">
        <v>0.30776407449670151</v>
      </c>
      <c r="N1779">
        <v>0.1921103151863969</v>
      </c>
      <c r="O1779">
        <v>0.22803107373061038</v>
      </c>
      <c r="P1779">
        <v>0.27209453658629124</v>
      </c>
    </row>
    <row r="1780" spans="13:16">
      <c r="M1780">
        <v>0.3142534018065849</v>
      </c>
      <c r="N1780">
        <v>0.18677409324492125</v>
      </c>
      <c r="O1780">
        <v>0.2541567126266609</v>
      </c>
      <c r="P1780">
        <v>0.24481579232183301</v>
      </c>
    </row>
    <row r="1781" spans="13:16">
      <c r="M1781">
        <v>0.2924539690047287</v>
      </c>
      <c r="N1781">
        <v>0.19243115529672972</v>
      </c>
      <c r="O1781">
        <v>0.24028836474318377</v>
      </c>
      <c r="P1781">
        <v>0.27482651095535782</v>
      </c>
    </row>
    <row r="1782" spans="13:16">
      <c r="M1782">
        <v>0.33179040020096712</v>
      </c>
      <c r="N1782">
        <v>0.16980805662917536</v>
      </c>
      <c r="O1782">
        <v>0.24255919192945344</v>
      </c>
      <c r="P1782">
        <v>0.255842351240404</v>
      </c>
    </row>
    <row r="1783" spans="13:16">
      <c r="M1783">
        <v>0.30382270751404855</v>
      </c>
      <c r="N1783">
        <v>0.16625516566079143</v>
      </c>
      <c r="O1783">
        <v>0.27700436970884951</v>
      </c>
      <c r="P1783">
        <v>0.25291775711631043</v>
      </c>
    </row>
    <row r="1784" spans="13:16">
      <c r="M1784">
        <v>0.31527921174399826</v>
      </c>
      <c r="N1784">
        <v>0.1814796474181315</v>
      </c>
      <c r="O1784">
        <v>0.24677344282959676</v>
      </c>
      <c r="P1784">
        <v>0.25646769800827357</v>
      </c>
    </row>
    <row r="1785" spans="13:16">
      <c r="M1785">
        <v>0.30795672490889947</v>
      </c>
      <c r="N1785">
        <v>0.18241998376678403</v>
      </c>
      <c r="O1785">
        <v>0.24952371026232875</v>
      </c>
      <c r="P1785">
        <v>0.26009958106198777</v>
      </c>
    </row>
    <row r="1786" spans="13:16">
      <c r="M1786">
        <v>0.28323710053624568</v>
      </c>
      <c r="N1786">
        <v>0.19706741173965303</v>
      </c>
      <c r="O1786">
        <v>0.24837970117517366</v>
      </c>
      <c r="P1786">
        <v>0.27131578654892757</v>
      </c>
    </row>
    <row r="1787" spans="13:16">
      <c r="M1787">
        <v>0.28399537522060908</v>
      </c>
      <c r="N1787">
        <v>0.18652353832248775</v>
      </c>
      <c r="O1787">
        <v>0.27123928830709232</v>
      </c>
      <c r="P1787">
        <v>0.2582417981498108</v>
      </c>
    </row>
    <row r="1788" spans="13:16">
      <c r="M1788">
        <v>0.28924028995323142</v>
      </c>
      <c r="N1788">
        <v>0.17466152695255341</v>
      </c>
      <c r="O1788">
        <v>0.28539003952683839</v>
      </c>
      <c r="P1788">
        <v>0.25070814356737675</v>
      </c>
    </row>
    <row r="1789" spans="13:16">
      <c r="M1789">
        <v>0.27388937999075347</v>
      </c>
      <c r="N1789">
        <v>0.1906073971733967</v>
      </c>
      <c r="O1789">
        <v>0.28135358828877971</v>
      </c>
      <c r="P1789">
        <v>0.25414963454707007</v>
      </c>
    </row>
    <row r="1790" spans="13:16">
      <c r="M1790">
        <v>0.30565592894407023</v>
      </c>
      <c r="N1790">
        <v>0.18409869637560697</v>
      </c>
      <c r="O1790">
        <v>0.22390395589229778</v>
      </c>
      <c r="P1790">
        <v>0.28634141878802505</v>
      </c>
    </row>
    <row r="1791" spans="13:16">
      <c r="M1791">
        <v>0.28786433806663325</v>
      </c>
      <c r="N1791">
        <v>0.18100253353812043</v>
      </c>
      <c r="O1791">
        <v>0.26297658042264516</v>
      </c>
      <c r="P1791">
        <v>0.26815654797260119</v>
      </c>
    </row>
    <row r="1792" spans="13:16">
      <c r="M1792">
        <v>0.28383889205137808</v>
      </c>
      <c r="N1792">
        <v>0.18647693390615835</v>
      </c>
      <c r="O1792">
        <v>0.27743087588906018</v>
      </c>
      <c r="P1792">
        <v>0.25225329815340347</v>
      </c>
    </row>
    <row r="1793" spans="13:16">
      <c r="M1793">
        <v>0.30936300300908004</v>
      </c>
      <c r="N1793">
        <v>0.1869428533932907</v>
      </c>
      <c r="O1793">
        <v>0.22908374013815605</v>
      </c>
      <c r="P1793">
        <v>0.27461040345947324</v>
      </c>
    </row>
    <row r="1794" spans="13:16">
      <c r="M1794">
        <v>0.28827982652704054</v>
      </c>
      <c r="N1794">
        <v>0.18709328044701909</v>
      </c>
      <c r="O1794">
        <v>0.24112019083502848</v>
      </c>
      <c r="P1794">
        <v>0.28350670219091184</v>
      </c>
    </row>
    <row r="1795" spans="13:16">
      <c r="M1795">
        <v>0.27374130604874775</v>
      </c>
      <c r="N1795">
        <v>0.19425912141767318</v>
      </c>
      <c r="O1795">
        <v>0.25236753969098868</v>
      </c>
      <c r="P1795">
        <v>0.27963203284259042</v>
      </c>
    </row>
    <row r="1796" spans="13:16">
      <c r="M1796">
        <v>0.29817934762171261</v>
      </c>
      <c r="N1796">
        <v>0.18588398255939906</v>
      </c>
      <c r="O1796">
        <v>0.25605262924809052</v>
      </c>
      <c r="P1796">
        <v>0.25988404057079773</v>
      </c>
    </row>
    <row r="1797" spans="13:16">
      <c r="M1797">
        <v>0.28721880652314397</v>
      </c>
      <c r="N1797">
        <v>0.1863766977207908</v>
      </c>
      <c r="O1797">
        <v>0.27540246841686888</v>
      </c>
      <c r="P1797">
        <v>0.2510020273391963</v>
      </c>
    </row>
    <row r="1798" spans="13:16">
      <c r="M1798">
        <v>0.28419301401714814</v>
      </c>
      <c r="N1798">
        <v>0.19382380504307281</v>
      </c>
      <c r="O1798">
        <v>0.26387194885541526</v>
      </c>
      <c r="P1798">
        <v>0.25811123208436387</v>
      </c>
    </row>
    <row r="1799" spans="13:16">
      <c r="M1799">
        <v>0.26562665365817778</v>
      </c>
      <c r="N1799">
        <v>0.20681392508680896</v>
      </c>
      <c r="O1799">
        <v>0.26006818648293017</v>
      </c>
      <c r="P1799">
        <v>0.26749123477208309</v>
      </c>
    </row>
    <row r="1800" spans="13:16">
      <c r="M1800">
        <v>0.27793754925870434</v>
      </c>
      <c r="N1800">
        <v>0.19118067470538302</v>
      </c>
      <c r="O1800">
        <v>0.2628374255572381</v>
      </c>
      <c r="P1800">
        <v>0.26804435047867453</v>
      </c>
    </row>
    <row r="1801" spans="13:16">
      <c r="M1801">
        <v>0.28884501020237979</v>
      </c>
      <c r="N1801">
        <v>0.19108028922803405</v>
      </c>
      <c r="O1801">
        <v>0.26459645914253538</v>
      </c>
      <c r="P1801">
        <v>0.25547824142705089</v>
      </c>
    </row>
    <row r="1802" spans="13:16">
      <c r="M1802">
        <v>0.28610603225824216</v>
      </c>
      <c r="N1802">
        <v>0.16234483650935463</v>
      </c>
      <c r="O1802">
        <v>0.31269809299298723</v>
      </c>
      <c r="P1802">
        <v>0.23885103823941603</v>
      </c>
    </row>
    <row r="1803" spans="13:16">
      <c r="M1803">
        <v>0.35705525132421106</v>
      </c>
      <c r="N1803">
        <v>0.183875872177515</v>
      </c>
      <c r="O1803">
        <v>0.20640152464170669</v>
      </c>
      <c r="P1803">
        <v>0.2526673518565673</v>
      </c>
    </row>
    <row r="1804" spans="13:16">
      <c r="M1804">
        <v>0.27675256300506029</v>
      </c>
      <c r="N1804">
        <v>0.193606432239777</v>
      </c>
      <c r="O1804">
        <v>0.27949396467424298</v>
      </c>
      <c r="P1804">
        <v>0.25014704008091976</v>
      </c>
    </row>
    <row r="1805" spans="13:16">
      <c r="M1805">
        <v>0.29866221509634971</v>
      </c>
      <c r="N1805">
        <v>0.1756829243160109</v>
      </c>
      <c r="O1805">
        <v>0.27283592463604456</v>
      </c>
      <c r="P1805">
        <v>0.25281893595159483</v>
      </c>
    </row>
    <row r="1806" spans="13:16">
      <c r="M1806">
        <v>0.28469986713487749</v>
      </c>
      <c r="N1806">
        <v>0.18374375404951307</v>
      </c>
      <c r="O1806">
        <v>0.27627084517617567</v>
      </c>
      <c r="P1806">
        <v>0.2552855336394339</v>
      </c>
    </row>
    <row r="1807" spans="13:16">
      <c r="M1807">
        <v>0.30955168038532405</v>
      </c>
      <c r="N1807">
        <v>0.18664372975675589</v>
      </c>
      <c r="O1807">
        <v>0.24948727058014994</v>
      </c>
      <c r="P1807">
        <v>0.25431731927777029</v>
      </c>
    </row>
    <row r="1808" spans="13:16">
      <c r="M1808">
        <v>0.29109489011483408</v>
      </c>
      <c r="N1808">
        <v>0.165824948136087</v>
      </c>
      <c r="O1808">
        <v>0.2925071709220502</v>
      </c>
      <c r="P1808">
        <v>0.25057299082702877</v>
      </c>
    </row>
    <row r="1809" spans="13:16">
      <c r="M1809">
        <v>0.27425496889187551</v>
      </c>
      <c r="N1809">
        <v>0.20742805176199289</v>
      </c>
      <c r="O1809">
        <v>0.249029760711412</v>
      </c>
      <c r="P1809">
        <v>0.26928721863471955</v>
      </c>
    </row>
    <row r="1810" spans="13:16">
      <c r="M1810">
        <v>0.31085054791083461</v>
      </c>
      <c r="N1810">
        <v>0.18438533569905904</v>
      </c>
      <c r="O1810">
        <v>0.25122027878597913</v>
      </c>
      <c r="P1810">
        <v>0.25354383760412713</v>
      </c>
    </row>
    <row r="1811" spans="13:16">
      <c r="M1811">
        <v>0.27390174869848755</v>
      </c>
      <c r="N1811">
        <v>0.2014331325788502</v>
      </c>
      <c r="O1811">
        <v>0.24849614896700165</v>
      </c>
      <c r="P1811">
        <v>0.27616896975566058</v>
      </c>
    </row>
    <row r="1812" spans="13:16">
      <c r="M1812">
        <v>0.27446405919570815</v>
      </c>
      <c r="N1812">
        <v>0.18745398705057867</v>
      </c>
      <c r="O1812">
        <v>0.27936978182827998</v>
      </c>
      <c r="P1812">
        <v>0.25871217192543333</v>
      </c>
    </row>
    <row r="1813" spans="13:16">
      <c r="M1813">
        <v>0.25942577084851465</v>
      </c>
      <c r="N1813">
        <v>0.20702201007594018</v>
      </c>
      <c r="O1813">
        <v>0.26294821465167245</v>
      </c>
      <c r="P1813">
        <v>0.27060400442387272</v>
      </c>
    </row>
    <row r="1814" spans="13:16">
      <c r="M1814">
        <v>0.2797524123310931</v>
      </c>
      <c r="N1814">
        <v>0.20256221701343421</v>
      </c>
      <c r="O1814">
        <v>0.26191079676728318</v>
      </c>
      <c r="P1814">
        <v>0.25577457388818947</v>
      </c>
    </row>
    <row r="1815" spans="13:16">
      <c r="M1815">
        <v>0.26756484287265836</v>
      </c>
      <c r="N1815">
        <v>0.19714344315931898</v>
      </c>
      <c r="O1815">
        <v>0.26836148895708373</v>
      </c>
      <c r="P1815">
        <v>0.26693022501093894</v>
      </c>
    </row>
    <row r="1816" spans="13:16">
      <c r="M1816">
        <v>0.30129288244299163</v>
      </c>
      <c r="N1816">
        <v>0.1752700451660924</v>
      </c>
      <c r="O1816">
        <v>0.25515827808406333</v>
      </c>
      <c r="P1816">
        <v>0.2682787943068527</v>
      </c>
    </row>
    <row r="1817" spans="13:16">
      <c r="M1817">
        <v>0.31246657887981294</v>
      </c>
      <c r="N1817">
        <v>0.17799085860213235</v>
      </c>
      <c r="O1817">
        <v>0.24496882133522391</v>
      </c>
      <c r="P1817">
        <v>0.26457374118283067</v>
      </c>
    </row>
    <row r="1818" spans="13:16">
      <c r="M1818">
        <v>0.28063112802316464</v>
      </c>
      <c r="N1818">
        <v>0.19399873340462831</v>
      </c>
      <c r="O1818">
        <v>0.26221908255479687</v>
      </c>
      <c r="P1818">
        <v>0.26315105601741029</v>
      </c>
    </row>
    <row r="1819" spans="13:16">
      <c r="M1819">
        <v>0.30114686285589304</v>
      </c>
      <c r="N1819">
        <v>0.17776735115485437</v>
      </c>
      <c r="O1819">
        <v>0.26715087211967198</v>
      </c>
      <c r="P1819">
        <v>0.25393491386958067</v>
      </c>
    </row>
    <row r="1820" spans="13:16">
      <c r="M1820">
        <v>0.27646269617085034</v>
      </c>
      <c r="N1820">
        <v>0.19877156017634229</v>
      </c>
      <c r="O1820">
        <v>0.25000487683761069</v>
      </c>
      <c r="P1820">
        <v>0.27476086681519662</v>
      </c>
    </row>
    <row r="1821" spans="13:16">
      <c r="M1821">
        <v>0.28183848739224027</v>
      </c>
      <c r="N1821">
        <v>0.17306443293999899</v>
      </c>
      <c r="O1821">
        <v>0.2853432897479799</v>
      </c>
      <c r="P1821">
        <v>0.25975378991978082</v>
      </c>
    </row>
    <row r="1822" spans="13:16">
      <c r="M1822">
        <v>0.27451466714311806</v>
      </c>
      <c r="N1822">
        <v>0.1988739408864276</v>
      </c>
      <c r="O1822">
        <v>0.25566629956596909</v>
      </c>
      <c r="P1822">
        <v>0.27094509240448533</v>
      </c>
    </row>
    <row r="1823" spans="13:16">
      <c r="M1823">
        <v>0.30089149682127181</v>
      </c>
      <c r="N1823">
        <v>0.19848273929910609</v>
      </c>
      <c r="O1823">
        <v>0.24214029671665049</v>
      </c>
      <c r="P1823">
        <v>0.2584854671629716</v>
      </c>
    </row>
    <row r="1824" spans="13:16">
      <c r="M1824">
        <v>0.29729022437311964</v>
      </c>
      <c r="N1824">
        <v>0.19683411557052582</v>
      </c>
      <c r="O1824">
        <v>0.25309625868138941</v>
      </c>
      <c r="P1824">
        <v>0.25277940137496502</v>
      </c>
    </row>
    <row r="1825" spans="13:16">
      <c r="M1825">
        <v>0.30469386146919486</v>
      </c>
      <c r="N1825">
        <v>0.1723219326699722</v>
      </c>
      <c r="O1825">
        <v>0.26030306770669881</v>
      </c>
      <c r="P1825">
        <v>0.26268113815413413</v>
      </c>
    </row>
    <row r="1826" spans="13:16">
      <c r="M1826">
        <v>0.31392863977034485</v>
      </c>
      <c r="N1826">
        <v>0.19406606143402216</v>
      </c>
      <c r="O1826">
        <v>0.23543716392216421</v>
      </c>
      <c r="P1826">
        <v>0.25656813487346863</v>
      </c>
    </row>
    <row r="1827" spans="13:16">
      <c r="M1827">
        <v>0.30476875848859031</v>
      </c>
      <c r="N1827">
        <v>0.18732113808278297</v>
      </c>
      <c r="O1827">
        <v>0.26035080702957142</v>
      </c>
      <c r="P1827">
        <v>0.24755929639905527</v>
      </c>
    </row>
    <row r="1828" spans="13:16">
      <c r="M1828">
        <v>0.27860022974367504</v>
      </c>
      <c r="N1828">
        <v>0.18485865660203674</v>
      </c>
      <c r="O1828">
        <v>0.27703498703993373</v>
      </c>
      <c r="P1828">
        <v>0.25950612661435446</v>
      </c>
    </row>
    <row r="1829" spans="13:16">
      <c r="M1829">
        <v>0.31200773040419244</v>
      </c>
      <c r="N1829">
        <v>0.18482635272266079</v>
      </c>
      <c r="O1829">
        <v>0.2483329098884596</v>
      </c>
      <c r="P1829">
        <v>0.25483300698468714</v>
      </c>
    </row>
    <row r="1830" spans="13:16">
      <c r="M1830">
        <v>0.30630989337509851</v>
      </c>
      <c r="N1830">
        <v>0.18981193426876133</v>
      </c>
      <c r="O1830">
        <v>0.24808914578977773</v>
      </c>
      <c r="P1830">
        <v>0.25578902656636227</v>
      </c>
    </row>
    <row r="1831" spans="13:16">
      <c r="M1831">
        <v>0.29947762852616294</v>
      </c>
      <c r="N1831">
        <v>0.18834573696067394</v>
      </c>
      <c r="O1831">
        <v>0.25212422827657011</v>
      </c>
      <c r="P1831">
        <v>0.26005240623659309</v>
      </c>
    </row>
    <row r="1832" spans="13:16">
      <c r="M1832">
        <v>0.30635732188570325</v>
      </c>
      <c r="N1832">
        <v>0.18846204671979458</v>
      </c>
      <c r="O1832">
        <v>0.23667320010127552</v>
      </c>
      <c r="P1832">
        <v>0.26850743129322663</v>
      </c>
    </row>
    <row r="1833" spans="13:16">
      <c r="M1833">
        <v>0.30068440817276326</v>
      </c>
      <c r="N1833">
        <v>0.18731736347239447</v>
      </c>
      <c r="O1833">
        <v>0.26086748250169944</v>
      </c>
      <c r="P1833">
        <v>0.25113074585314282</v>
      </c>
    </row>
    <row r="1834" spans="13:16">
      <c r="M1834">
        <v>0.31533860819292037</v>
      </c>
      <c r="N1834">
        <v>0.17714689911940568</v>
      </c>
      <c r="O1834">
        <v>0.25039071293289478</v>
      </c>
      <c r="P1834">
        <v>0.25712377975477918</v>
      </c>
    </row>
    <row r="1835" spans="13:16">
      <c r="M1835">
        <v>0.30170319302747611</v>
      </c>
      <c r="N1835">
        <v>0.19755345608819175</v>
      </c>
      <c r="O1835">
        <v>0.23724296785364457</v>
      </c>
      <c r="P1835">
        <v>0.26350038303068762</v>
      </c>
    </row>
    <row r="1836" spans="13:16">
      <c r="M1836">
        <v>0.3019571239468325</v>
      </c>
      <c r="N1836">
        <v>0.17455096569496137</v>
      </c>
      <c r="O1836">
        <v>0.26509696357366141</v>
      </c>
      <c r="P1836">
        <v>0.25839494678454455</v>
      </c>
    </row>
    <row r="1837" spans="13:16">
      <c r="M1837">
        <v>0.27578956933447701</v>
      </c>
      <c r="N1837">
        <v>0.1753572610474631</v>
      </c>
      <c r="O1837">
        <v>0.26698913363599197</v>
      </c>
      <c r="P1837">
        <v>0.28186403598206794</v>
      </c>
    </row>
    <row r="1838" spans="13:16">
      <c r="M1838">
        <v>0.29804608516964731</v>
      </c>
      <c r="N1838">
        <v>0.19550267105302188</v>
      </c>
      <c r="O1838">
        <v>0.22711485367138601</v>
      </c>
      <c r="P1838">
        <v>0.27933639010594491</v>
      </c>
    </row>
    <row r="1839" spans="13:16">
      <c r="M1839">
        <v>0.28823271757900942</v>
      </c>
      <c r="N1839">
        <v>0.18104773791681214</v>
      </c>
      <c r="O1839">
        <v>0.25822897973345277</v>
      </c>
      <c r="P1839">
        <v>0.27249056477072575</v>
      </c>
    </row>
    <row r="1840" spans="13:16">
      <c r="M1840">
        <v>0.28054941029487224</v>
      </c>
      <c r="N1840">
        <v>0.18941320088959543</v>
      </c>
      <c r="O1840">
        <v>0.2598941891631279</v>
      </c>
      <c r="P1840">
        <v>0.27014319965240446</v>
      </c>
    </row>
    <row r="1841" spans="13:16">
      <c r="M1841">
        <v>0.27550091224141821</v>
      </c>
      <c r="N1841">
        <v>0.19043643631508639</v>
      </c>
      <c r="O1841">
        <v>0.24715611475004567</v>
      </c>
      <c r="P1841">
        <v>0.28690653669344979</v>
      </c>
    </row>
    <row r="1842" spans="13:16">
      <c r="M1842">
        <v>0.29959384451379839</v>
      </c>
      <c r="N1842">
        <v>0.19603440172886655</v>
      </c>
      <c r="O1842">
        <v>0.25502864872593328</v>
      </c>
      <c r="P1842">
        <v>0.24934310503140178</v>
      </c>
    </row>
    <row r="1843" spans="13:16">
      <c r="M1843">
        <v>0.27183267567233693</v>
      </c>
      <c r="N1843">
        <v>0.17391151523727313</v>
      </c>
      <c r="O1843">
        <v>0.29181652975116329</v>
      </c>
      <c r="P1843">
        <v>0.26243927933922673</v>
      </c>
    </row>
    <row r="1844" spans="13:16">
      <c r="M1844">
        <v>0.27716425378478449</v>
      </c>
      <c r="N1844">
        <v>0.20178107253864713</v>
      </c>
      <c r="O1844">
        <v>0.24184444958839585</v>
      </c>
      <c r="P1844">
        <v>0.27921022408817259</v>
      </c>
    </row>
    <row r="1845" spans="13:16">
      <c r="M1845">
        <v>0.31385580117622808</v>
      </c>
      <c r="N1845">
        <v>0.17954548433969517</v>
      </c>
      <c r="O1845">
        <v>0.2321077335332771</v>
      </c>
      <c r="P1845">
        <v>0.27449098095079971</v>
      </c>
    </row>
    <row r="1846" spans="13:16">
      <c r="M1846">
        <v>0.32435423188019524</v>
      </c>
      <c r="N1846">
        <v>0.16844236153907213</v>
      </c>
      <c r="O1846">
        <v>0.25406342554877903</v>
      </c>
      <c r="P1846">
        <v>0.25313998103195373</v>
      </c>
    </row>
    <row r="1847" spans="13:16">
      <c r="M1847">
        <v>0.30362566686888287</v>
      </c>
      <c r="N1847">
        <v>0.19038811565346342</v>
      </c>
      <c r="O1847">
        <v>0.24968106053028424</v>
      </c>
      <c r="P1847">
        <v>0.25630515694736944</v>
      </c>
    </row>
    <row r="1848" spans="13:16">
      <c r="M1848">
        <v>0.295948435376508</v>
      </c>
      <c r="N1848">
        <v>0.18530725400357281</v>
      </c>
      <c r="O1848">
        <v>0.23915556712646685</v>
      </c>
      <c r="P1848">
        <v>0.27958874349345231</v>
      </c>
    </row>
    <row r="1849" spans="13:16">
      <c r="M1849">
        <v>0.29363441918982763</v>
      </c>
      <c r="N1849">
        <v>0.18496009040653499</v>
      </c>
      <c r="O1849">
        <v>0.25549618022755444</v>
      </c>
      <c r="P1849">
        <v>0.26590931017608294</v>
      </c>
    </row>
    <row r="1850" spans="13:16">
      <c r="M1850">
        <v>0.29274312354005205</v>
      </c>
      <c r="N1850">
        <v>0.17987127283319346</v>
      </c>
      <c r="O1850">
        <v>0.2824610193217284</v>
      </c>
      <c r="P1850">
        <v>0.24492458430502614</v>
      </c>
    </row>
    <row r="1851" spans="13:16">
      <c r="M1851">
        <v>0.27672866516449135</v>
      </c>
      <c r="N1851">
        <v>0.17972668274380671</v>
      </c>
      <c r="O1851">
        <v>0.27890084752530225</v>
      </c>
      <c r="P1851">
        <v>0.2646438045663998</v>
      </c>
    </row>
    <row r="1852" spans="13:16">
      <c r="M1852">
        <v>0.29896614099829483</v>
      </c>
      <c r="N1852">
        <v>0.19114936016845793</v>
      </c>
      <c r="O1852">
        <v>0.25480167177958257</v>
      </c>
      <c r="P1852">
        <v>0.25508282705366464</v>
      </c>
    </row>
    <row r="1853" spans="13:16">
      <c r="M1853">
        <v>0.30428685109439657</v>
      </c>
      <c r="N1853">
        <v>0.19639538773072115</v>
      </c>
      <c r="O1853">
        <v>0.23785831693143558</v>
      </c>
      <c r="P1853">
        <v>0.26145944424344664</v>
      </c>
    </row>
    <row r="1854" spans="13:16">
      <c r="M1854">
        <v>0.29493429599312143</v>
      </c>
      <c r="N1854">
        <v>0.18930615806143639</v>
      </c>
      <c r="O1854">
        <v>0.24252185537532245</v>
      </c>
      <c r="P1854">
        <v>0.27323769057011965</v>
      </c>
    </row>
    <row r="1855" spans="13:16">
      <c r="M1855">
        <v>0.29010520159419539</v>
      </c>
      <c r="N1855">
        <v>0.17193025333847095</v>
      </c>
      <c r="O1855">
        <v>0.2752489840960623</v>
      </c>
      <c r="P1855">
        <v>0.2627155609712713</v>
      </c>
    </row>
    <row r="1856" spans="13:16">
      <c r="M1856">
        <v>0.30202640202822084</v>
      </c>
      <c r="N1856">
        <v>0.1793067697456564</v>
      </c>
      <c r="O1856">
        <v>0.27464945996729212</v>
      </c>
      <c r="P1856">
        <v>0.24401736825883064</v>
      </c>
    </row>
    <row r="1857" spans="13:16">
      <c r="M1857">
        <v>0.28924347329204247</v>
      </c>
      <c r="N1857">
        <v>0.20051787377519523</v>
      </c>
      <c r="O1857">
        <v>0.22969536223681591</v>
      </c>
      <c r="P1857">
        <v>0.28054329069594647</v>
      </c>
    </row>
    <row r="1858" spans="13:16">
      <c r="M1858">
        <v>0.2945379365765895</v>
      </c>
      <c r="N1858">
        <v>0.18698522958203609</v>
      </c>
      <c r="O1858">
        <v>0.26797531873681546</v>
      </c>
      <c r="P1858">
        <v>0.25050151510455893</v>
      </c>
    </row>
    <row r="1859" spans="13:16">
      <c r="M1859">
        <v>0.29179360728822618</v>
      </c>
      <c r="N1859">
        <v>0.18260703001377815</v>
      </c>
      <c r="O1859">
        <v>0.27449059078548915</v>
      </c>
      <c r="P1859">
        <v>0.25110877191250658</v>
      </c>
    </row>
    <row r="1860" spans="13:16">
      <c r="M1860">
        <v>0.2794869430929805</v>
      </c>
      <c r="N1860">
        <v>0.20083253456259384</v>
      </c>
      <c r="O1860">
        <v>0.26184349238578147</v>
      </c>
      <c r="P1860">
        <v>0.25783702995864421</v>
      </c>
    </row>
    <row r="1861" spans="13:16">
      <c r="M1861">
        <v>0.27805163646913367</v>
      </c>
      <c r="N1861">
        <v>0.18387873492026532</v>
      </c>
      <c r="O1861">
        <v>0.27591212305714952</v>
      </c>
      <c r="P1861">
        <v>0.26215750555345158</v>
      </c>
    </row>
    <row r="1862" spans="13:16">
      <c r="M1862">
        <v>0.3177387413591648</v>
      </c>
      <c r="N1862">
        <v>0.17974400752609032</v>
      </c>
      <c r="O1862">
        <v>0.24744858872533726</v>
      </c>
      <c r="P1862">
        <v>0.25506866238940762</v>
      </c>
    </row>
    <row r="1863" spans="13:16">
      <c r="M1863">
        <v>0.29232081666420401</v>
      </c>
      <c r="N1863">
        <v>0.20576425206421195</v>
      </c>
      <c r="O1863">
        <v>0.23887728792075788</v>
      </c>
      <c r="P1863">
        <v>0.26303764335082619</v>
      </c>
    </row>
    <row r="1864" spans="13:16">
      <c r="M1864">
        <v>0.30976493859302473</v>
      </c>
      <c r="N1864">
        <v>0.1721864842230803</v>
      </c>
      <c r="O1864">
        <v>0.27162285273656517</v>
      </c>
      <c r="P1864">
        <v>0.24642572444732977</v>
      </c>
    </row>
    <row r="1865" spans="13:16">
      <c r="M1865">
        <v>0.30467666556477274</v>
      </c>
      <c r="N1865">
        <v>0.18430254240649427</v>
      </c>
      <c r="O1865">
        <v>0.25836094310186347</v>
      </c>
      <c r="P1865">
        <v>0.25265984892686949</v>
      </c>
    </row>
    <row r="1866" spans="13:16">
      <c r="M1866">
        <v>0.29039570932314362</v>
      </c>
      <c r="N1866">
        <v>0.18074751822338905</v>
      </c>
      <c r="O1866">
        <v>0.27350583749699081</v>
      </c>
      <c r="P1866">
        <v>0.25535093495647643</v>
      </c>
    </row>
    <row r="1867" spans="13:16">
      <c r="M1867">
        <v>0.29014161344454309</v>
      </c>
      <c r="N1867">
        <v>0.1830755599480226</v>
      </c>
      <c r="O1867">
        <v>0.25852514274191274</v>
      </c>
      <c r="P1867">
        <v>0.26825768386552168</v>
      </c>
    </row>
    <row r="1868" spans="13:16">
      <c r="M1868">
        <v>0.28272541739450863</v>
      </c>
      <c r="N1868">
        <v>0.18077100474670008</v>
      </c>
      <c r="O1868">
        <v>0.28100870087047114</v>
      </c>
      <c r="P1868">
        <v>0.25549487698832024</v>
      </c>
    </row>
    <row r="1869" spans="13:16">
      <c r="M1869">
        <v>0.30274562258043131</v>
      </c>
      <c r="N1869">
        <v>0.17424568966041737</v>
      </c>
      <c r="O1869">
        <v>0.26441107007274478</v>
      </c>
      <c r="P1869">
        <v>0.25859761768640649</v>
      </c>
    </row>
    <row r="1870" spans="13:16">
      <c r="M1870">
        <v>0.29363150056409026</v>
      </c>
      <c r="N1870">
        <v>0.19334081287497168</v>
      </c>
      <c r="O1870">
        <v>0.23974209180146458</v>
      </c>
      <c r="P1870">
        <v>0.2732855947594735</v>
      </c>
    </row>
    <row r="1871" spans="13:16">
      <c r="M1871">
        <v>0.30653920689216424</v>
      </c>
      <c r="N1871">
        <v>0.17299789383251182</v>
      </c>
      <c r="O1871">
        <v>0.2593467994392859</v>
      </c>
      <c r="P1871">
        <v>0.26111609983603812</v>
      </c>
    </row>
    <row r="1872" spans="13:16">
      <c r="M1872">
        <v>0.28851974385741164</v>
      </c>
      <c r="N1872">
        <v>0.21155622227095319</v>
      </c>
      <c r="O1872">
        <v>0.22924314397926354</v>
      </c>
      <c r="P1872">
        <v>0.27068088989237171</v>
      </c>
    </row>
    <row r="1873" spans="13:16">
      <c r="M1873">
        <v>0.29695157591433546</v>
      </c>
      <c r="N1873">
        <v>0.20470595493197768</v>
      </c>
      <c r="O1873">
        <v>0.21350937125647934</v>
      </c>
      <c r="P1873">
        <v>0.28483309789720745</v>
      </c>
    </row>
    <row r="1874" spans="13:16">
      <c r="M1874">
        <v>0.29879718380289366</v>
      </c>
      <c r="N1874">
        <v>0.18345324809087327</v>
      </c>
      <c r="O1874">
        <v>0.27942285638951248</v>
      </c>
      <c r="P1874">
        <v>0.2383267117167206</v>
      </c>
    </row>
    <row r="1875" spans="13:16">
      <c r="M1875">
        <v>0.29050118854968476</v>
      </c>
      <c r="N1875">
        <v>0.17820726012730703</v>
      </c>
      <c r="O1875">
        <v>0.26481326435463093</v>
      </c>
      <c r="P1875">
        <v>0.26647828696837716</v>
      </c>
    </row>
    <row r="1876" spans="13:16">
      <c r="M1876">
        <v>0.29145155607114276</v>
      </c>
      <c r="N1876">
        <v>0.18540760487622954</v>
      </c>
      <c r="O1876">
        <v>0.26568741710206661</v>
      </c>
      <c r="P1876">
        <v>0.2574534219505612</v>
      </c>
    </row>
    <row r="1877" spans="13:16">
      <c r="M1877">
        <v>0.25089549023180957</v>
      </c>
      <c r="N1877">
        <v>0.20568824597863936</v>
      </c>
      <c r="O1877">
        <v>0.27879521941212393</v>
      </c>
      <c r="P1877">
        <v>0.26462104437742712</v>
      </c>
    </row>
    <row r="1878" spans="13:16">
      <c r="M1878">
        <v>0.30322086140941173</v>
      </c>
      <c r="N1878">
        <v>0.17302325615648362</v>
      </c>
      <c r="O1878">
        <v>0.26003683060757798</v>
      </c>
      <c r="P1878">
        <v>0.26371905182652666</v>
      </c>
    </row>
    <row r="1879" spans="13:16">
      <c r="M1879">
        <v>0.26982823314568516</v>
      </c>
      <c r="N1879">
        <v>0.18317958183523111</v>
      </c>
      <c r="O1879">
        <v>0.28827184850987103</v>
      </c>
      <c r="P1879">
        <v>0.25872033650921267</v>
      </c>
    </row>
    <row r="1880" spans="13:16">
      <c r="M1880">
        <v>0.26268292225623541</v>
      </c>
      <c r="N1880">
        <v>0.19557791655256354</v>
      </c>
      <c r="O1880">
        <v>0.2727270106736665</v>
      </c>
      <c r="P1880">
        <v>0.26901215051753474</v>
      </c>
    </row>
    <row r="1881" spans="13:16">
      <c r="M1881">
        <v>0.27442460870413826</v>
      </c>
      <c r="N1881">
        <v>0.20075437074026398</v>
      </c>
      <c r="O1881">
        <v>0.24900648480132972</v>
      </c>
      <c r="P1881">
        <v>0.27581453575426801</v>
      </c>
    </row>
    <row r="1882" spans="13:16">
      <c r="M1882">
        <v>0.27695249393725324</v>
      </c>
      <c r="N1882">
        <v>0.18829203393247948</v>
      </c>
      <c r="O1882">
        <v>0.28440639417021746</v>
      </c>
      <c r="P1882">
        <v>0.25034907796004974</v>
      </c>
    </row>
    <row r="1883" spans="13:16">
      <c r="M1883">
        <v>0.29049756233748686</v>
      </c>
      <c r="N1883">
        <v>0.17806467725403657</v>
      </c>
      <c r="O1883">
        <v>0.27981588707104033</v>
      </c>
      <c r="P1883">
        <v>0.25162187333743613</v>
      </c>
    </row>
    <row r="1884" spans="13:16">
      <c r="M1884">
        <v>0.32480500692790737</v>
      </c>
      <c r="N1884">
        <v>0.17634103729537487</v>
      </c>
      <c r="O1884">
        <v>0.23508759523197301</v>
      </c>
      <c r="P1884">
        <v>0.26376636054474462</v>
      </c>
    </row>
    <row r="1885" spans="13:16">
      <c r="M1885">
        <v>0.28792811846528948</v>
      </c>
      <c r="N1885">
        <v>0.18906956276754724</v>
      </c>
      <c r="O1885">
        <v>0.25446384896825353</v>
      </c>
      <c r="P1885">
        <v>0.26853846979890961</v>
      </c>
    </row>
    <row r="1886" spans="13:16">
      <c r="M1886">
        <v>0.28183003800084538</v>
      </c>
      <c r="N1886">
        <v>0.20613269005814513</v>
      </c>
      <c r="O1886">
        <v>0.24701909984781076</v>
      </c>
      <c r="P1886">
        <v>0.26501817209319872</v>
      </c>
    </row>
    <row r="1887" spans="13:16">
      <c r="M1887">
        <v>0.26234504329196706</v>
      </c>
      <c r="N1887">
        <v>0.20728317031070051</v>
      </c>
      <c r="O1887">
        <v>0.25768808844743213</v>
      </c>
      <c r="P1887">
        <v>0.27268369794990033</v>
      </c>
    </row>
    <row r="1888" spans="13:16">
      <c r="M1888">
        <v>0.28878874290042994</v>
      </c>
      <c r="N1888">
        <v>0.20790257876555096</v>
      </c>
      <c r="O1888">
        <v>0.23530488582573339</v>
      </c>
      <c r="P1888">
        <v>0.26800379250828582</v>
      </c>
    </row>
    <row r="1889" spans="13:16">
      <c r="M1889">
        <v>0.28779039729275019</v>
      </c>
      <c r="N1889">
        <v>0.19193969474870273</v>
      </c>
      <c r="O1889">
        <v>0.24457003951066228</v>
      </c>
      <c r="P1889">
        <v>0.27569986844788485</v>
      </c>
    </row>
    <row r="1890" spans="13:16">
      <c r="M1890">
        <v>0.27739762101970783</v>
      </c>
      <c r="N1890">
        <v>0.18894494985422292</v>
      </c>
      <c r="O1890">
        <v>0.27131593116145614</v>
      </c>
      <c r="P1890">
        <v>0.26234149796461304</v>
      </c>
    </row>
    <row r="1891" spans="13:16">
      <c r="M1891">
        <v>0.28414795585266089</v>
      </c>
      <c r="N1891">
        <v>0.18785238312019412</v>
      </c>
      <c r="O1891">
        <v>0.24281016963545451</v>
      </c>
      <c r="P1891">
        <v>0.28518949139169053</v>
      </c>
    </row>
    <row r="1892" spans="13:16">
      <c r="M1892">
        <v>0.2903310096446835</v>
      </c>
      <c r="N1892">
        <v>0.18346702116497401</v>
      </c>
      <c r="O1892">
        <v>0.28332906942800651</v>
      </c>
      <c r="P1892">
        <v>0.24287289976233609</v>
      </c>
    </row>
    <row r="1893" spans="13:16">
      <c r="M1893">
        <v>0.31447820728244957</v>
      </c>
      <c r="N1893">
        <v>0.17228419725112892</v>
      </c>
      <c r="O1893">
        <v>0.26659447161268512</v>
      </c>
      <c r="P1893">
        <v>0.24664312385373632</v>
      </c>
    </row>
    <row r="1894" spans="13:16">
      <c r="M1894">
        <v>0.30009168871007452</v>
      </c>
      <c r="N1894">
        <v>0.16866966658558077</v>
      </c>
      <c r="O1894">
        <v>0.27356132936831157</v>
      </c>
      <c r="P1894">
        <v>0.25767731533603322</v>
      </c>
    </row>
    <row r="1895" spans="13:16">
      <c r="M1895">
        <v>0.28207135449738718</v>
      </c>
      <c r="N1895">
        <v>0.17404380767497596</v>
      </c>
      <c r="O1895">
        <v>0.27310902131918685</v>
      </c>
      <c r="P1895">
        <v>0.27077581650845001</v>
      </c>
    </row>
    <row r="1896" spans="13:16">
      <c r="M1896">
        <v>0.29020835481501589</v>
      </c>
      <c r="N1896">
        <v>0.17557642068784557</v>
      </c>
      <c r="O1896">
        <v>0.27526290283443083</v>
      </c>
      <c r="P1896">
        <v>0.25895232166270782</v>
      </c>
    </row>
    <row r="1897" spans="13:16">
      <c r="M1897">
        <v>0.27507951749761583</v>
      </c>
      <c r="N1897">
        <v>0.18348030222084591</v>
      </c>
      <c r="O1897">
        <v>0.28249886723858958</v>
      </c>
      <c r="P1897">
        <v>0.25894131304294871</v>
      </c>
    </row>
    <row r="1898" spans="13:16">
      <c r="M1898">
        <v>0.27691821067983408</v>
      </c>
      <c r="N1898">
        <v>0.19686397939521111</v>
      </c>
      <c r="O1898">
        <v>0.25212612457987521</v>
      </c>
      <c r="P1898">
        <v>0.27409168534507961</v>
      </c>
    </row>
    <row r="1899" spans="13:16">
      <c r="M1899">
        <v>0.31567750041768555</v>
      </c>
      <c r="N1899">
        <v>0.1671893147276608</v>
      </c>
      <c r="O1899">
        <v>0.26063792091142268</v>
      </c>
      <c r="P1899">
        <v>0.25649526394323113</v>
      </c>
    </row>
    <row r="1900" spans="13:16">
      <c r="M1900">
        <v>0.32609569816582462</v>
      </c>
      <c r="N1900">
        <v>0.18095139291191581</v>
      </c>
      <c r="O1900">
        <v>0.23879920078994885</v>
      </c>
      <c r="P1900">
        <v>0.25415370813231064</v>
      </c>
    </row>
    <row r="1901" spans="13:16">
      <c r="M1901">
        <v>0.28494153437285485</v>
      </c>
      <c r="N1901">
        <v>0.19345448967936807</v>
      </c>
      <c r="O1901">
        <v>0.25035817877712702</v>
      </c>
      <c r="P1901">
        <v>0.27124579717065</v>
      </c>
    </row>
    <row r="1902" spans="13:16">
      <c r="M1902">
        <v>0.30048241076563698</v>
      </c>
      <c r="N1902">
        <v>0.1859499563256328</v>
      </c>
      <c r="O1902">
        <v>0.2453513439266812</v>
      </c>
      <c r="P1902">
        <v>0.26821628898204908</v>
      </c>
    </row>
    <row r="1903" spans="13:16">
      <c r="M1903">
        <v>0.31277168119969395</v>
      </c>
      <c r="N1903">
        <v>0.17383954948702215</v>
      </c>
      <c r="O1903">
        <v>0.2363577774440736</v>
      </c>
      <c r="P1903">
        <v>0.27703099186921026</v>
      </c>
    </row>
    <row r="1904" spans="13:16">
      <c r="M1904">
        <v>0.296340771628265</v>
      </c>
      <c r="N1904">
        <v>0.1595490066708117</v>
      </c>
      <c r="O1904">
        <v>0.30528560676114486</v>
      </c>
      <c r="P1904">
        <v>0.2388246149397785</v>
      </c>
    </row>
    <row r="1905" spans="13:16">
      <c r="M1905">
        <v>0.2798133072072046</v>
      </c>
      <c r="N1905">
        <v>0.19244182959417849</v>
      </c>
      <c r="O1905">
        <v>0.251268348794568</v>
      </c>
      <c r="P1905">
        <v>0.27647651440404897</v>
      </c>
    </row>
    <row r="1906" spans="13:16">
      <c r="M1906">
        <v>0.30972009396544142</v>
      </c>
      <c r="N1906">
        <v>0.17745680983586537</v>
      </c>
      <c r="O1906">
        <v>0.25365807693393466</v>
      </c>
      <c r="P1906">
        <v>0.25916501926475849</v>
      </c>
    </row>
    <row r="1907" spans="13:16">
      <c r="M1907">
        <v>0.30324345923128548</v>
      </c>
      <c r="N1907">
        <v>0.20796482868392974</v>
      </c>
      <c r="O1907">
        <v>0.20850587977850824</v>
      </c>
      <c r="P1907">
        <v>0.28028583230627657</v>
      </c>
    </row>
    <row r="1908" spans="13:16">
      <c r="M1908">
        <v>0.28752888025905393</v>
      </c>
      <c r="N1908">
        <v>0.18969443741649269</v>
      </c>
      <c r="O1908">
        <v>0.24619330058268324</v>
      </c>
      <c r="P1908">
        <v>0.27658338174177016</v>
      </c>
    </row>
    <row r="1909" spans="13:16">
      <c r="M1909">
        <v>0.28831260848312862</v>
      </c>
      <c r="N1909">
        <v>0.1787817694433772</v>
      </c>
      <c r="O1909">
        <v>0.26793704317691797</v>
      </c>
      <c r="P1909">
        <v>0.26496857889657621</v>
      </c>
    </row>
    <row r="1910" spans="13:16">
      <c r="M1910">
        <v>0.26920116588068976</v>
      </c>
      <c r="N1910">
        <v>0.19742172105172967</v>
      </c>
      <c r="O1910">
        <v>0.28220052186322453</v>
      </c>
      <c r="P1910">
        <v>0.25117659120435609</v>
      </c>
    </row>
    <row r="1911" spans="13:16">
      <c r="M1911">
        <v>0.30547040253139085</v>
      </c>
      <c r="N1911">
        <v>0.20025305293963241</v>
      </c>
      <c r="O1911">
        <v>0.22379026780880443</v>
      </c>
      <c r="P1911">
        <v>0.27048627672017223</v>
      </c>
    </row>
    <row r="1912" spans="13:16">
      <c r="M1912">
        <v>0.2925647706577329</v>
      </c>
      <c r="N1912">
        <v>0.18986221276897636</v>
      </c>
      <c r="O1912">
        <v>0.25541187366783219</v>
      </c>
      <c r="P1912">
        <v>0.26216114290545861</v>
      </c>
    </row>
    <row r="1913" spans="13:16">
      <c r="M1913">
        <v>0.2916519027061385</v>
      </c>
      <c r="N1913">
        <v>0.19928206334545523</v>
      </c>
      <c r="O1913">
        <v>0.23339157250926307</v>
      </c>
      <c r="P1913">
        <v>0.27567446143914309</v>
      </c>
    </row>
    <row r="1914" spans="13:16">
      <c r="M1914">
        <v>0.27866499045491799</v>
      </c>
      <c r="N1914">
        <v>0.16959464406842747</v>
      </c>
      <c r="O1914">
        <v>0.29224219155764358</v>
      </c>
      <c r="P1914">
        <v>0.25949817391901098</v>
      </c>
    </row>
    <row r="1915" spans="13:16">
      <c r="M1915">
        <v>0.29359041492866494</v>
      </c>
      <c r="N1915">
        <v>0.16932040743664475</v>
      </c>
      <c r="O1915">
        <v>0.28790415697643329</v>
      </c>
      <c r="P1915">
        <v>0.24918502065825696</v>
      </c>
    </row>
    <row r="1916" spans="13:16">
      <c r="M1916">
        <v>0.32652239061297678</v>
      </c>
      <c r="N1916">
        <v>0.17775321433461647</v>
      </c>
      <c r="O1916">
        <v>0.22931032289043343</v>
      </c>
      <c r="P1916">
        <v>0.26641407216197338</v>
      </c>
    </row>
    <row r="1917" spans="13:16">
      <c r="M1917">
        <v>0.31605011418610601</v>
      </c>
      <c r="N1917">
        <v>0.1830734673666552</v>
      </c>
      <c r="O1917">
        <v>0.24173874660512429</v>
      </c>
      <c r="P1917">
        <v>0.2591376718421145</v>
      </c>
    </row>
    <row r="1918" spans="13:16">
      <c r="M1918">
        <v>0.28787657172458325</v>
      </c>
      <c r="N1918">
        <v>0.18174521487983653</v>
      </c>
      <c r="O1918">
        <v>0.26928235652036431</v>
      </c>
      <c r="P1918">
        <v>0.26109585687521597</v>
      </c>
    </row>
    <row r="1919" spans="13:16">
      <c r="M1919">
        <v>0.27359197417384751</v>
      </c>
      <c r="N1919">
        <v>0.1716407922078326</v>
      </c>
      <c r="O1919">
        <v>0.29239542346842423</v>
      </c>
      <c r="P1919">
        <v>0.26237181014989575</v>
      </c>
    </row>
    <row r="1920" spans="13:16">
      <c r="M1920">
        <v>0.27632990217961573</v>
      </c>
      <c r="N1920">
        <v>0.17085772597116541</v>
      </c>
      <c r="O1920">
        <v>0.29586845505649495</v>
      </c>
      <c r="P1920">
        <v>0.25694391679272394</v>
      </c>
    </row>
    <row r="1921" spans="13:16">
      <c r="M1921">
        <v>0.31788701514495799</v>
      </c>
      <c r="N1921">
        <v>0.18846330747475748</v>
      </c>
      <c r="O1921">
        <v>0.23468350860546389</v>
      </c>
      <c r="P1921">
        <v>0.25896616877482076</v>
      </c>
    </row>
    <row r="1922" spans="13:16">
      <c r="M1922">
        <v>0.30910231386325271</v>
      </c>
      <c r="N1922">
        <v>0.19121580793737125</v>
      </c>
      <c r="O1922">
        <v>0.23381599602282802</v>
      </c>
      <c r="P1922">
        <v>0.26586588217654805</v>
      </c>
    </row>
    <row r="1923" spans="13:16">
      <c r="M1923">
        <v>0.29095121229514248</v>
      </c>
      <c r="N1923">
        <v>0.19081730628901789</v>
      </c>
      <c r="O1923">
        <v>0.25077032928049958</v>
      </c>
      <c r="P1923">
        <v>0.26746115213534016</v>
      </c>
    </row>
    <row r="1924" spans="13:16">
      <c r="M1924">
        <v>0.27420205433205208</v>
      </c>
      <c r="N1924">
        <v>0.20432803882152861</v>
      </c>
      <c r="O1924">
        <v>0.24056782992458539</v>
      </c>
      <c r="P1924">
        <v>0.28090207692183389</v>
      </c>
    </row>
    <row r="1925" spans="13:16">
      <c r="M1925">
        <v>0.29452960582056426</v>
      </c>
      <c r="N1925">
        <v>0.18665908847571958</v>
      </c>
      <c r="O1925">
        <v>0.25603402577027851</v>
      </c>
      <c r="P1925">
        <v>0.26277727993343775</v>
      </c>
    </row>
    <row r="1926" spans="13:16">
      <c r="M1926">
        <v>0.30076721823444563</v>
      </c>
      <c r="N1926">
        <v>0.168205938089864</v>
      </c>
      <c r="O1926">
        <v>0.28370900709145302</v>
      </c>
      <c r="P1926">
        <v>0.24731783658423731</v>
      </c>
    </row>
    <row r="1927" spans="13:16">
      <c r="M1927">
        <v>0.31299196801533741</v>
      </c>
      <c r="N1927">
        <v>0.17855922778350589</v>
      </c>
      <c r="O1927">
        <v>0.25326032740484977</v>
      </c>
      <c r="P1927">
        <v>0.25518847679630702</v>
      </c>
    </row>
    <row r="1928" spans="13:16">
      <c r="M1928">
        <v>0.28488362368755332</v>
      </c>
      <c r="N1928">
        <v>0.19608218323150994</v>
      </c>
      <c r="O1928">
        <v>0.25281635301906841</v>
      </c>
      <c r="P1928">
        <v>0.26621784006186833</v>
      </c>
    </row>
    <row r="1929" spans="13:16">
      <c r="M1929">
        <v>0.28823281887412466</v>
      </c>
      <c r="N1929">
        <v>0.19053288950656547</v>
      </c>
      <c r="O1929">
        <v>0.25483335104965332</v>
      </c>
      <c r="P1929">
        <v>0.26640094056965646</v>
      </c>
    </row>
    <row r="1930" spans="13:16">
      <c r="M1930">
        <v>0.27126509856254971</v>
      </c>
      <c r="N1930">
        <v>0.20199392995912915</v>
      </c>
      <c r="O1930">
        <v>0.24747324321387781</v>
      </c>
      <c r="P1930">
        <v>0.27926772826444324</v>
      </c>
    </row>
    <row r="1931" spans="13:16">
      <c r="M1931">
        <v>0.27591384659655471</v>
      </c>
      <c r="N1931">
        <v>0.18750497753882395</v>
      </c>
      <c r="O1931">
        <v>0.27014900266176478</v>
      </c>
      <c r="P1931">
        <v>0.2664321732028565</v>
      </c>
    </row>
    <row r="1932" spans="13:16">
      <c r="M1932">
        <v>0.29523554169205551</v>
      </c>
      <c r="N1932">
        <v>0.19966600750396948</v>
      </c>
      <c r="O1932">
        <v>0.24035842080815564</v>
      </c>
      <c r="P1932">
        <v>0.2647400299958193</v>
      </c>
    </row>
    <row r="1933" spans="13:16">
      <c r="M1933">
        <v>0.30447900282621954</v>
      </c>
      <c r="N1933">
        <v>0.17358958212906142</v>
      </c>
      <c r="O1933">
        <v>0.2798636824281428</v>
      </c>
      <c r="P1933">
        <v>0.24206773261657621</v>
      </c>
    </row>
    <row r="1934" spans="13:16">
      <c r="M1934">
        <v>0.29547151188961696</v>
      </c>
      <c r="N1934">
        <v>0.18814044717906817</v>
      </c>
      <c r="O1934">
        <v>0.25819626871483342</v>
      </c>
      <c r="P1934">
        <v>0.25819177221648132</v>
      </c>
    </row>
    <row r="1935" spans="13:16">
      <c r="M1935">
        <v>0.27848075515483944</v>
      </c>
      <c r="N1935">
        <v>0.19075257371236393</v>
      </c>
      <c r="O1935">
        <v>0.26331864875362165</v>
      </c>
      <c r="P1935">
        <v>0.26744802237917503</v>
      </c>
    </row>
    <row r="1936" spans="13:16">
      <c r="M1936">
        <v>0.28544709693143772</v>
      </c>
      <c r="N1936">
        <v>0.19031447733633497</v>
      </c>
      <c r="O1936">
        <v>0.25697881887130902</v>
      </c>
      <c r="P1936">
        <v>0.26725960686091832</v>
      </c>
    </row>
    <row r="1937" spans="13:16">
      <c r="M1937">
        <v>0.32053319987416201</v>
      </c>
      <c r="N1937">
        <v>0.18229426412240021</v>
      </c>
      <c r="O1937">
        <v>0.24698912759916392</v>
      </c>
      <c r="P1937">
        <v>0.25018340840427389</v>
      </c>
    </row>
    <row r="1938" spans="13:16">
      <c r="M1938">
        <v>0.29853623173371957</v>
      </c>
      <c r="N1938">
        <v>0.17189285006777674</v>
      </c>
      <c r="O1938">
        <v>0.26587959339975364</v>
      </c>
      <c r="P1938">
        <v>0.26369132479874996</v>
      </c>
    </row>
    <row r="1939" spans="13:16">
      <c r="M1939">
        <v>0.28170288524936293</v>
      </c>
      <c r="N1939">
        <v>0.19274653449617082</v>
      </c>
      <c r="O1939">
        <v>0.25658564600787354</v>
      </c>
      <c r="P1939">
        <v>0.26896493424659274</v>
      </c>
    </row>
    <row r="1940" spans="13:16">
      <c r="M1940">
        <v>0.27535163011535807</v>
      </c>
      <c r="N1940">
        <v>0.18707854700367918</v>
      </c>
      <c r="O1940">
        <v>0.28362805483991965</v>
      </c>
      <c r="P1940">
        <v>0.25394176804104313</v>
      </c>
    </row>
    <row r="1941" spans="13:16">
      <c r="M1941">
        <v>0.26584617594794829</v>
      </c>
      <c r="N1941">
        <v>0.19282469763077117</v>
      </c>
      <c r="O1941">
        <v>0.27269958373771369</v>
      </c>
      <c r="P1941">
        <v>0.26862954268356681</v>
      </c>
    </row>
    <row r="1942" spans="13:16">
      <c r="M1942">
        <v>0.31868534020229</v>
      </c>
      <c r="N1942">
        <v>0.17540154711718023</v>
      </c>
      <c r="O1942">
        <v>0.2455373769083829</v>
      </c>
      <c r="P1942">
        <v>0.26037573577214679</v>
      </c>
    </row>
    <row r="1943" spans="13:16">
      <c r="M1943">
        <v>0.27280603241185286</v>
      </c>
      <c r="N1943">
        <v>0.19250246355001571</v>
      </c>
      <c r="O1943">
        <v>0.26635571358576282</v>
      </c>
      <c r="P1943">
        <v>0.26833579045236866</v>
      </c>
    </row>
    <row r="1944" spans="13:16">
      <c r="M1944">
        <v>0.31403871683035228</v>
      </c>
      <c r="N1944">
        <v>0.16399780168926037</v>
      </c>
      <c r="O1944">
        <v>0.28287631811105607</v>
      </c>
      <c r="P1944">
        <v>0.23908716336933125</v>
      </c>
    </row>
    <row r="1945" spans="13:16">
      <c r="M1945">
        <v>0.29436817247201291</v>
      </c>
      <c r="N1945">
        <v>0.19611672816126408</v>
      </c>
      <c r="O1945">
        <v>0.25888630356622128</v>
      </c>
      <c r="P1945">
        <v>0.25062879580050174</v>
      </c>
    </row>
    <row r="1946" spans="13:16">
      <c r="M1946">
        <v>0.28677195543455303</v>
      </c>
      <c r="N1946">
        <v>0.18154576392646382</v>
      </c>
      <c r="O1946">
        <v>0.27122379003388247</v>
      </c>
      <c r="P1946">
        <v>0.26045849060510051</v>
      </c>
    </row>
    <row r="1947" spans="13:16">
      <c r="M1947">
        <v>0.28856849141432755</v>
      </c>
      <c r="N1947">
        <v>0.18279428841174708</v>
      </c>
      <c r="O1947">
        <v>0.26030332145847951</v>
      </c>
      <c r="P1947">
        <v>0.26833389871544583</v>
      </c>
    </row>
    <row r="1948" spans="13:16">
      <c r="M1948">
        <v>0.30195534450054462</v>
      </c>
      <c r="N1948">
        <v>0.16727667137504248</v>
      </c>
      <c r="O1948">
        <v>0.28224146814593548</v>
      </c>
      <c r="P1948">
        <v>0.24852651597847733</v>
      </c>
    </row>
    <row r="1949" spans="13:16">
      <c r="M1949">
        <v>0.28088526867779012</v>
      </c>
      <c r="N1949">
        <v>0.18994080008629458</v>
      </c>
      <c r="O1949">
        <v>0.24877556524523173</v>
      </c>
      <c r="P1949">
        <v>0.28039836599068368</v>
      </c>
    </row>
    <row r="1950" spans="13:16">
      <c r="M1950">
        <v>0.28041103575400295</v>
      </c>
      <c r="N1950">
        <v>0.1940686403487609</v>
      </c>
      <c r="O1950">
        <v>0.27429390022276356</v>
      </c>
      <c r="P1950">
        <v>0.25122642367447268</v>
      </c>
    </row>
    <row r="1951" spans="13:16">
      <c r="M1951">
        <v>0.28020034813105177</v>
      </c>
      <c r="N1951">
        <v>0.18855170500028409</v>
      </c>
      <c r="O1951">
        <v>0.25465201906971624</v>
      </c>
      <c r="P1951">
        <v>0.27659592779894798</v>
      </c>
    </row>
    <row r="1952" spans="13:16">
      <c r="M1952">
        <v>0.32539176624744781</v>
      </c>
      <c r="N1952">
        <v>0.16151200017276779</v>
      </c>
      <c r="O1952">
        <v>0.26489298523011534</v>
      </c>
      <c r="P1952">
        <v>0.24820324834966911</v>
      </c>
    </row>
    <row r="1953" spans="13:16">
      <c r="M1953">
        <v>0.28543931151351865</v>
      </c>
      <c r="N1953">
        <v>0.19982038237730168</v>
      </c>
      <c r="O1953">
        <v>0.24324312813456764</v>
      </c>
      <c r="P1953">
        <v>0.27149717797461204</v>
      </c>
    </row>
    <row r="1954" spans="13:16">
      <c r="M1954">
        <v>0.29684247312489148</v>
      </c>
      <c r="N1954">
        <v>0.16477041880849799</v>
      </c>
      <c r="O1954">
        <v>0.28928551076853981</v>
      </c>
      <c r="P1954">
        <v>0.24910159729807071</v>
      </c>
    </row>
    <row r="1955" spans="13:16">
      <c r="M1955">
        <v>0.30418522790126734</v>
      </c>
      <c r="N1955">
        <v>0.18485825829240585</v>
      </c>
      <c r="O1955">
        <v>0.26489371078637147</v>
      </c>
      <c r="P1955">
        <v>0.24606280301995542</v>
      </c>
    </row>
    <row r="1956" spans="13:16">
      <c r="M1956">
        <v>0.28868731868206726</v>
      </c>
      <c r="N1956">
        <v>0.17588788156890198</v>
      </c>
      <c r="O1956">
        <v>0.27985952691272309</v>
      </c>
      <c r="P1956">
        <v>0.2555652728363077</v>
      </c>
    </row>
    <row r="1957" spans="13:16">
      <c r="M1957">
        <v>0.29283435724579832</v>
      </c>
      <c r="N1957">
        <v>0.18914442987359617</v>
      </c>
      <c r="O1957">
        <v>0.2612767574503565</v>
      </c>
      <c r="P1957">
        <v>0.25674445543024899</v>
      </c>
    </row>
    <row r="1958" spans="13:16">
      <c r="M1958">
        <v>0.28467609536412719</v>
      </c>
      <c r="N1958">
        <v>0.20092538105579433</v>
      </c>
      <c r="O1958">
        <v>0.23104794503548182</v>
      </c>
      <c r="P1958">
        <v>0.28335057854459667</v>
      </c>
    </row>
    <row r="1959" spans="13:16">
      <c r="M1959">
        <v>0.28033748995542684</v>
      </c>
      <c r="N1959">
        <v>0.1801639627263312</v>
      </c>
      <c r="O1959">
        <v>0.2596707830163229</v>
      </c>
      <c r="P1959">
        <v>0.27982776430191902</v>
      </c>
    </row>
    <row r="1960" spans="13:16">
      <c r="M1960">
        <v>0.30379230394161816</v>
      </c>
      <c r="N1960">
        <v>0.18919324929376749</v>
      </c>
      <c r="O1960">
        <v>0.23931371635122045</v>
      </c>
      <c r="P1960">
        <v>0.26770073041339404</v>
      </c>
    </row>
    <row r="1961" spans="13:16">
      <c r="M1961">
        <v>0.30727650190151051</v>
      </c>
      <c r="N1961">
        <v>0.17495610270112111</v>
      </c>
      <c r="O1961">
        <v>0.25964557861668991</v>
      </c>
      <c r="P1961">
        <v>0.25812181678067847</v>
      </c>
    </row>
    <row r="1962" spans="13:16">
      <c r="M1962">
        <v>0.31700331259558423</v>
      </c>
      <c r="N1962">
        <v>0.19336037766624004</v>
      </c>
      <c r="O1962">
        <v>0.21680290641111133</v>
      </c>
      <c r="P1962">
        <v>0.27283340332706441</v>
      </c>
    </row>
    <row r="1963" spans="13:16">
      <c r="M1963">
        <v>0.28592421484921426</v>
      </c>
      <c r="N1963">
        <v>0.18430032783169953</v>
      </c>
      <c r="O1963">
        <v>0.24849978979470888</v>
      </c>
      <c r="P1963">
        <v>0.28127566752437738</v>
      </c>
    </row>
    <row r="1964" spans="13:16">
      <c r="M1964">
        <v>0.29113239210057368</v>
      </c>
      <c r="N1964">
        <v>0.19039255503970809</v>
      </c>
      <c r="O1964">
        <v>0.26887359234793767</v>
      </c>
      <c r="P1964">
        <v>0.24960146051178034</v>
      </c>
    </row>
    <row r="1965" spans="13:16">
      <c r="M1965">
        <v>0.29266258708244658</v>
      </c>
      <c r="N1965">
        <v>0.1896147716930561</v>
      </c>
      <c r="O1965">
        <v>0.257682087175511</v>
      </c>
      <c r="P1965">
        <v>0.26004055404898629</v>
      </c>
    </row>
    <row r="1966" spans="13:16">
      <c r="M1966">
        <v>0.30169959407439639</v>
      </c>
      <c r="N1966">
        <v>0.1690520987649575</v>
      </c>
      <c r="O1966">
        <v>0.25686348894058175</v>
      </c>
      <c r="P1966">
        <v>0.27238481822006422</v>
      </c>
    </row>
    <row r="1967" spans="13:16">
      <c r="M1967">
        <v>0.32025966939922135</v>
      </c>
      <c r="N1967">
        <v>0.18876447304769692</v>
      </c>
      <c r="O1967">
        <v>0.2102625593149767</v>
      </c>
      <c r="P1967">
        <v>0.28071329823810515</v>
      </c>
    </row>
    <row r="1968" spans="13:16">
      <c r="M1968">
        <v>0.29399994923196643</v>
      </c>
      <c r="N1968">
        <v>0.17528615074259332</v>
      </c>
      <c r="O1968">
        <v>0.25620030254683468</v>
      </c>
      <c r="P1968">
        <v>0.27451359747860549</v>
      </c>
    </row>
    <row r="1969" spans="13:16">
      <c r="M1969">
        <v>0.27025895563399011</v>
      </c>
      <c r="N1969">
        <v>0.193387932429049</v>
      </c>
      <c r="O1969">
        <v>0.26804757572765292</v>
      </c>
      <c r="P1969">
        <v>0.26830553620930803</v>
      </c>
    </row>
    <row r="1970" spans="13:16">
      <c r="M1970">
        <v>0.29276367567056771</v>
      </c>
      <c r="N1970">
        <v>0.20113402159740551</v>
      </c>
      <c r="O1970">
        <v>0.25167149315769638</v>
      </c>
      <c r="P1970">
        <v>0.2544308095743304</v>
      </c>
    </row>
    <row r="1971" spans="13:16">
      <c r="M1971">
        <v>0.29831143480020783</v>
      </c>
      <c r="N1971">
        <v>0.18364764202919054</v>
      </c>
      <c r="O1971">
        <v>0.2635270313871485</v>
      </c>
      <c r="P1971">
        <v>0.25451389178345313</v>
      </c>
    </row>
    <row r="1972" spans="13:16">
      <c r="M1972">
        <v>0.29906186638552812</v>
      </c>
      <c r="N1972">
        <v>0.19464583832740315</v>
      </c>
      <c r="O1972">
        <v>0.2630370904588224</v>
      </c>
      <c r="P1972">
        <v>0.24325520482824636</v>
      </c>
    </row>
    <row r="1973" spans="13:16">
      <c r="M1973">
        <v>0.29658739539831264</v>
      </c>
      <c r="N1973">
        <v>0.20393190150274701</v>
      </c>
      <c r="O1973">
        <v>0.2315255267731067</v>
      </c>
      <c r="P1973">
        <v>0.26795517632583371</v>
      </c>
    </row>
    <row r="1974" spans="13:16">
      <c r="M1974">
        <v>0.29572655872583753</v>
      </c>
      <c r="N1974">
        <v>0.17636326894716689</v>
      </c>
      <c r="O1974">
        <v>0.28390535691195506</v>
      </c>
      <c r="P1974">
        <v>0.24400481541504043</v>
      </c>
    </row>
    <row r="1975" spans="13:16">
      <c r="M1975">
        <v>0.33808197858443118</v>
      </c>
      <c r="N1975">
        <v>0.15920204517364347</v>
      </c>
      <c r="O1975">
        <v>0.26074578304195112</v>
      </c>
      <c r="P1975">
        <v>0.24197019319997423</v>
      </c>
    </row>
    <row r="1976" spans="13:16">
      <c r="M1976">
        <v>0.28397540660472054</v>
      </c>
      <c r="N1976">
        <v>0.18281593597713275</v>
      </c>
      <c r="O1976">
        <v>0.26078271785286555</v>
      </c>
      <c r="P1976">
        <v>0.27242593956528116</v>
      </c>
    </row>
    <row r="1977" spans="13:16">
      <c r="M1977">
        <v>0.28852688316920888</v>
      </c>
      <c r="N1977">
        <v>0.18456170972633254</v>
      </c>
      <c r="O1977">
        <v>0.28839689174859262</v>
      </c>
      <c r="P1977">
        <v>0.23851451535586596</v>
      </c>
    </row>
    <row r="1978" spans="13:16">
      <c r="M1978">
        <v>0.31705679955478017</v>
      </c>
      <c r="N1978">
        <v>0.17096108110468075</v>
      </c>
      <c r="O1978">
        <v>0.25525127760384719</v>
      </c>
      <c r="P1978">
        <v>0.25673084173669186</v>
      </c>
    </row>
    <row r="1979" spans="13:16">
      <c r="M1979">
        <v>0.32133360363172475</v>
      </c>
      <c r="N1979">
        <v>0.17183654325994524</v>
      </c>
      <c r="O1979">
        <v>0.25971259880993175</v>
      </c>
      <c r="P1979">
        <v>0.24711725429839829</v>
      </c>
    </row>
    <row r="1980" spans="13:16">
      <c r="M1980">
        <v>0.30624746225514415</v>
      </c>
      <c r="N1980">
        <v>0.18052365417644847</v>
      </c>
      <c r="O1980">
        <v>0.26240883167008627</v>
      </c>
      <c r="P1980">
        <v>0.25082005189832113</v>
      </c>
    </row>
    <row r="1981" spans="13:16">
      <c r="M1981">
        <v>0.32213137812310527</v>
      </c>
      <c r="N1981">
        <v>0.16737946828479677</v>
      </c>
      <c r="O1981">
        <v>0.25583585587134627</v>
      </c>
      <c r="P1981">
        <v>0.25465329772075179</v>
      </c>
    </row>
    <row r="1982" spans="13:16">
      <c r="M1982">
        <v>0.30021167721781322</v>
      </c>
      <c r="N1982">
        <v>0.17533735729471533</v>
      </c>
      <c r="O1982">
        <v>0.25470734917690963</v>
      </c>
      <c r="P1982">
        <v>0.26974361631056193</v>
      </c>
    </row>
    <row r="1983" spans="13:16">
      <c r="M1983">
        <v>0.28815001771617832</v>
      </c>
      <c r="N1983">
        <v>0.19155301224185584</v>
      </c>
      <c r="O1983">
        <v>0.27154840727976609</v>
      </c>
      <c r="P1983">
        <v>0.24874856276219975</v>
      </c>
    </row>
    <row r="1984" spans="13:16">
      <c r="M1984">
        <v>0.30509498682684133</v>
      </c>
      <c r="N1984">
        <v>0.19393919586294311</v>
      </c>
      <c r="O1984">
        <v>0.23289571420690577</v>
      </c>
      <c r="P1984">
        <v>0.26807010310330975</v>
      </c>
    </row>
    <row r="1985" spans="13:16">
      <c r="M1985">
        <v>0.30277634277587778</v>
      </c>
      <c r="N1985">
        <v>0.18177029693506597</v>
      </c>
      <c r="O1985">
        <v>0.243263191253943</v>
      </c>
      <c r="P1985">
        <v>0.27219016903511317</v>
      </c>
    </row>
    <row r="1986" spans="13:16">
      <c r="M1986">
        <v>0.30414615390692529</v>
      </c>
      <c r="N1986">
        <v>0.19249408502364324</v>
      </c>
      <c r="O1986">
        <v>0.23248233256965437</v>
      </c>
      <c r="P1986">
        <v>0.27087742849977708</v>
      </c>
    </row>
    <row r="1987" spans="13:16">
      <c r="M1987">
        <v>0.27561938871292219</v>
      </c>
      <c r="N1987">
        <v>0.18901508868730812</v>
      </c>
      <c r="O1987">
        <v>0.25698610141835093</v>
      </c>
      <c r="P1987">
        <v>0.27837942118141878</v>
      </c>
    </row>
    <row r="1988" spans="13:16">
      <c r="M1988">
        <v>0.28083540856599398</v>
      </c>
      <c r="N1988">
        <v>0.19428550211893683</v>
      </c>
      <c r="O1988">
        <v>0.25495780818164526</v>
      </c>
      <c r="P1988">
        <v>0.26992128113342406</v>
      </c>
    </row>
    <row r="1989" spans="13:16">
      <c r="M1989">
        <v>0.28435160506520329</v>
      </c>
      <c r="N1989">
        <v>0.19577944584628815</v>
      </c>
      <c r="O1989">
        <v>0.24481755460886134</v>
      </c>
      <c r="P1989">
        <v>0.27505139447964727</v>
      </c>
    </row>
    <row r="1990" spans="13:16">
      <c r="M1990">
        <v>0.28515540358121755</v>
      </c>
      <c r="N1990">
        <v>0.17727164665004133</v>
      </c>
      <c r="O1990">
        <v>0.27629435126366725</v>
      </c>
      <c r="P1990">
        <v>0.26127859850507401</v>
      </c>
    </row>
    <row r="1991" spans="13:16">
      <c r="M1991">
        <v>0.30511586991596884</v>
      </c>
      <c r="N1991">
        <v>0.18959188177998512</v>
      </c>
      <c r="O1991">
        <v>0.24490719461438029</v>
      </c>
      <c r="P1991">
        <v>0.26038505368966591</v>
      </c>
    </row>
    <row r="1992" spans="13:16">
      <c r="M1992">
        <v>0.3150004859833187</v>
      </c>
      <c r="N1992">
        <v>0.1675517168342045</v>
      </c>
      <c r="O1992">
        <v>0.25276683619570439</v>
      </c>
      <c r="P1992">
        <v>0.26468096098677235</v>
      </c>
    </row>
    <row r="1993" spans="13:16">
      <c r="M1993">
        <v>0.28414168358908365</v>
      </c>
      <c r="N1993">
        <v>0.19010367219827862</v>
      </c>
      <c r="O1993">
        <v>0.2637806252116664</v>
      </c>
      <c r="P1993">
        <v>0.26197401900097134</v>
      </c>
    </row>
    <row r="1994" spans="13:16">
      <c r="M1994">
        <v>0.31616510155887756</v>
      </c>
      <c r="N1994">
        <v>0.16721389878210915</v>
      </c>
      <c r="O1994">
        <v>0.27692850378979061</v>
      </c>
      <c r="P1994">
        <v>0.23969249586922259</v>
      </c>
    </row>
    <row r="1995" spans="13:16">
      <c r="M1995">
        <v>0.2816796903635494</v>
      </c>
      <c r="N1995">
        <v>0.17921073220262851</v>
      </c>
      <c r="O1995">
        <v>0.27204090159098465</v>
      </c>
      <c r="P1995">
        <v>0.26706867584283739</v>
      </c>
    </row>
    <row r="1996" spans="13:16">
      <c r="M1996">
        <v>0.32280620796222548</v>
      </c>
      <c r="N1996">
        <v>0.17124762772370594</v>
      </c>
      <c r="O1996">
        <v>0.25137540029846411</v>
      </c>
      <c r="P1996">
        <v>0.25457076401560447</v>
      </c>
    </row>
    <row r="1997" spans="13:16">
      <c r="M1997">
        <v>0.31425935127047061</v>
      </c>
      <c r="N1997">
        <v>0.17408992226408951</v>
      </c>
      <c r="O1997">
        <v>0.25089515286206365</v>
      </c>
      <c r="P1997">
        <v>0.26075557360337637</v>
      </c>
    </row>
    <row r="1998" spans="13:16">
      <c r="M1998">
        <v>0.27880639815780101</v>
      </c>
      <c r="N1998">
        <v>0.17622625761036279</v>
      </c>
      <c r="O1998">
        <v>0.28345040761723628</v>
      </c>
      <c r="P1998">
        <v>0.26151693661459996</v>
      </c>
    </row>
    <row r="1999" spans="13:16">
      <c r="M1999">
        <v>0.29371763877873736</v>
      </c>
      <c r="N1999">
        <v>0.18044515022265728</v>
      </c>
      <c r="O1999">
        <v>0.25142904902008584</v>
      </c>
      <c r="P1999">
        <v>0.27440816197851947</v>
      </c>
    </row>
    <row r="2000" spans="13:16">
      <c r="M2000">
        <v>0.29268697418609685</v>
      </c>
      <c r="N2000">
        <v>0.18345565995221977</v>
      </c>
      <c r="O2000">
        <v>0.25344048539642305</v>
      </c>
      <c r="P2000">
        <v>0.2704168804652603</v>
      </c>
    </row>
    <row r="2001" spans="13:16">
      <c r="M2001">
        <v>0.31909582512245022</v>
      </c>
      <c r="N2001">
        <v>0.1832244897609662</v>
      </c>
      <c r="O2001">
        <v>0.21989609438953034</v>
      </c>
      <c r="P2001">
        <v>0.27778359072705322</v>
      </c>
    </row>
    <row r="2002" spans="13:16">
      <c r="M2002">
        <v>0.26263295779497092</v>
      </c>
      <c r="N2002">
        <v>0.21016032054213576</v>
      </c>
      <c r="O2002">
        <v>0.25778223450369658</v>
      </c>
      <c r="P2002">
        <v>0.2694244871591967</v>
      </c>
    </row>
    <row r="2003" spans="13:16">
      <c r="M2003">
        <v>0.29399655826784615</v>
      </c>
      <c r="N2003">
        <v>0.20921609782392023</v>
      </c>
      <c r="O2003">
        <v>0.22433405712038312</v>
      </c>
      <c r="P2003">
        <v>0.27245328678785047</v>
      </c>
    </row>
    <row r="2004" spans="13:16">
      <c r="M2004">
        <v>0.29762779551349455</v>
      </c>
      <c r="N2004">
        <v>0.18481316234783884</v>
      </c>
      <c r="O2004">
        <v>0.27757949370697194</v>
      </c>
      <c r="P2004">
        <v>0.23997954843169447</v>
      </c>
    </row>
    <row r="2005" spans="13:16">
      <c r="M2005">
        <v>0.2924718795827973</v>
      </c>
      <c r="N2005">
        <v>0.17042271757377722</v>
      </c>
      <c r="O2005">
        <v>0.2919750350064762</v>
      </c>
      <c r="P2005">
        <v>0.24513036783694925</v>
      </c>
    </row>
    <row r="2006" spans="13:16">
      <c r="M2006">
        <v>0.28683221252185426</v>
      </c>
      <c r="N2006">
        <v>0.1960925559540235</v>
      </c>
      <c r="O2006">
        <v>0.24360992737158368</v>
      </c>
      <c r="P2006">
        <v>0.27346530415253861</v>
      </c>
    </row>
    <row r="2007" spans="13:16">
      <c r="M2007">
        <v>0.27939618369019303</v>
      </c>
      <c r="N2007">
        <v>0.21743452062824828</v>
      </c>
      <c r="O2007">
        <v>0.23489304071533595</v>
      </c>
      <c r="P2007">
        <v>0.26827625496622259</v>
      </c>
    </row>
    <row r="2008" spans="13:16">
      <c r="M2008">
        <v>0.30225327539698388</v>
      </c>
      <c r="N2008">
        <v>0.17551580207793704</v>
      </c>
      <c r="O2008">
        <v>0.25575712848572657</v>
      </c>
      <c r="P2008">
        <v>0.26647379403935256</v>
      </c>
    </row>
    <row r="2009" spans="13:16">
      <c r="M2009">
        <v>0.2796791021156349</v>
      </c>
      <c r="N2009">
        <v>0.17585302978124062</v>
      </c>
      <c r="O2009">
        <v>0.29767892854326461</v>
      </c>
      <c r="P2009">
        <v>0.24678893955985981</v>
      </c>
    </row>
    <row r="2010" spans="13:16">
      <c r="M2010">
        <v>0.29012529019546618</v>
      </c>
      <c r="N2010">
        <v>0.19673209288192672</v>
      </c>
      <c r="O2010">
        <v>0.25154477208028508</v>
      </c>
      <c r="P2010">
        <v>0.26159784484232207</v>
      </c>
    </row>
    <row r="2011" spans="13:16">
      <c r="M2011">
        <v>0.30171103909929092</v>
      </c>
      <c r="N2011">
        <v>0.17964777096694776</v>
      </c>
      <c r="O2011">
        <v>0.24493409051579207</v>
      </c>
      <c r="P2011">
        <v>0.27370709941796922</v>
      </c>
    </row>
    <row r="2012" spans="13:16">
      <c r="M2012">
        <v>0.30272967207904772</v>
      </c>
      <c r="N2012">
        <v>0.18188525283219714</v>
      </c>
      <c r="O2012">
        <v>0.26051170635787174</v>
      </c>
      <c r="P2012">
        <v>0.25487336873088345</v>
      </c>
    </row>
    <row r="2013" spans="13:16">
      <c r="M2013">
        <v>0.27558148243324954</v>
      </c>
      <c r="N2013">
        <v>0.17517369499452334</v>
      </c>
      <c r="O2013">
        <v>0.27902603533348802</v>
      </c>
      <c r="P2013">
        <v>0.27021878723873893</v>
      </c>
    </row>
    <row r="2014" spans="13:16">
      <c r="M2014">
        <v>0.28180657392385439</v>
      </c>
      <c r="N2014">
        <v>0.17984740672147362</v>
      </c>
      <c r="O2014">
        <v>0.27863977883771335</v>
      </c>
      <c r="P2014">
        <v>0.25970624051695873</v>
      </c>
    </row>
    <row r="2015" spans="13:16">
      <c r="M2015">
        <v>0.27255491545491112</v>
      </c>
      <c r="N2015">
        <v>0.2067121659422915</v>
      </c>
      <c r="O2015">
        <v>0.2595171967654617</v>
      </c>
      <c r="P2015">
        <v>0.26121572183733571</v>
      </c>
    </row>
    <row r="2016" spans="13:16">
      <c r="M2016">
        <v>0.27261258447566616</v>
      </c>
      <c r="N2016">
        <v>0.18967441939018992</v>
      </c>
      <c r="O2016">
        <v>0.25331005495144976</v>
      </c>
      <c r="P2016">
        <v>0.28440294118269421</v>
      </c>
    </row>
    <row r="2017" spans="13:16">
      <c r="M2017">
        <v>0.28441756842648247</v>
      </c>
      <c r="N2017">
        <v>0.19502157536368372</v>
      </c>
      <c r="O2017">
        <v>0.24914716150904087</v>
      </c>
      <c r="P2017">
        <v>0.27141369470079302</v>
      </c>
    </row>
    <row r="2018" spans="13:16">
      <c r="M2018">
        <v>0.28994822036785056</v>
      </c>
      <c r="N2018">
        <v>0.18477305237249705</v>
      </c>
      <c r="O2018">
        <v>0.27315893863751867</v>
      </c>
      <c r="P2018">
        <v>0.25211978862213374</v>
      </c>
    </row>
    <row r="2019" spans="13:16">
      <c r="M2019">
        <v>0.28974324258697221</v>
      </c>
      <c r="N2019">
        <v>0.17819658715405573</v>
      </c>
      <c r="O2019">
        <v>0.26178256689217544</v>
      </c>
      <c r="P2019">
        <v>0.27027760336679663</v>
      </c>
    </row>
    <row r="2020" spans="13:16">
      <c r="M2020">
        <v>0.29855014156929288</v>
      </c>
      <c r="N2020">
        <v>0.17097918457663575</v>
      </c>
      <c r="O2020">
        <v>0.26929012585806672</v>
      </c>
      <c r="P2020">
        <v>0.26118054799600449</v>
      </c>
    </row>
    <row r="2021" spans="13:16">
      <c r="M2021">
        <v>0.29515394384625654</v>
      </c>
      <c r="N2021">
        <v>0.17223869640051148</v>
      </c>
      <c r="O2021">
        <v>0.28288420219907756</v>
      </c>
      <c r="P2021">
        <v>0.24972315755415442</v>
      </c>
    </row>
    <row r="2022" spans="13:16">
      <c r="M2022">
        <v>0.27333318213730334</v>
      </c>
      <c r="N2022">
        <v>0.19982232889037121</v>
      </c>
      <c r="O2022">
        <v>0.26449413032997826</v>
      </c>
      <c r="P2022">
        <v>0.26235035864234713</v>
      </c>
    </row>
    <row r="2023" spans="13:16">
      <c r="M2023">
        <v>0.28532584024692498</v>
      </c>
      <c r="N2023">
        <v>0.19927505535786674</v>
      </c>
      <c r="O2023">
        <v>0.25521301714616246</v>
      </c>
      <c r="P2023">
        <v>0.26018608724904585</v>
      </c>
    </row>
    <row r="2024" spans="13:16">
      <c r="M2024">
        <v>0.27818234609482706</v>
      </c>
      <c r="N2024">
        <v>0.18936996190575425</v>
      </c>
      <c r="O2024">
        <v>0.25480016175920367</v>
      </c>
      <c r="P2024">
        <v>0.27764753024021493</v>
      </c>
    </row>
    <row r="2025" spans="13:16">
      <c r="M2025">
        <v>0.27520872810473823</v>
      </c>
      <c r="N2025">
        <v>0.1906874456141307</v>
      </c>
      <c r="O2025">
        <v>0.27008542310840927</v>
      </c>
      <c r="P2025">
        <v>0.2640184031727219</v>
      </c>
    </row>
    <row r="2026" spans="13:16">
      <c r="M2026">
        <v>0.31551162315218939</v>
      </c>
      <c r="N2026">
        <v>0.1898542759215654</v>
      </c>
      <c r="O2026">
        <v>0.2297863917588053</v>
      </c>
      <c r="P2026">
        <v>0.26484770916743999</v>
      </c>
    </row>
    <row r="2027" spans="13:16">
      <c r="M2027">
        <v>0.26827990835942084</v>
      </c>
      <c r="N2027">
        <v>0.18937718073993623</v>
      </c>
      <c r="O2027">
        <v>0.28686728611494411</v>
      </c>
      <c r="P2027">
        <v>0.25547562478569891</v>
      </c>
    </row>
    <row r="2028" spans="13:16">
      <c r="M2028">
        <v>0.29369373168600649</v>
      </c>
      <c r="N2028">
        <v>0.21443247863069584</v>
      </c>
      <c r="O2028">
        <v>0.22959998516299313</v>
      </c>
      <c r="P2028">
        <v>0.26227380452030463</v>
      </c>
    </row>
    <row r="2029" spans="13:16">
      <c r="M2029">
        <v>0.28496425914996093</v>
      </c>
      <c r="N2029">
        <v>0.18251057515873084</v>
      </c>
      <c r="O2029">
        <v>0.28279983735518471</v>
      </c>
      <c r="P2029">
        <v>0.24972532833612349</v>
      </c>
    </row>
    <row r="2030" spans="13:16">
      <c r="M2030">
        <v>0.2611946985081412</v>
      </c>
      <c r="N2030">
        <v>0.17865248926425606</v>
      </c>
      <c r="O2030">
        <v>0.29910402393288082</v>
      </c>
      <c r="P2030">
        <v>0.26104878829472189</v>
      </c>
    </row>
    <row r="2031" spans="13:16">
      <c r="M2031">
        <v>0.28096014422711763</v>
      </c>
      <c r="N2031">
        <v>0.18960989785412088</v>
      </c>
      <c r="O2031">
        <v>0.2654344350403206</v>
      </c>
      <c r="P2031">
        <v>0.26399552287844097</v>
      </c>
    </row>
    <row r="2032" spans="13:16">
      <c r="M2032">
        <v>0.28243691917524838</v>
      </c>
      <c r="N2032">
        <v>0.18847195814226383</v>
      </c>
      <c r="O2032">
        <v>0.26631016824434661</v>
      </c>
      <c r="P2032">
        <v>0.26278095443814126</v>
      </c>
    </row>
    <row r="2033" spans="13:16">
      <c r="M2033">
        <v>0.3105290682090518</v>
      </c>
      <c r="N2033">
        <v>0.17014829383105767</v>
      </c>
      <c r="O2033">
        <v>0.27855057903100677</v>
      </c>
      <c r="P2033">
        <v>0.24077205892888368</v>
      </c>
    </row>
    <row r="2034" spans="13:16">
      <c r="M2034">
        <v>0.29128219365827934</v>
      </c>
      <c r="N2034">
        <v>0.18350030655403782</v>
      </c>
      <c r="O2034">
        <v>0.26344352118232994</v>
      </c>
      <c r="P2034">
        <v>0.2617739786053529</v>
      </c>
    </row>
    <row r="2035" spans="13:16">
      <c r="M2035">
        <v>0.28948904452178187</v>
      </c>
      <c r="N2035">
        <v>0.1641648653803634</v>
      </c>
      <c r="O2035">
        <v>0.29946312846046264</v>
      </c>
      <c r="P2035">
        <v>0.24688296163739204</v>
      </c>
    </row>
    <row r="2036" spans="13:16">
      <c r="M2036">
        <v>0.27280010001639721</v>
      </c>
      <c r="N2036">
        <v>0.18118369743432836</v>
      </c>
      <c r="O2036">
        <v>0.26832075014531781</v>
      </c>
      <c r="P2036">
        <v>0.27769545240395671</v>
      </c>
    </row>
    <row r="2037" spans="13:16">
      <c r="M2037">
        <v>0.27492337576643755</v>
      </c>
      <c r="N2037">
        <v>0.21367929298096081</v>
      </c>
      <c r="O2037">
        <v>0.23271138612013084</v>
      </c>
      <c r="P2037">
        <v>0.27868594513247075</v>
      </c>
    </row>
    <row r="2038" spans="13:16">
      <c r="M2038">
        <v>0.30019042693018533</v>
      </c>
      <c r="N2038">
        <v>0.1823137136036706</v>
      </c>
      <c r="O2038">
        <v>0.25625662905401747</v>
      </c>
      <c r="P2038">
        <v>0.2612392304121266</v>
      </c>
    </row>
    <row r="2039" spans="13:16">
      <c r="M2039">
        <v>0.26734817300369612</v>
      </c>
      <c r="N2039">
        <v>0.20206800586693863</v>
      </c>
      <c r="O2039">
        <v>0.26285158748833581</v>
      </c>
      <c r="P2039">
        <v>0.2677322336410296</v>
      </c>
    </row>
    <row r="2040" spans="13:16">
      <c r="M2040">
        <v>0.29636045136918149</v>
      </c>
      <c r="N2040">
        <v>0.19051067522784701</v>
      </c>
      <c r="O2040">
        <v>0.22097299560005615</v>
      </c>
      <c r="P2040">
        <v>0.29215587780291546</v>
      </c>
    </row>
    <row r="2041" spans="13:16">
      <c r="M2041">
        <v>0.28342309393749637</v>
      </c>
      <c r="N2041">
        <v>0.1939139031950278</v>
      </c>
      <c r="O2041">
        <v>0.26218689421809593</v>
      </c>
      <c r="P2041">
        <v>0.26047610864938003</v>
      </c>
    </row>
    <row r="2042" spans="13:16">
      <c r="M2042">
        <v>0.27258020933205246</v>
      </c>
      <c r="N2042">
        <v>0.18859300899764439</v>
      </c>
      <c r="O2042">
        <v>0.26469484796612219</v>
      </c>
      <c r="P2042">
        <v>0.27413193370418104</v>
      </c>
    </row>
    <row r="2043" spans="13:16">
      <c r="M2043">
        <v>0.31511024838272539</v>
      </c>
      <c r="N2043">
        <v>0.19109172477412043</v>
      </c>
      <c r="O2043">
        <v>0.25340892624963168</v>
      </c>
      <c r="P2043">
        <v>0.24038910059352231</v>
      </c>
    </row>
    <row r="2044" spans="13:16">
      <c r="M2044">
        <v>0.30853962544228136</v>
      </c>
      <c r="N2044">
        <v>0.17725645255355457</v>
      </c>
      <c r="O2044">
        <v>0.25775823402807602</v>
      </c>
      <c r="P2044">
        <v>0.25644568797608808</v>
      </c>
    </row>
    <row r="2045" spans="13:16">
      <c r="M2045">
        <v>0.29256453683570427</v>
      </c>
      <c r="N2045">
        <v>0.18862996909065177</v>
      </c>
      <c r="O2045">
        <v>0.24462435882612854</v>
      </c>
      <c r="P2045">
        <v>0.27418113524751536</v>
      </c>
    </row>
    <row r="2046" spans="13:16">
      <c r="M2046">
        <v>0.28349677140565283</v>
      </c>
      <c r="N2046">
        <v>0.18650297206549205</v>
      </c>
      <c r="O2046">
        <v>0.24829946664514546</v>
      </c>
      <c r="P2046">
        <v>0.28170078988370961</v>
      </c>
    </row>
    <row r="2047" spans="13:16">
      <c r="M2047">
        <v>0.27871241620498993</v>
      </c>
      <c r="N2047">
        <v>0.20154684921079635</v>
      </c>
      <c r="O2047">
        <v>0.25142191078498688</v>
      </c>
      <c r="P2047">
        <v>0.26831882379922684</v>
      </c>
    </row>
    <row r="2048" spans="13:16">
      <c r="M2048">
        <v>0.29703985347986628</v>
      </c>
      <c r="N2048">
        <v>0.21344317397501419</v>
      </c>
      <c r="O2048">
        <v>0.22558760463228458</v>
      </c>
      <c r="P2048">
        <v>0.26392936791283489</v>
      </c>
    </row>
    <row r="2049" spans="13:16">
      <c r="M2049">
        <v>0.28226633383852279</v>
      </c>
      <c r="N2049">
        <v>0.17642559494756843</v>
      </c>
      <c r="O2049">
        <v>0.29357538392617011</v>
      </c>
      <c r="P2049">
        <v>0.24773268728773853</v>
      </c>
    </row>
    <row r="2050" spans="13:16">
      <c r="M2050">
        <v>0.31855559233595154</v>
      </c>
      <c r="N2050">
        <v>0.1856810979182644</v>
      </c>
      <c r="O2050">
        <v>0.24093270227968638</v>
      </c>
      <c r="P2050">
        <v>0.25483060746609781</v>
      </c>
    </row>
    <row r="2051" spans="13:16">
      <c r="M2051">
        <v>0.29248843683212977</v>
      </c>
      <c r="N2051">
        <v>0.17279841366242982</v>
      </c>
      <c r="O2051">
        <v>0.28302848122657365</v>
      </c>
      <c r="P2051">
        <v>0.25168466827886682</v>
      </c>
    </row>
    <row r="2052" spans="13:16">
      <c r="M2052">
        <v>0.29217970034941998</v>
      </c>
      <c r="N2052">
        <v>0.17265753807046882</v>
      </c>
      <c r="O2052">
        <v>0.27407974562909659</v>
      </c>
      <c r="P2052">
        <v>0.2610830159510148</v>
      </c>
    </row>
    <row r="2053" spans="13:16">
      <c r="M2053">
        <v>0.28401686596840708</v>
      </c>
      <c r="N2053">
        <v>0.17928269776075015</v>
      </c>
      <c r="O2053">
        <v>0.27476343549904841</v>
      </c>
      <c r="P2053">
        <v>0.26193700077179438</v>
      </c>
    </row>
    <row r="2054" spans="13:16">
      <c r="M2054">
        <v>0.26857270263944172</v>
      </c>
      <c r="N2054">
        <v>0.2047841860686675</v>
      </c>
      <c r="O2054">
        <v>0.25499802224800006</v>
      </c>
      <c r="P2054">
        <v>0.27164508904389073</v>
      </c>
    </row>
    <row r="2055" spans="13:16">
      <c r="M2055">
        <v>0.29174422487773594</v>
      </c>
      <c r="N2055">
        <v>0.19246710029104735</v>
      </c>
      <c r="O2055">
        <v>0.22057355756132596</v>
      </c>
      <c r="P2055">
        <v>0.2952151172698908</v>
      </c>
    </row>
    <row r="2056" spans="13:16">
      <c r="M2056">
        <v>0.31385897873752566</v>
      </c>
      <c r="N2056">
        <v>0.17050165959560343</v>
      </c>
      <c r="O2056">
        <v>0.26067278452245751</v>
      </c>
      <c r="P2056">
        <v>0.2549665771444134</v>
      </c>
    </row>
    <row r="2057" spans="13:16">
      <c r="M2057">
        <v>0.27163537305643387</v>
      </c>
      <c r="N2057">
        <v>0.20360571045644063</v>
      </c>
      <c r="O2057">
        <v>0.24413245232032516</v>
      </c>
      <c r="P2057">
        <v>0.28062646416680032</v>
      </c>
    </row>
    <row r="2058" spans="13:16">
      <c r="M2058">
        <v>0.30436307849582384</v>
      </c>
      <c r="N2058">
        <v>0.16926936866213482</v>
      </c>
      <c r="O2058">
        <v>0.28320235584120135</v>
      </c>
      <c r="P2058">
        <v>0.24316519700083994</v>
      </c>
    </row>
    <row r="2059" spans="13:16">
      <c r="M2059">
        <v>0.28142890751691679</v>
      </c>
      <c r="N2059">
        <v>0.1953522433729962</v>
      </c>
      <c r="O2059">
        <v>0.25177974755169008</v>
      </c>
      <c r="P2059">
        <v>0.2714391015583969</v>
      </c>
    </row>
    <row r="2060" spans="13:16">
      <c r="M2060">
        <v>0.29146263372968184</v>
      </c>
      <c r="N2060">
        <v>0.18137272387422887</v>
      </c>
      <c r="O2060">
        <v>0.2663405807256804</v>
      </c>
      <c r="P2060">
        <v>0.26082406167040889</v>
      </c>
    </row>
    <row r="2061" spans="13:16">
      <c r="M2061">
        <v>0.31328652180062661</v>
      </c>
      <c r="N2061">
        <v>0.1682171565916413</v>
      </c>
      <c r="O2061">
        <v>0.26201808275912009</v>
      </c>
      <c r="P2061">
        <v>0.25647823884861198</v>
      </c>
    </row>
    <row r="2062" spans="13:16">
      <c r="M2062">
        <v>0.29964295527048801</v>
      </c>
      <c r="N2062">
        <v>0.17939478884452853</v>
      </c>
      <c r="O2062">
        <v>0.24858022696442833</v>
      </c>
      <c r="P2062">
        <v>0.27238202892055519</v>
      </c>
    </row>
    <row r="2063" spans="13:16">
      <c r="M2063">
        <v>0.31379463287222759</v>
      </c>
      <c r="N2063">
        <v>0.17356513540834403</v>
      </c>
      <c r="O2063">
        <v>0.24595363435694906</v>
      </c>
      <c r="P2063">
        <v>0.26668659736247941</v>
      </c>
    </row>
    <row r="2064" spans="13:16">
      <c r="M2064">
        <v>0.25716987560598786</v>
      </c>
      <c r="N2064">
        <v>0.20786835882335797</v>
      </c>
      <c r="O2064">
        <v>0.27002994914080886</v>
      </c>
      <c r="P2064">
        <v>0.26493181642984531</v>
      </c>
    </row>
    <row r="2065" spans="13:16">
      <c r="M2065">
        <v>0.2789648898208576</v>
      </c>
      <c r="N2065">
        <v>0.19178898544401132</v>
      </c>
      <c r="O2065">
        <v>0.26145117924178246</v>
      </c>
      <c r="P2065">
        <v>0.26779494549334848</v>
      </c>
    </row>
    <row r="2066" spans="13:16">
      <c r="M2066">
        <v>0.30366204763941818</v>
      </c>
      <c r="N2066">
        <v>0.17761065944466695</v>
      </c>
      <c r="O2066">
        <v>0.26109566904552212</v>
      </c>
      <c r="P2066">
        <v>0.25763162387039279</v>
      </c>
    </row>
    <row r="2067" spans="13:16">
      <c r="M2067">
        <v>0.28851660406218582</v>
      </c>
      <c r="N2067">
        <v>0.19635479778471801</v>
      </c>
      <c r="O2067">
        <v>0.23825791059250837</v>
      </c>
      <c r="P2067">
        <v>0.27687068756058786</v>
      </c>
    </row>
    <row r="2068" spans="13:16">
      <c r="M2068">
        <v>0.312137477943637</v>
      </c>
      <c r="N2068">
        <v>0.17598541372146081</v>
      </c>
      <c r="O2068">
        <v>0.25461667870883303</v>
      </c>
      <c r="P2068">
        <v>0.2572604296260691</v>
      </c>
    </row>
    <row r="2069" spans="13:16">
      <c r="M2069">
        <v>0.31565227677957941</v>
      </c>
      <c r="N2069">
        <v>0.19423111078803146</v>
      </c>
      <c r="O2069">
        <v>0.24592015360162015</v>
      </c>
      <c r="P2069">
        <v>0.24419645883076904</v>
      </c>
    </row>
    <row r="2070" spans="13:16">
      <c r="M2070">
        <v>0.27567306724056567</v>
      </c>
      <c r="N2070">
        <v>0.19616498224256915</v>
      </c>
      <c r="O2070">
        <v>0.26736159934623493</v>
      </c>
      <c r="P2070">
        <v>0.26080035117063022</v>
      </c>
    </row>
    <row r="2071" spans="13:16">
      <c r="M2071">
        <v>0.32169123450881071</v>
      </c>
      <c r="N2071">
        <v>0.17212460118655937</v>
      </c>
      <c r="O2071">
        <v>0.24040262889691552</v>
      </c>
      <c r="P2071">
        <v>0.26578153540771443</v>
      </c>
    </row>
    <row r="2072" spans="13:16">
      <c r="M2072">
        <v>0.25947712300488351</v>
      </c>
      <c r="N2072">
        <v>0.18583796500504471</v>
      </c>
      <c r="O2072">
        <v>0.28827234576140898</v>
      </c>
      <c r="P2072">
        <v>0.26641256622866283</v>
      </c>
    </row>
    <row r="2073" spans="13:16">
      <c r="M2073">
        <v>0.29590507223553575</v>
      </c>
      <c r="N2073">
        <v>0.19135151347581009</v>
      </c>
      <c r="O2073">
        <v>0.25424400915477441</v>
      </c>
      <c r="P2073">
        <v>0.25849940513387976</v>
      </c>
    </row>
    <row r="2074" spans="13:16">
      <c r="M2074">
        <v>0.27504557096673321</v>
      </c>
      <c r="N2074">
        <v>0.18953021789619842</v>
      </c>
      <c r="O2074">
        <v>0.29538381370424671</v>
      </c>
      <c r="P2074">
        <v>0.2400403974328216</v>
      </c>
    </row>
    <row r="2075" spans="13:16">
      <c r="M2075">
        <v>0.30604081506703373</v>
      </c>
      <c r="N2075">
        <v>0.17809243093888197</v>
      </c>
      <c r="O2075">
        <v>0.2522429953018851</v>
      </c>
      <c r="P2075">
        <v>0.26362375869219917</v>
      </c>
    </row>
    <row r="2076" spans="13:16">
      <c r="M2076">
        <v>0.30087883967571399</v>
      </c>
      <c r="N2076">
        <v>0.17441852006130704</v>
      </c>
      <c r="O2076">
        <v>0.24848956581973058</v>
      </c>
      <c r="P2076">
        <v>0.2762130744432485</v>
      </c>
    </row>
    <row r="2077" spans="13:16">
      <c r="M2077">
        <v>0.27622222142882347</v>
      </c>
      <c r="N2077">
        <v>0.17211106653737882</v>
      </c>
      <c r="O2077">
        <v>0.29542398803636744</v>
      </c>
      <c r="P2077">
        <v>0.25624272399743026</v>
      </c>
    </row>
    <row r="2078" spans="13:16">
      <c r="M2078">
        <v>0.29801871709249078</v>
      </c>
      <c r="N2078">
        <v>0.18184430235319546</v>
      </c>
      <c r="O2078">
        <v>0.24887676747859183</v>
      </c>
      <c r="P2078">
        <v>0.27126021307572196</v>
      </c>
    </row>
    <row r="2079" spans="13:16">
      <c r="M2079">
        <v>0.30299115202992555</v>
      </c>
      <c r="N2079">
        <v>0.17494018309476331</v>
      </c>
      <c r="O2079">
        <v>0.25157069617253458</v>
      </c>
      <c r="P2079">
        <v>0.27049796870277659</v>
      </c>
    </row>
    <row r="2080" spans="13:16">
      <c r="M2080">
        <v>0.27190794409328028</v>
      </c>
      <c r="N2080">
        <v>0.17780152895396253</v>
      </c>
      <c r="O2080">
        <v>0.29078855111307511</v>
      </c>
      <c r="P2080">
        <v>0.25950197583968199</v>
      </c>
    </row>
    <row r="2081" spans="13:16">
      <c r="M2081">
        <v>0.28531537148931724</v>
      </c>
      <c r="N2081">
        <v>0.18863095685901823</v>
      </c>
      <c r="O2081">
        <v>0.25614193277477204</v>
      </c>
      <c r="P2081">
        <v>0.26991173887689263</v>
      </c>
    </row>
    <row r="2082" spans="13:16">
      <c r="M2082">
        <v>0.30574554717447422</v>
      </c>
      <c r="N2082">
        <v>0.18885407235993404</v>
      </c>
      <c r="O2082">
        <v>0.25021737691819312</v>
      </c>
      <c r="P2082">
        <v>0.2551830035473987</v>
      </c>
    </row>
    <row r="2083" spans="13:16">
      <c r="M2083">
        <v>0.31362799233643268</v>
      </c>
      <c r="N2083">
        <v>0.18386001055162743</v>
      </c>
      <c r="O2083">
        <v>0.26026956619618619</v>
      </c>
      <c r="P2083">
        <v>0.2422424309157537</v>
      </c>
    </row>
    <row r="2084" spans="13:16">
      <c r="M2084">
        <v>0.28387635556820695</v>
      </c>
      <c r="N2084">
        <v>0.19252642472938766</v>
      </c>
      <c r="O2084">
        <v>0.24340565307433981</v>
      </c>
      <c r="P2084">
        <v>0.2801915666280656</v>
      </c>
    </row>
    <row r="2085" spans="13:16">
      <c r="M2085">
        <v>0.28634852990261905</v>
      </c>
      <c r="N2085">
        <v>0.19994158365416367</v>
      </c>
      <c r="O2085">
        <v>0.21621147899082466</v>
      </c>
      <c r="P2085">
        <v>0.29749840745239253</v>
      </c>
    </row>
    <row r="2086" spans="13:16">
      <c r="M2086">
        <v>0.29698532705101666</v>
      </c>
      <c r="N2086">
        <v>0.18967955805423115</v>
      </c>
      <c r="O2086">
        <v>0.25022979560788083</v>
      </c>
      <c r="P2086">
        <v>0.26310531928687148</v>
      </c>
    </row>
    <row r="2087" spans="13:16">
      <c r="M2087">
        <v>0.2984887470106507</v>
      </c>
      <c r="N2087">
        <v>0.1711320125384751</v>
      </c>
      <c r="O2087">
        <v>0.2738381679932545</v>
      </c>
      <c r="P2087">
        <v>0.25654107245761965</v>
      </c>
    </row>
    <row r="2088" spans="13:16">
      <c r="M2088">
        <v>0.28201794567809935</v>
      </c>
      <c r="N2088">
        <v>0.19670745087427433</v>
      </c>
      <c r="O2088">
        <v>0.27611692143080335</v>
      </c>
      <c r="P2088">
        <v>0.24515768201682306</v>
      </c>
    </row>
    <row r="2089" spans="13:16">
      <c r="M2089">
        <v>0.27449677974252007</v>
      </c>
      <c r="N2089">
        <v>0.17313675338005619</v>
      </c>
      <c r="O2089">
        <v>0.28278350761722626</v>
      </c>
      <c r="P2089">
        <v>0.26958295926019743</v>
      </c>
    </row>
    <row r="2090" spans="13:16">
      <c r="M2090">
        <v>0.27138440565372329</v>
      </c>
      <c r="N2090">
        <v>0.18246831578315145</v>
      </c>
      <c r="O2090">
        <v>0.28665791992474593</v>
      </c>
      <c r="P2090">
        <v>0.25948935863837935</v>
      </c>
    </row>
    <row r="2091" spans="13:16">
      <c r="M2091">
        <v>0.28658359895251878</v>
      </c>
      <c r="N2091">
        <v>0.18056427726770249</v>
      </c>
      <c r="O2091">
        <v>0.2590643598314224</v>
      </c>
      <c r="P2091">
        <v>0.2737877639483563</v>
      </c>
    </row>
    <row r="2092" spans="13:16">
      <c r="M2092">
        <v>0.29871895049803177</v>
      </c>
      <c r="N2092">
        <v>0.19328380172370835</v>
      </c>
      <c r="O2092">
        <v>0.23783016082655156</v>
      </c>
      <c r="P2092">
        <v>0.27016708695170832</v>
      </c>
    </row>
    <row r="2093" spans="13:16">
      <c r="M2093">
        <v>0.28506300437241561</v>
      </c>
      <c r="N2093">
        <v>0.19201859089933385</v>
      </c>
      <c r="O2093">
        <v>0.26653767437044829</v>
      </c>
      <c r="P2093">
        <v>0.25638073035780229</v>
      </c>
    </row>
    <row r="2094" spans="13:16">
      <c r="M2094">
        <v>0.26595546492367766</v>
      </c>
      <c r="N2094">
        <v>0.19994076626739746</v>
      </c>
      <c r="O2094">
        <v>0.2711206037913591</v>
      </c>
      <c r="P2094">
        <v>0.2629831650175658</v>
      </c>
    </row>
    <row r="2095" spans="13:16">
      <c r="M2095">
        <v>0.30850180117156084</v>
      </c>
      <c r="N2095">
        <v>0.18600908737818861</v>
      </c>
      <c r="O2095">
        <v>0.24869620645510515</v>
      </c>
      <c r="P2095">
        <v>0.25679290499514534</v>
      </c>
    </row>
    <row r="2096" spans="13:16">
      <c r="M2096">
        <v>0.28234473075600242</v>
      </c>
      <c r="N2096">
        <v>0.19864055629063609</v>
      </c>
      <c r="O2096">
        <v>0.25498622776140373</v>
      </c>
      <c r="P2096">
        <v>0.26402848519195776</v>
      </c>
    </row>
    <row r="2097" spans="13:16">
      <c r="M2097">
        <v>0.2690071778871872</v>
      </c>
      <c r="N2097">
        <v>0.19385000448697023</v>
      </c>
      <c r="O2097">
        <v>0.26378891841053786</v>
      </c>
      <c r="P2097">
        <v>0.27335389921530456</v>
      </c>
    </row>
    <row r="2098" spans="13:16">
      <c r="M2098">
        <v>0.28591109703591189</v>
      </c>
      <c r="N2098">
        <v>0.18681411832247238</v>
      </c>
      <c r="O2098">
        <v>0.26754398226410481</v>
      </c>
      <c r="P2098">
        <v>0.25973080237751106</v>
      </c>
    </row>
    <row r="2099" spans="13:16">
      <c r="M2099">
        <v>0.27728199013395083</v>
      </c>
      <c r="N2099">
        <v>0.17631932157093869</v>
      </c>
      <c r="O2099">
        <v>0.28221871393481796</v>
      </c>
      <c r="P2099">
        <v>0.26417997436029256</v>
      </c>
    </row>
    <row r="2100" spans="13:16">
      <c r="M2100">
        <v>0.26164181733444075</v>
      </c>
      <c r="N2100">
        <v>0.19829972644097257</v>
      </c>
      <c r="O2100">
        <v>0.26235653846222645</v>
      </c>
      <c r="P2100">
        <v>0.2777019177623602</v>
      </c>
    </row>
    <row r="2101" spans="13:16">
      <c r="M2101">
        <v>0.31364363277223301</v>
      </c>
      <c r="N2101">
        <v>0.15974279629580843</v>
      </c>
      <c r="O2101">
        <v>0.28401431437679214</v>
      </c>
      <c r="P2101">
        <v>0.24259925655516648</v>
      </c>
    </row>
    <row r="2102" spans="13:16">
      <c r="M2102">
        <v>0.28846027675636693</v>
      </c>
      <c r="N2102">
        <v>0.1890604127012048</v>
      </c>
      <c r="O2102">
        <v>0.24280699759927471</v>
      </c>
      <c r="P2102">
        <v>0.27967231294315359</v>
      </c>
    </row>
    <row r="2103" spans="13:16">
      <c r="M2103">
        <v>0.28746184099338606</v>
      </c>
      <c r="N2103">
        <v>0.18274184030259155</v>
      </c>
      <c r="O2103">
        <v>0.27346129339063208</v>
      </c>
      <c r="P2103">
        <v>0.25633502531339036</v>
      </c>
    </row>
    <row r="2104" spans="13:16">
      <c r="M2104">
        <v>0.30483970211783828</v>
      </c>
      <c r="N2104">
        <v>0.18616424431840597</v>
      </c>
      <c r="O2104">
        <v>0.26114288326224694</v>
      </c>
      <c r="P2104">
        <v>0.24785317030150872</v>
      </c>
    </row>
    <row r="2105" spans="13:16">
      <c r="M2105">
        <v>0.29000447801294049</v>
      </c>
      <c r="N2105">
        <v>0.16864814673006084</v>
      </c>
      <c r="O2105">
        <v>0.28808389969644727</v>
      </c>
      <c r="P2105">
        <v>0.25326347556055134</v>
      </c>
    </row>
    <row r="2106" spans="13:16">
      <c r="M2106">
        <v>0.28508400508224091</v>
      </c>
      <c r="N2106">
        <v>0.17618281188382984</v>
      </c>
      <c r="O2106">
        <v>0.28711314561036</v>
      </c>
      <c r="P2106">
        <v>0.2516200374235692</v>
      </c>
    </row>
    <row r="2107" spans="13:16">
      <c r="M2107">
        <v>0.25826063499159124</v>
      </c>
      <c r="N2107">
        <v>0.19090829040161716</v>
      </c>
      <c r="O2107">
        <v>0.2912619677734099</v>
      </c>
      <c r="P2107">
        <v>0.25956910683338169</v>
      </c>
    </row>
    <row r="2108" spans="13:16">
      <c r="M2108">
        <v>0.31974343012426437</v>
      </c>
      <c r="N2108">
        <v>0.18043191149281368</v>
      </c>
      <c r="O2108">
        <v>0.23320301702935861</v>
      </c>
      <c r="P2108">
        <v>0.26662164135356331</v>
      </c>
    </row>
    <row r="2109" spans="13:16">
      <c r="M2109">
        <v>0.32160628429418103</v>
      </c>
      <c r="N2109">
        <v>0.20072619787767526</v>
      </c>
      <c r="O2109">
        <v>0.20949293834758764</v>
      </c>
      <c r="P2109">
        <v>0.26817457948055601</v>
      </c>
    </row>
    <row r="2110" spans="13:16">
      <c r="M2110">
        <v>0.288822847331827</v>
      </c>
      <c r="N2110">
        <v>0.20216866684872284</v>
      </c>
      <c r="O2110">
        <v>0.21500062731135527</v>
      </c>
      <c r="P2110">
        <v>0.29400785850809491</v>
      </c>
    </row>
    <row r="2111" spans="13:16">
      <c r="M2111">
        <v>0.28372448629575453</v>
      </c>
      <c r="N2111">
        <v>0.21600764830982566</v>
      </c>
      <c r="O2111">
        <v>0.22284779353519832</v>
      </c>
      <c r="P2111">
        <v>0.27742007185922141</v>
      </c>
    </row>
    <row r="2112" spans="13:16">
      <c r="M2112">
        <v>0.27210395700041362</v>
      </c>
      <c r="N2112">
        <v>0.18923278896524454</v>
      </c>
      <c r="O2112">
        <v>0.2742611445586301</v>
      </c>
      <c r="P2112">
        <v>0.26440210947571163</v>
      </c>
    </row>
    <row r="2113" spans="13:16">
      <c r="M2113">
        <v>0.31190302569860562</v>
      </c>
      <c r="N2113">
        <v>0.20472197567307629</v>
      </c>
      <c r="O2113">
        <v>0.20683693967484151</v>
      </c>
      <c r="P2113">
        <v>0.27653805895347655</v>
      </c>
    </row>
    <row r="2114" spans="13:16">
      <c r="M2114">
        <v>0.27514084826293683</v>
      </c>
      <c r="N2114">
        <v>0.1908944843077037</v>
      </c>
      <c r="O2114">
        <v>0.27281471052237699</v>
      </c>
      <c r="P2114">
        <v>0.26114995690698234</v>
      </c>
    </row>
    <row r="2115" spans="13:16">
      <c r="M2115">
        <v>0.32535580688468635</v>
      </c>
      <c r="N2115">
        <v>0.19484885738134941</v>
      </c>
      <c r="O2115">
        <v>0.22076660560994857</v>
      </c>
      <c r="P2115">
        <v>0.25902873012401562</v>
      </c>
    </row>
    <row r="2116" spans="13:16">
      <c r="M2116">
        <v>0.28696960479908928</v>
      </c>
      <c r="N2116">
        <v>0.20041759559585451</v>
      </c>
      <c r="O2116">
        <v>0.25234029663444374</v>
      </c>
      <c r="P2116">
        <v>0.26027250297061238</v>
      </c>
    </row>
    <row r="2117" spans="13:16">
      <c r="M2117">
        <v>0.32145142026612222</v>
      </c>
      <c r="N2117">
        <v>0.16690268338051933</v>
      </c>
      <c r="O2117">
        <v>0.25656240357915944</v>
      </c>
      <c r="P2117">
        <v>0.25508349277419906</v>
      </c>
    </row>
    <row r="2118" spans="13:16">
      <c r="M2118">
        <v>0.29868996024975042</v>
      </c>
      <c r="N2118">
        <v>0.19243408775850782</v>
      </c>
      <c r="O2118">
        <v>0.24179884926938597</v>
      </c>
      <c r="P2118">
        <v>0.26707710272235569</v>
      </c>
    </row>
    <row r="2119" spans="13:16">
      <c r="M2119">
        <v>0.29308647590247267</v>
      </c>
      <c r="N2119">
        <v>0.16541343769846942</v>
      </c>
      <c r="O2119">
        <v>0.28689199856497349</v>
      </c>
      <c r="P2119">
        <v>0.25460808783408445</v>
      </c>
    </row>
    <row r="2120" spans="13:16">
      <c r="M2120">
        <v>0.30246658974291968</v>
      </c>
      <c r="N2120">
        <v>0.17018030081791538</v>
      </c>
      <c r="O2120">
        <v>0.26336114761019647</v>
      </c>
      <c r="P2120">
        <v>0.2639919618289685</v>
      </c>
    </row>
    <row r="2121" spans="13:16">
      <c r="M2121">
        <v>0.30099390002560816</v>
      </c>
      <c r="N2121">
        <v>0.1811548898330852</v>
      </c>
      <c r="O2121">
        <v>0.25702567713004637</v>
      </c>
      <c r="P2121">
        <v>0.26082553301126027</v>
      </c>
    </row>
    <row r="2122" spans="13:16">
      <c r="M2122">
        <v>0.28211999068903632</v>
      </c>
      <c r="N2122">
        <v>0.20283518658302394</v>
      </c>
      <c r="O2122">
        <v>0.23594790019449116</v>
      </c>
      <c r="P2122">
        <v>0.27909692253344859</v>
      </c>
    </row>
    <row r="2123" spans="13:16">
      <c r="M2123">
        <v>0.32088253477659917</v>
      </c>
      <c r="N2123">
        <v>0.18156269355925728</v>
      </c>
      <c r="O2123">
        <v>0.21932032469134613</v>
      </c>
      <c r="P2123">
        <v>0.27823444697279748</v>
      </c>
    </row>
    <row r="2124" spans="13:16">
      <c r="M2124">
        <v>0.29467538367289448</v>
      </c>
      <c r="N2124">
        <v>0.17142296409972166</v>
      </c>
      <c r="O2124">
        <v>0.27728705188320424</v>
      </c>
      <c r="P2124">
        <v>0.2566146003441796</v>
      </c>
    </row>
    <row r="2125" spans="13:16">
      <c r="M2125">
        <v>0.30508737229428157</v>
      </c>
      <c r="N2125">
        <v>0.19853703282832194</v>
      </c>
      <c r="O2125">
        <v>0.22280314641380913</v>
      </c>
      <c r="P2125">
        <v>0.2735724484635873</v>
      </c>
    </row>
    <row r="2126" spans="13:16">
      <c r="M2126">
        <v>0.28775697455150395</v>
      </c>
      <c r="N2126">
        <v>0.19656133017732899</v>
      </c>
      <c r="O2126">
        <v>0.23090591878955438</v>
      </c>
      <c r="P2126">
        <v>0.28477577648161262</v>
      </c>
    </row>
    <row r="2127" spans="13:16">
      <c r="M2127">
        <v>0.29073887379249219</v>
      </c>
      <c r="N2127">
        <v>0.18242420075813776</v>
      </c>
      <c r="O2127">
        <v>0.25938331161651229</v>
      </c>
      <c r="P2127">
        <v>0.26745361383285776</v>
      </c>
    </row>
    <row r="2128" spans="13:16">
      <c r="M2128">
        <v>0.29917395689135462</v>
      </c>
      <c r="N2128">
        <v>0.17058715227964963</v>
      </c>
      <c r="O2128">
        <v>0.27312431312181018</v>
      </c>
      <c r="P2128">
        <v>0.25711457770718565</v>
      </c>
    </row>
    <row r="2129" spans="13:16">
      <c r="M2129">
        <v>0.31975486557824728</v>
      </c>
      <c r="N2129">
        <v>0.18129305256124773</v>
      </c>
      <c r="O2129">
        <v>0.23873609705464593</v>
      </c>
      <c r="P2129">
        <v>0.26021598480585911</v>
      </c>
    </row>
    <row r="2130" spans="13:16">
      <c r="M2130">
        <v>0.27970975909042994</v>
      </c>
      <c r="N2130">
        <v>0.20497732016126727</v>
      </c>
      <c r="O2130">
        <v>0.2349473453403508</v>
      </c>
      <c r="P2130">
        <v>0.28036557540795204</v>
      </c>
    </row>
    <row r="2131" spans="13:16">
      <c r="M2131">
        <v>0.29378555696342573</v>
      </c>
      <c r="N2131">
        <v>0.19648413068564374</v>
      </c>
      <c r="O2131">
        <v>0.22456678083695508</v>
      </c>
      <c r="P2131">
        <v>0.28516353151397544</v>
      </c>
    </row>
    <row r="2132" spans="13:16">
      <c r="M2132">
        <v>0.30387288203066493</v>
      </c>
      <c r="N2132">
        <v>0.18619232906896327</v>
      </c>
      <c r="O2132">
        <v>0.25754478094778843</v>
      </c>
      <c r="P2132">
        <v>0.25239000795258332</v>
      </c>
    </row>
    <row r="2133" spans="13:16">
      <c r="M2133">
        <v>0.27983646612704194</v>
      </c>
      <c r="N2133">
        <v>0.19430943462809885</v>
      </c>
      <c r="O2133">
        <v>0.27325278529016228</v>
      </c>
      <c r="P2133">
        <v>0.25260131395469693</v>
      </c>
    </row>
    <row r="2134" spans="13:16">
      <c r="M2134">
        <v>0.29441817945074467</v>
      </c>
      <c r="N2134">
        <v>0.18028706471083414</v>
      </c>
      <c r="O2134">
        <v>0.26942420864115818</v>
      </c>
      <c r="P2134">
        <v>0.25587054719726288</v>
      </c>
    </row>
    <row r="2135" spans="13:16">
      <c r="M2135">
        <v>0.28113665487438871</v>
      </c>
      <c r="N2135">
        <v>0.18399095347233299</v>
      </c>
      <c r="O2135">
        <v>0.27599051949111802</v>
      </c>
      <c r="P2135">
        <v>0.25888187216216024</v>
      </c>
    </row>
    <row r="2136" spans="13:16">
      <c r="M2136">
        <v>0.32005550135508259</v>
      </c>
      <c r="N2136">
        <v>0.18594546343316129</v>
      </c>
      <c r="O2136">
        <v>0.23929095858992963</v>
      </c>
      <c r="P2136">
        <v>0.2547080766218266</v>
      </c>
    </row>
    <row r="2137" spans="13:16">
      <c r="M2137">
        <v>0.33347443531949844</v>
      </c>
      <c r="N2137">
        <v>0.1641163319223273</v>
      </c>
      <c r="O2137">
        <v>0.24790591630989695</v>
      </c>
      <c r="P2137">
        <v>0.25450331644827739</v>
      </c>
    </row>
    <row r="2138" spans="13:16">
      <c r="M2138">
        <v>0.30926697188269081</v>
      </c>
      <c r="N2138">
        <v>0.17852360289253166</v>
      </c>
      <c r="O2138">
        <v>0.24796121421085771</v>
      </c>
      <c r="P2138">
        <v>0.26424821101391988</v>
      </c>
    </row>
    <row r="2139" spans="13:16">
      <c r="M2139">
        <v>0.26559246587423102</v>
      </c>
      <c r="N2139">
        <v>0.18974832068055797</v>
      </c>
      <c r="O2139">
        <v>0.26471849802249287</v>
      </c>
      <c r="P2139">
        <v>0.27994071542271803</v>
      </c>
    </row>
    <row r="2140" spans="13:16">
      <c r="M2140">
        <v>0.28405878075761337</v>
      </c>
      <c r="N2140">
        <v>0.20534119845857352</v>
      </c>
      <c r="O2140">
        <v>0.23843784152988975</v>
      </c>
      <c r="P2140">
        <v>0.27216217925392339</v>
      </c>
    </row>
    <row r="2141" spans="13:16">
      <c r="M2141">
        <v>0.28402222727924925</v>
      </c>
      <c r="N2141">
        <v>0.18101606055997574</v>
      </c>
      <c r="O2141">
        <v>0.25824351349060815</v>
      </c>
      <c r="P2141">
        <v>0.27671819867016678</v>
      </c>
    </row>
    <row r="2142" spans="13:16">
      <c r="M2142">
        <v>0.31882889188924107</v>
      </c>
      <c r="N2142">
        <v>0.17890638901948944</v>
      </c>
      <c r="O2142">
        <v>0.23942723938489666</v>
      </c>
      <c r="P2142">
        <v>0.26283747970637289</v>
      </c>
    </row>
    <row r="2143" spans="13:16">
      <c r="M2143">
        <v>0.28573427819265396</v>
      </c>
      <c r="N2143">
        <v>0.18718676071931961</v>
      </c>
      <c r="O2143">
        <v>0.26120144390007177</v>
      </c>
      <c r="P2143">
        <v>0.26587751718795455</v>
      </c>
    </row>
    <row r="2144" spans="13:16">
      <c r="M2144">
        <v>0.29413222311673037</v>
      </c>
      <c r="N2144">
        <v>0.18111561164265014</v>
      </c>
      <c r="O2144">
        <v>0.26210411432346264</v>
      </c>
      <c r="P2144">
        <v>0.26264805091715676</v>
      </c>
    </row>
    <row r="2145" spans="13:16">
      <c r="M2145">
        <v>0.32456704616367488</v>
      </c>
      <c r="N2145">
        <v>0.18696307771563531</v>
      </c>
      <c r="O2145">
        <v>0.21601081103018052</v>
      </c>
      <c r="P2145">
        <v>0.27245906509050943</v>
      </c>
    </row>
    <row r="2146" spans="13:16">
      <c r="M2146">
        <v>0.29150148047323632</v>
      </c>
      <c r="N2146">
        <v>0.16975700761636231</v>
      </c>
      <c r="O2146">
        <v>0.2889673418362933</v>
      </c>
      <c r="P2146">
        <v>0.24977417007410802</v>
      </c>
    </row>
    <row r="2147" spans="13:16">
      <c r="M2147">
        <v>0.27366540605399758</v>
      </c>
      <c r="N2147">
        <v>0.19425403807984407</v>
      </c>
      <c r="O2147">
        <v>0.2624721270623514</v>
      </c>
      <c r="P2147">
        <v>0.26960842880380703</v>
      </c>
    </row>
    <row r="2148" spans="13:16">
      <c r="M2148">
        <v>0.32828498691336994</v>
      </c>
      <c r="N2148">
        <v>0.1670461117683468</v>
      </c>
      <c r="O2148">
        <v>0.24753341272463938</v>
      </c>
      <c r="P2148">
        <v>0.25713548859364399</v>
      </c>
    </row>
    <row r="2149" spans="13:16">
      <c r="M2149">
        <v>0.28953630631159077</v>
      </c>
      <c r="N2149">
        <v>0.1788903361834529</v>
      </c>
      <c r="O2149">
        <v>0.26539527983218431</v>
      </c>
      <c r="P2149">
        <v>0.26617807767277202</v>
      </c>
    </row>
    <row r="2150" spans="13:16">
      <c r="M2150">
        <v>0.28397564338467979</v>
      </c>
      <c r="N2150">
        <v>0.19214108515832726</v>
      </c>
      <c r="O2150">
        <v>0.25686689857386619</v>
      </c>
      <c r="P2150">
        <v>0.26701637288312674</v>
      </c>
    </row>
    <row r="2151" spans="13:16">
      <c r="M2151">
        <v>0.29628512874482821</v>
      </c>
      <c r="N2151">
        <v>0.20537828980483241</v>
      </c>
      <c r="O2151">
        <v>0.23870603112258518</v>
      </c>
      <c r="P2151">
        <v>0.25963055032775434</v>
      </c>
    </row>
    <row r="2152" spans="13:16">
      <c r="M2152">
        <v>0.28490579570993041</v>
      </c>
      <c r="N2152">
        <v>0.18649854542769501</v>
      </c>
      <c r="O2152">
        <v>0.24512876097122865</v>
      </c>
      <c r="P2152">
        <v>0.28346689789114587</v>
      </c>
    </row>
    <row r="2153" spans="13:16">
      <c r="M2153">
        <v>0.27954448783111097</v>
      </c>
      <c r="N2153">
        <v>0.19480364226845287</v>
      </c>
      <c r="O2153">
        <v>0.25493348749950673</v>
      </c>
      <c r="P2153">
        <v>0.27071838240092944</v>
      </c>
    </row>
    <row r="2154" spans="13:16">
      <c r="M2154">
        <v>0.3014094904802414</v>
      </c>
      <c r="N2154">
        <v>0.1813046045858496</v>
      </c>
      <c r="O2154">
        <v>0.26583652608579489</v>
      </c>
      <c r="P2154">
        <v>0.25144937884811414</v>
      </c>
    </row>
    <row r="2155" spans="13:16">
      <c r="M2155">
        <v>0.28904019527005448</v>
      </c>
      <c r="N2155">
        <v>0.18107771746004644</v>
      </c>
      <c r="O2155">
        <v>0.25475087386477019</v>
      </c>
      <c r="P2155">
        <v>0.27513121340512897</v>
      </c>
    </row>
    <row r="2156" spans="13:16">
      <c r="M2156">
        <v>0.28622634136087205</v>
      </c>
      <c r="N2156">
        <v>0.18458144316463423</v>
      </c>
      <c r="O2156">
        <v>0.28046145852079396</v>
      </c>
      <c r="P2156">
        <v>0.24873075695369978</v>
      </c>
    </row>
    <row r="2157" spans="13:16">
      <c r="M2157">
        <v>0.27335950294458511</v>
      </c>
      <c r="N2157">
        <v>0.17518815841906304</v>
      </c>
      <c r="O2157">
        <v>0.28422049882624079</v>
      </c>
      <c r="P2157">
        <v>0.26723183981011112</v>
      </c>
    </row>
    <row r="2158" spans="13:16">
      <c r="M2158">
        <v>0.29955433483999411</v>
      </c>
      <c r="N2158">
        <v>0.17831815324773465</v>
      </c>
      <c r="O2158">
        <v>0.26281490338035757</v>
      </c>
      <c r="P2158">
        <v>0.25931260853191374</v>
      </c>
    </row>
    <row r="2159" spans="13:16">
      <c r="M2159">
        <v>0.28114595829164268</v>
      </c>
      <c r="N2159">
        <v>0.20778638567216728</v>
      </c>
      <c r="O2159">
        <v>0.25381629948392853</v>
      </c>
      <c r="P2159">
        <v>0.2572513565522615</v>
      </c>
    </row>
    <row r="2160" spans="13:16">
      <c r="M2160">
        <v>0.27943599927931023</v>
      </c>
      <c r="N2160">
        <v>0.1828515690211254</v>
      </c>
      <c r="O2160">
        <v>0.25565573579357803</v>
      </c>
      <c r="P2160">
        <v>0.28205669590598637</v>
      </c>
    </row>
    <row r="2161" spans="13:16">
      <c r="M2161">
        <v>0.28485156339371914</v>
      </c>
      <c r="N2161">
        <v>0.18541211790752068</v>
      </c>
      <c r="O2161">
        <v>0.25040738382933886</v>
      </c>
      <c r="P2161">
        <v>0.27932893486942134</v>
      </c>
    </row>
    <row r="2162" spans="13:16">
      <c r="M2162">
        <v>0.32016758443846649</v>
      </c>
      <c r="N2162">
        <v>0.17913672125841579</v>
      </c>
      <c r="O2162">
        <v>0.2460597901877121</v>
      </c>
      <c r="P2162">
        <v>0.25463590411540554</v>
      </c>
    </row>
    <row r="2163" spans="13:16">
      <c r="M2163">
        <v>0.28293799099224393</v>
      </c>
      <c r="N2163">
        <v>0.20650235238401995</v>
      </c>
      <c r="O2163">
        <v>0.2449469295054762</v>
      </c>
      <c r="P2163">
        <v>0.26561272711825989</v>
      </c>
    </row>
    <row r="2164" spans="13:16">
      <c r="M2164">
        <v>0.30454682105804926</v>
      </c>
      <c r="N2164">
        <v>0.19824240749405717</v>
      </c>
      <c r="O2164">
        <v>0.23187288421466423</v>
      </c>
      <c r="P2164">
        <v>0.26533788723322926</v>
      </c>
    </row>
    <row r="2165" spans="13:16">
      <c r="M2165">
        <v>0.31402894015440036</v>
      </c>
      <c r="N2165">
        <v>0.16408578367062029</v>
      </c>
      <c r="O2165">
        <v>0.27032237734358838</v>
      </c>
      <c r="P2165">
        <v>0.25156289883139088</v>
      </c>
    </row>
    <row r="2166" spans="13:16">
      <c r="M2166">
        <v>0.30464484455004248</v>
      </c>
      <c r="N2166">
        <v>0.16968308237961185</v>
      </c>
      <c r="O2166">
        <v>0.28104192216520468</v>
      </c>
      <c r="P2166">
        <v>0.24463015090514106</v>
      </c>
    </row>
    <row r="2167" spans="13:16">
      <c r="M2167">
        <v>0.26649362095873902</v>
      </c>
      <c r="N2167">
        <v>0.18564163991686736</v>
      </c>
      <c r="O2167">
        <v>0.28135466094905504</v>
      </c>
      <c r="P2167">
        <v>0.26651007817533867</v>
      </c>
    </row>
    <row r="2168" spans="13:16">
      <c r="M2168">
        <v>0.30895230739158042</v>
      </c>
      <c r="N2168">
        <v>0.16938576650986084</v>
      </c>
      <c r="O2168">
        <v>0.24731657553892936</v>
      </c>
      <c r="P2168">
        <v>0.27434535055962939</v>
      </c>
    </row>
    <row r="2169" spans="13:16">
      <c r="M2169">
        <v>0.30701071654687484</v>
      </c>
      <c r="N2169">
        <v>0.17015338571600708</v>
      </c>
      <c r="O2169">
        <v>0.26406588467878839</v>
      </c>
      <c r="P2169">
        <v>0.2587700130583297</v>
      </c>
    </row>
    <row r="2170" spans="13:16">
      <c r="M2170">
        <v>0.30397036994827381</v>
      </c>
      <c r="N2170">
        <v>0.18756951214857939</v>
      </c>
      <c r="O2170">
        <v>0.23896736017997922</v>
      </c>
      <c r="P2170">
        <v>0.26949275772316755</v>
      </c>
    </row>
    <row r="2171" spans="13:16">
      <c r="M2171">
        <v>0.27755959802198327</v>
      </c>
      <c r="N2171">
        <v>0.18151218263930494</v>
      </c>
      <c r="O2171">
        <v>0.28778442331352877</v>
      </c>
      <c r="P2171">
        <v>0.25314379602518317</v>
      </c>
    </row>
    <row r="2172" spans="13:16">
      <c r="M2172">
        <v>0.29721974848773608</v>
      </c>
      <c r="N2172">
        <v>0.18896057566625454</v>
      </c>
      <c r="O2172">
        <v>0.25223621428790449</v>
      </c>
      <c r="P2172">
        <v>0.2615834615581048</v>
      </c>
    </row>
    <row r="2173" spans="13:16">
      <c r="M2173">
        <v>0.26338226893108713</v>
      </c>
      <c r="N2173">
        <v>0.19154453544379893</v>
      </c>
      <c r="O2173">
        <v>0.26371962598182747</v>
      </c>
      <c r="P2173">
        <v>0.28135356964328651</v>
      </c>
    </row>
    <row r="2174" spans="13:16">
      <c r="M2174">
        <v>0.26396430385055841</v>
      </c>
      <c r="N2174">
        <v>0.19974620184378961</v>
      </c>
      <c r="O2174">
        <v>0.2615281590518484</v>
      </c>
      <c r="P2174">
        <v>0.27476133525380347</v>
      </c>
    </row>
    <row r="2175" spans="13:16">
      <c r="M2175">
        <v>0.29367027582320604</v>
      </c>
      <c r="N2175">
        <v>0.16442178817526182</v>
      </c>
      <c r="O2175">
        <v>0.30009271812421995</v>
      </c>
      <c r="P2175">
        <v>0.24181521787731217</v>
      </c>
    </row>
    <row r="2176" spans="13:16">
      <c r="M2176">
        <v>0.30467962811330751</v>
      </c>
      <c r="N2176">
        <v>0.18010925086243829</v>
      </c>
      <c r="O2176">
        <v>0.24788297311391561</v>
      </c>
      <c r="P2176">
        <v>0.2673281479103386</v>
      </c>
    </row>
    <row r="2177" spans="13:16">
      <c r="M2177">
        <v>0.32945052124012325</v>
      </c>
      <c r="N2177">
        <v>0.17477763875004981</v>
      </c>
      <c r="O2177">
        <v>0.23007624257224052</v>
      </c>
      <c r="P2177">
        <v>0.26569559743758636</v>
      </c>
    </row>
    <row r="2178" spans="13:16">
      <c r="M2178">
        <v>0.30582144587707499</v>
      </c>
      <c r="N2178">
        <v>0.17579422839863798</v>
      </c>
      <c r="O2178">
        <v>0.25105361749798988</v>
      </c>
      <c r="P2178">
        <v>0.26733070822629706</v>
      </c>
    </row>
    <row r="2179" spans="13:16">
      <c r="M2179">
        <v>0.3055745927424704</v>
      </c>
      <c r="N2179">
        <v>0.19812989697150238</v>
      </c>
      <c r="O2179">
        <v>0.21705970209759257</v>
      </c>
      <c r="P2179">
        <v>0.27923580818843463</v>
      </c>
    </row>
    <row r="2180" spans="13:16">
      <c r="M2180">
        <v>0.290486001371353</v>
      </c>
      <c r="N2180">
        <v>0.19555253954855836</v>
      </c>
      <c r="O2180">
        <v>0.23788522365017109</v>
      </c>
      <c r="P2180">
        <v>0.27607623542991738</v>
      </c>
    </row>
    <row r="2181" spans="13:16">
      <c r="M2181">
        <v>0.27373237741465806</v>
      </c>
      <c r="N2181">
        <v>0.19003987862198177</v>
      </c>
      <c r="O2181">
        <v>0.25663131211613011</v>
      </c>
      <c r="P2181">
        <v>0.27959643184723015</v>
      </c>
    </row>
    <row r="2182" spans="13:16">
      <c r="M2182">
        <v>0.29071384662229888</v>
      </c>
      <c r="N2182">
        <v>0.19843511451134743</v>
      </c>
      <c r="O2182">
        <v>0.25689929904264402</v>
      </c>
      <c r="P2182">
        <v>0.25395173982370961</v>
      </c>
    </row>
    <row r="2183" spans="13:16">
      <c r="M2183">
        <v>0.31019111233295094</v>
      </c>
      <c r="N2183">
        <v>0.18925025731279455</v>
      </c>
      <c r="O2183">
        <v>0.24125200884432152</v>
      </c>
      <c r="P2183">
        <v>0.25930662150993311</v>
      </c>
    </row>
    <row r="2184" spans="13:16">
      <c r="M2184">
        <v>0.29112043970710694</v>
      </c>
      <c r="N2184">
        <v>0.20049065471906002</v>
      </c>
      <c r="O2184">
        <v>0.23351860259090246</v>
      </c>
      <c r="P2184">
        <v>0.27487030298293064</v>
      </c>
    </row>
    <row r="2185" spans="13:16">
      <c r="M2185">
        <v>0.27984300094210918</v>
      </c>
      <c r="N2185">
        <v>0.18803368798871381</v>
      </c>
      <c r="O2185">
        <v>0.25649356442011451</v>
      </c>
      <c r="P2185">
        <v>0.27562974664906259</v>
      </c>
    </row>
    <row r="2186" spans="13:16">
      <c r="M2186">
        <v>0.31348398024595214</v>
      </c>
      <c r="N2186">
        <v>0.17297839862310987</v>
      </c>
      <c r="O2186">
        <v>0.25526284504871682</v>
      </c>
      <c r="P2186">
        <v>0.25827477608222121</v>
      </c>
    </row>
    <row r="2187" spans="13:16">
      <c r="M2187">
        <v>0.30092570132682467</v>
      </c>
      <c r="N2187">
        <v>0.20320972915099256</v>
      </c>
      <c r="O2187">
        <v>0.22917349857089156</v>
      </c>
      <c r="P2187">
        <v>0.26669107095129113</v>
      </c>
    </row>
    <row r="2188" spans="13:16">
      <c r="M2188">
        <v>0.30891966270067844</v>
      </c>
      <c r="N2188">
        <v>0.18678691615538665</v>
      </c>
      <c r="O2188">
        <v>0.24715576045146995</v>
      </c>
      <c r="P2188">
        <v>0.2571376606924648</v>
      </c>
    </row>
    <row r="2189" spans="13:16">
      <c r="M2189">
        <v>0.33101925033325513</v>
      </c>
      <c r="N2189">
        <v>0.17501047716268098</v>
      </c>
      <c r="O2189">
        <v>0.24195553814839885</v>
      </c>
      <c r="P2189">
        <v>0.25201473435566502</v>
      </c>
    </row>
    <row r="2190" spans="13:16">
      <c r="M2190">
        <v>0.29012476850947755</v>
      </c>
      <c r="N2190">
        <v>0.20102141911435281</v>
      </c>
      <c r="O2190">
        <v>0.24963046495476271</v>
      </c>
      <c r="P2190">
        <v>0.2592233474214069</v>
      </c>
    </row>
    <row r="2191" spans="13:16">
      <c r="M2191">
        <v>0.28995155252528587</v>
      </c>
      <c r="N2191">
        <v>0.18505145129422931</v>
      </c>
      <c r="O2191">
        <v>0.25254269274068375</v>
      </c>
      <c r="P2191">
        <v>0.27245430343980104</v>
      </c>
    </row>
    <row r="2192" spans="13:16">
      <c r="M2192">
        <v>0.30983843589629839</v>
      </c>
      <c r="N2192">
        <v>0.17368324036817051</v>
      </c>
      <c r="O2192">
        <v>0.2487479100693725</v>
      </c>
      <c r="P2192">
        <v>0.26773041366615868</v>
      </c>
    </row>
    <row r="2193" spans="13:16">
      <c r="M2193">
        <v>0.311921371764246</v>
      </c>
      <c r="N2193">
        <v>0.17336051544033285</v>
      </c>
      <c r="O2193">
        <v>0.25473919422776853</v>
      </c>
      <c r="P2193">
        <v>0.25997891856765265</v>
      </c>
    </row>
    <row r="2194" spans="13:16">
      <c r="M2194">
        <v>0.31227298029289507</v>
      </c>
      <c r="N2194">
        <v>0.18002603761748451</v>
      </c>
      <c r="O2194">
        <v>0.23357122002435041</v>
      </c>
      <c r="P2194">
        <v>0.27412976206527012</v>
      </c>
    </row>
    <row r="2195" spans="13:16">
      <c r="M2195">
        <v>0.28162024568978061</v>
      </c>
      <c r="N2195">
        <v>0.19716403583352887</v>
      </c>
      <c r="O2195">
        <v>0.23900250897553355</v>
      </c>
      <c r="P2195">
        <v>0.28221320950115703</v>
      </c>
    </row>
    <row r="2196" spans="13:16">
      <c r="M2196">
        <v>0.29149549927843604</v>
      </c>
      <c r="N2196">
        <v>0.20643788444018446</v>
      </c>
      <c r="O2196">
        <v>0.23967007862769937</v>
      </c>
      <c r="P2196">
        <v>0.26239653765368004</v>
      </c>
    </row>
    <row r="2197" spans="13:16">
      <c r="M2197">
        <v>0.27628506189655305</v>
      </c>
      <c r="N2197">
        <v>0.18224593863478589</v>
      </c>
      <c r="O2197">
        <v>0.28099950171793259</v>
      </c>
      <c r="P2197">
        <v>0.26046949775072847</v>
      </c>
    </row>
    <row r="2198" spans="13:16">
      <c r="M2198">
        <v>0.27508570084068634</v>
      </c>
      <c r="N2198">
        <v>0.19586157683331951</v>
      </c>
      <c r="O2198">
        <v>0.24596591413058214</v>
      </c>
      <c r="P2198">
        <v>0.28308680819541199</v>
      </c>
    </row>
    <row r="2199" spans="13:16">
      <c r="M2199">
        <v>0.29737273074936227</v>
      </c>
      <c r="N2199">
        <v>0.19262087662780075</v>
      </c>
      <c r="O2199">
        <v>0.24771084223401657</v>
      </c>
      <c r="P2199">
        <v>0.26229555038882035</v>
      </c>
    </row>
    <row r="2200" spans="13:16">
      <c r="M2200">
        <v>0.27163768702354812</v>
      </c>
      <c r="N2200">
        <v>0.18912937541684249</v>
      </c>
      <c r="O2200">
        <v>0.27458657566196226</v>
      </c>
      <c r="P2200">
        <v>0.26464636189764712</v>
      </c>
    </row>
    <row r="2201" spans="13:16">
      <c r="M2201">
        <v>0.33713890016787412</v>
      </c>
      <c r="N2201">
        <v>0.17936058679564915</v>
      </c>
      <c r="O2201">
        <v>0.21251233022634833</v>
      </c>
      <c r="P2201">
        <v>0.27098818281012838</v>
      </c>
    </row>
    <row r="2202" spans="13:16">
      <c r="M2202">
        <v>0.31166972821772831</v>
      </c>
      <c r="N2202">
        <v>0.19976386654941453</v>
      </c>
      <c r="O2202">
        <v>0.2257710887545426</v>
      </c>
      <c r="P2202">
        <v>0.26279531647831456</v>
      </c>
    </row>
    <row r="2203" spans="13:16">
      <c r="M2203">
        <v>0.32473684600618397</v>
      </c>
      <c r="N2203">
        <v>0.16842606400617183</v>
      </c>
      <c r="O2203">
        <v>0.24889882245796885</v>
      </c>
      <c r="P2203">
        <v>0.25793826752967525</v>
      </c>
    </row>
    <row r="2204" spans="13:16">
      <c r="M2204">
        <v>0.26126780224982932</v>
      </c>
      <c r="N2204">
        <v>0.19070879979426064</v>
      </c>
      <c r="O2204">
        <v>0.29486619054031671</v>
      </c>
      <c r="P2204">
        <v>0.25315720741559344</v>
      </c>
    </row>
    <row r="2205" spans="13:16">
      <c r="M2205">
        <v>0.29624449523648244</v>
      </c>
      <c r="N2205">
        <v>0.1941758820656049</v>
      </c>
      <c r="O2205">
        <v>0.23759343792742202</v>
      </c>
      <c r="P2205">
        <v>0.27198618477049058</v>
      </c>
    </row>
    <row r="2206" spans="13:16">
      <c r="M2206">
        <v>0.28785365730645457</v>
      </c>
      <c r="N2206">
        <v>0.17708175714380481</v>
      </c>
      <c r="O2206">
        <v>0.27364185557942355</v>
      </c>
      <c r="P2206">
        <v>0.26142272997031707</v>
      </c>
    </row>
    <row r="2207" spans="13:16">
      <c r="M2207">
        <v>0.27473130554087832</v>
      </c>
      <c r="N2207">
        <v>0.17655001090290426</v>
      </c>
      <c r="O2207">
        <v>0.281130674948954</v>
      </c>
      <c r="P2207">
        <v>0.26758800860726345</v>
      </c>
    </row>
    <row r="2208" spans="13:16">
      <c r="M2208">
        <v>0.32414944520633149</v>
      </c>
      <c r="N2208">
        <v>0.16500085853727156</v>
      </c>
      <c r="O2208">
        <v>0.26519505407490657</v>
      </c>
      <c r="P2208">
        <v>0.24565464218149038</v>
      </c>
    </row>
    <row r="2209" spans="13:16">
      <c r="M2209">
        <v>0.27145548564040833</v>
      </c>
      <c r="N2209">
        <v>0.21169595576523395</v>
      </c>
      <c r="O2209">
        <v>0.23291800472998553</v>
      </c>
      <c r="P2209">
        <v>0.2839305538643721</v>
      </c>
    </row>
    <row r="2210" spans="13:16">
      <c r="M2210">
        <v>0.29727067756955333</v>
      </c>
      <c r="N2210">
        <v>0.15998968139661787</v>
      </c>
      <c r="O2210">
        <v>0.30572380655237796</v>
      </c>
      <c r="P2210">
        <v>0.23701583448145097</v>
      </c>
    </row>
    <row r="2211" spans="13:16">
      <c r="M2211">
        <v>0.26944921931802984</v>
      </c>
      <c r="N2211">
        <v>0.18897899838546725</v>
      </c>
      <c r="O2211">
        <v>0.288812163974765</v>
      </c>
      <c r="P2211">
        <v>0.25275961832173782</v>
      </c>
    </row>
    <row r="2212" spans="13:16">
      <c r="M2212">
        <v>0.28793355793185421</v>
      </c>
      <c r="N2212">
        <v>0.19031433403210474</v>
      </c>
      <c r="O2212">
        <v>0.25815566998140033</v>
      </c>
      <c r="P2212">
        <v>0.26359643805464067</v>
      </c>
    </row>
    <row r="2213" spans="13:16">
      <c r="M2213">
        <v>0.29620740237488102</v>
      </c>
      <c r="N2213">
        <v>0.19796715840618143</v>
      </c>
      <c r="O2213">
        <v>0.22952904913293704</v>
      </c>
      <c r="P2213">
        <v>0.27629639008600054</v>
      </c>
    </row>
    <row r="2214" spans="13:16">
      <c r="M2214">
        <v>0.32592842561597268</v>
      </c>
      <c r="N2214">
        <v>0.1868985674516212</v>
      </c>
      <c r="O2214">
        <v>0.22987511807239983</v>
      </c>
      <c r="P2214">
        <v>0.25729788886000626</v>
      </c>
    </row>
    <row r="2215" spans="13:16">
      <c r="M2215">
        <v>0.29469924547189247</v>
      </c>
      <c r="N2215">
        <v>0.19723802771400312</v>
      </c>
      <c r="O2215">
        <v>0.22941048570390021</v>
      </c>
      <c r="P2215">
        <v>0.2786522411102042</v>
      </c>
    </row>
    <row r="2216" spans="13:16">
      <c r="M2216">
        <v>0.32597080946350293</v>
      </c>
      <c r="N2216">
        <v>0.17834022682847694</v>
      </c>
      <c r="O2216">
        <v>0.24171828846048768</v>
      </c>
      <c r="P2216">
        <v>0.25397067524753253</v>
      </c>
    </row>
    <row r="2217" spans="13:16">
      <c r="M2217">
        <v>0.29775006545841248</v>
      </c>
      <c r="N2217">
        <v>0.19354809101474207</v>
      </c>
      <c r="O2217">
        <v>0.26389648679758554</v>
      </c>
      <c r="P2217">
        <v>0.24480535672925996</v>
      </c>
    </row>
    <row r="2218" spans="13:16">
      <c r="M2218">
        <v>0.30226284951913363</v>
      </c>
      <c r="N2218">
        <v>0.17825857336568404</v>
      </c>
      <c r="O2218">
        <v>0.25020604063730401</v>
      </c>
      <c r="P2218">
        <v>0.2692725364778783</v>
      </c>
    </row>
    <row r="2219" spans="13:16">
      <c r="M2219">
        <v>0.31862451672539904</v>
      </c>
      <c r="N2219">
        <v>0.18874486823984996</v>
      </c>
      <c r="O2219">
        <v>0.24100067822583557</v>
      </c>
      <c r="P2219">
        <v>0.25162993680891549</v>
      </c>
    </row>
    <row r="2220" spans="13:16">
      <c r="M2220">
        <v>0.28893967878733245</v>
      </c>
      <c r="N2220">
        <v>0.18156266003104093</v>
      </c>
      <c r="O2220">
        <v>0.28099621868746777</v>
      </c>
      <c r="P2220">
        <v>0.24850144249415893</v>
      </c>
    </row>
    <row r="2221" spans="13:16">
      <c r="M2221">
        <v>0.28556883261433358</v>
      </c>
      <c r="N2221">
        <v>0.1754550185909543</v>
      </c>
      <c r="O2221">
        <v>0.28544875020579624</v>
      </c>
      <c r="P2221">
        <v>0.25352739858891582</v>
      </c>
    </row>
    <row r="2222" spans="13:16">
      <c r="M2222">
        <v>0.32265463415130691</v>
      </c>
      <c r="N2222">
        <v>0.17432379370734963</v>
      </c>
      <c r="O2222">
        <v>0.24415888263159699</v>
      </c>
      <c r="P2222">
        <v>0.25886268950974661</v>
      </c>
    </row>
    <row r="2223" spans="13:16">
      <c r="M2223">
        <v>0.29509330645052378</v>
      </c>
      <c r="N2223">
        <v>0.18573104254221137</v>
      </c>
      <c r="O2223">
        <v>0.26272951857454219</v>
      </c>
      <c r="P2223">
        <v>0.25644613243272268</v>
      </c>
    </row>
    <row r="2224" spans="13:16">
      <c r="M2224">
        <v>0.26731324251963362</v>
      </c>
      <c r="N2224">
        <v>0.20427670962867719</v>
      </c>
      <c r="O2224">
        <v>0.25081943117313399</v>
      </c>
      <c r="P2224">
        <v>0.27759061667855522</v>
      </c>
    </row>
    <row r="2225" spans="13:16">
      <c r="M2225">
        <v>0.33290667163561505</v>
      </c>
      <c r="N2225">
        <v>0.18170925378394479</v>
      </c>
      <c r="O2225">
        <v>0.22083372570323159</v>
      </c>
      <c r="P2225">
        <v>0.26455034887720863</v>
      </c>
    </row>
    <row r="2226" spans="13:16">
      <c r="M2226">
        <v>0.33156730907643978</v>
      </c>
      <c r="N2226">
        <v>0.1698922914274687</v>
      </c>
      <c r="O2226">
        <v>0.22884770033759894</v>
      </c>
      <c r="P2226">
        <v>0.26969269915849253</v>
      </c>
    </row>
    <row r="2227" spans="13:16">
      <c r="M2227">
        <v>0.29227573191800532</v>
      </c>
      <c r="N2227">
        <v>0.18797896391757615</v>
      </c>
      <c r="O2227">
        <v>0.26184550686337099</v>
      </c>
      <c r="P2227">
        <v>0.25789979730104751</v>
      </c>
    </row>
    <row r="2228" spans="13:16">
      <c r="M2228">
        <v>0.28896666897088202</v>
      </c>
      <c r="N2228">
        <v>0.20189363643516614</v>
      </c>
      <c r="O2228">
        <v>0.2207550027681715</v>
      </c>
      <c r="P2228">
        <v>0.28838469182578025</v>
      </c>
    </row>
    <row r="2229" spans="13:16">
      <c r="M2229">
        <v>0.28848942907500114</v>
      </c>
      <c r="N2229">
        <v>0.18438047618656406</v>
      </c>
      <c r="O2229">
        <v>0.2602126512191596</v>
      </c>
      <c r="P2229">
        <v>0.26691744351927521</v>
      </c>
    </row>
    <row r="2230" spans="13:16">
      <c r="M2230">
        <v>0.28160262606331826</v>
      </c>
      <c r="N2230">
        <v>0.1890346307809912</v>
      </c>
      <c r="O2230">
        <v>0.26976135410355567</v>
      </c>
      <c r="P2230">
        <v>0.25960138905213481</v>
      </c>
    </row>
    <row r="2231" spans="13:16">
      <c r="M2231">
        <v>0.30215635350566039</v>
      </c>
      <c r="N2231">
        <v>0.17796286273976297</v>
      </c>
      <c r="O2231">
        <v>0.26508294192424586</v>
      </c>
      <c r="P2231">
        <v>0.25479784183033066</v>
      </c>
    </row>
    <row r="2232" spans="13:16">
      <c r="M2232">
        <v>0.32188304990946942</v>
      </c>
      <c r="N2232">
        <v>0.17287187402460549</v>
      </c>
      <c r="O2232">
        <v>0.24044931698021157</v>
      </c>
      <c r="P2232">
        <v>0.26479575908571351</v>
      </c>
    </row>
    <row r="2233" spans="13:16">
      <c r="M2233">
        <v>0.30608755802099752</v>
      </c>
      <c r="N2233">
        <v>0.17944466820256033</v>
      </c>
      <c r="O2233">
        <v>0.27366757789286411</v>
      </c>
      <c r="P2233">
        <v>0.24080019588357815</v>
      </c>
    </row>
    <row r="2234" spans="13:16">
      <c r="M2234">
        <v>0.29877680555259345</v>
      </c>
      <c r="N2234">
        <v>0.17607151651730818</v>
      </c>
      <c r="O2234">
        <v>0.26210876627984703</v>
      </c>
      <c r="P2234">
        <v>0.26304291165025134</v>
      </c>
    </row>
    <row r="2235" spans="13:16">
      <c r="M2235">
        <v>0.301577845758703</v>
      </c>
      <c r="N2235">
        <v>0.19189599201529484</v>
      </c>
      <c r="O2235">
        <v>0.25424903738202287</v>
      </c>
      <c r="P2235">
        <v>0.25227712484397929</v>
      </c>
    </row>
    <row r="2236" spans="13:16">
      <c r="M2236">
        <v>0.28347288068808968</v>
      </c>
      <c r="N2236">
        <v>0.18587274667586662</v>
      </c>
      <c r="O2236">
        <v>0.2573320745519691</v>
      </c>
      <c r="P2236">
        <v>0.27332229808407466</v>
      </c>
    </row>
    <row r="2237" spans="13:16">
      <c r="M2237">
        <v>0.28259375431862016</v>
      </c>
      <c r="N2237">
        <v>0.20694589821348533</v>
      </c>
      <c r="O2237">
        <v>0.25769349223083299</v>
      </c>
      <c r="P2237">
        <v>0.25276685523706161</v>
      </c>
    </row>
    <row r="2238" spans="13:16">
      <c r="M2238">
        <v>0.28398870133310999</v>
      </c>
      <c r="N2238">
        <v>0.19595704913088771</v>
      </c>
      <c r="O2238">
        <v>0.24775574002428544</v>
      </c>
      <c r="P2238">
        <v>0.27229850951171691</v>
      </c>
    </row>
    <row r="2239" spans="13:16">
      <c r="M2239">
        <v>0.33069269240446897</v>
      </c>
      <c r="N2239">
        <v>0.17246867412551223</v>
      </c>
      <c r="O2239">
        <v>0.22435339974183743</v>
      </c>
      <c r="P2239">
        <v>0.27248523372818134</v>
      </c>
    </row>
    <row r="2240" spans="13:16">
      <c r="M2240">
        <v>0.30485002500043762</v>
      </c>
      <c r="N2240">
        <v>0.17192815479791013</v>
      </c>
      <c r="O2240">
        <v>0.26139632683221664</v>
      </c>
      <c r="P2240">
        <v>0.26182549336943567</v>
      </c>
    </row>
    <row r="2241" spans="13:16">
      <c r="M2241">
        <v>0.28558845535542227</v>
      </c>
      <c r="N2241">
        <v>0.19566486352418208</v>
      </c>
      <c r="O2241">
        <v>0.24627451959399893</v>
      </c>
      <c r="P2241">
        <v>0.27247216152639675</v>
      </c>
    </row>
    <row r="2242" spans="13:16">
      <c r="M2242">
        <v>0.28111519685825803</v>
      </c>
      <c r="N2242">
        <v>0.19800273407691299</v>
      </c>
      <c r="O2242">
        <v>0.2346633429356455</v>
      </c>
      <c r="P2242">
        <v>0.28621872612918353</v>
      </c>
    </row>
    <row r="2243" spans="13:16">
      <c r="M2243">
        <v>0.29496137012613594</v>
      </c>
      <c r="N2243">
        <v>0.15825837937447118</v>
      </c>
      <c r="O2243">
        <v>0.30649823133083764</v>
      </c>
      <c r="P2243">
        <v>0.24028201916855529</v>
      </c>
    </row>
    <row r="2244" spans="13:16">
      <c r="M2244">
        <v>0.26310364756740706</v>
      </c>
      <c r="N2244">
        <v>0.1733073149535091</v>
      </c>
      <c r="O2244">
        <v>0.30499305571550939</v>
      </c>
      <c r="P2244">
        <v>0.25859598176357451</v>
      </c>
    </row>
    <row r="2245" spans="13:16">
      <c r="M2245">
        <v>0.28483467323633149</v>
      </c>
      <c r="N2245">
        <v>0.19413641353182526</v>
      </c>
      <c r="O2245">
        <v>0.26513763760358849</v>
      </c>
      <c r="P2245">
        <v>0.25589127562825481</v>
      </c>
    </row>
    <row r="2246" spans="13:16">
      <c r="M2246">
        <v>0.34061640953245231</v>
      </c>
      <c r="N2246">
        <v>0.1703949236005857</v>
      </c>
      <c r="O2246">
        <v>0.2409588455897845</v>
      </c>
      <c r="P2246">
        <v>0.24802982127717757</v>
      </c>
    </row>
    <row r="2247" spans="13:16">
      <c r="M2247">
        <v>0.30674877073040624</v>
      </c>
      <c r="N2247">
        <v>0.17898032278132248</v>
      </c>
      <c r="O2247">
        <v>0.25008838072247519</v>
      </c>
      <c r="P2247">
        <v>0.26418252576579609</v>
      </c>
    </row>
    <row r="2248" spans="13:16">
      <c r="M2248">
        <v>0.30427363700907339</v>
      </c>
      <c r="N2248">
        <v>0.18890963920324597</v>
      </c>
      <c r="O2248">
        <v>0.23421537584792218</v>
      </c>
      <c r="P2248">
        <v>0.2726013479397586</v>
      </c>
    </row>
    <row r="2249" spans="13:16">
      <c r="M2249">
        <v>0.29859343982011394</v>
      </c>
      <c r="N2249">
        <v>0.20025807075672516</v>
      </c>
      <c r="O2249">
        <v>0.24220468795491162</v>
      </c>
      <c r="P2249">
        <v>0.2589438014682493</v>
      </c>
    </row>
    <row r="2250" spans="13:16">
      <c r="M2250">
        <v>0.26602662684109241</v>
      </c>
      <c r="N2250">
        <v>0.18719420750622354</v>
      </c>
      <c r="O2250">
        <v>0.28014450815044123</v>
      </c>
      <c r="P2250">
        <v>0.2666346575022428</v>
      </c>
    </row>
    <row r="2251" spans="13:16">
      <c r="M2251">
        <v>0.28302841475361423</v>
      </c>
      <c r="N2251">
        <v>0.19569115584760333</v>
      </c>
      <c r="O2251">
        <v>0.23630268531307277</v>
      </c>
      <c r="P2251">
        <v>0.28497774408570969</v>
      </c>
    </row>
    <row r="2252" spans="13:16">
      <c r="M2252">
        <v>0.28963268324204039</v>
      </c>
      <c r="N2252">
        <v>0.19609133831638378</v>
      </c>
      <c r="O2252">
        <v>0.25276682083757462</v>
      </c>
      <c r="P2252">
        <v>0.26150915760400101</v>
      </c>
    </row>
    <row r="2253" spans="13:16">
      <c r="M2253">
        <v>0.31539071849916156</v>
      </c>
      <c r="N2253">
        <v>0.17150093908222841</v>
      </c>
      <c r="O2253">
        <v>0.26342103384724164</v>
      </c>
      <c r="P2253">
        <v>0.24968730857136831</v>
      </c>
    </row>
    <row r="2254" spans="13:16">
      <c r="M2254">
        <v>0.3212375861182431</v>
      </c>
      <c r="N2254">
        <v>0.15659631216579428</v>
      </c>
      <c r="O2254">
        <v>0.28231506601981371</v>
      </c>
      <c r="P2254">
        <v>0.23985103569614899</v>
      </c>
    </row>
    <row r="2255" spans="13:16">
      <c r="M2255">
        <v>0.2871810736667294</v>
      </c>
      <c r="N2255">
        <v>0.18243010098437032</v>
      </c>
      <c r="O2255">
        <v>0.24530149304740706</v>
      </c>
      <c r="P2255">
        <v>0.2850873323014933</v>
      </c>
    </row>
    <row r="2256" spans="13:16">
      <c r="M2256">
        <v>0.29455526793976816</v>
      </c>
      <c r="N2256">
        <v>0.18890369264981771</v>
      </c>
      <c r="O2256">
        <v>0.25794228785346357</v>
      </c>
      <c r="P2256">
        <v>0.25859875155695045</v>
      </c>
    </row>
    <row r="2257" spans="13:16">
      <c r="M2257">
        <v>0.2910326069930233</v>
      </c>
      <c r="N2257">
        <v>0.16821834139549083</v>
      </c>
      <c r="O2257">
        <v>0.28450627767495501</v>
      </c>
      <c r="P2257">
        <v>0.25624277393653072</v>
      </c>
    </row>
    <row r="2258" spans="13:16">
      <c r="M2258">
        <v>0.2796544841353143</v>
      </c>
      <c r="N2258">
        <v>0.19656414096730074</v>
      </c>
      <c r="O2258">
        <v>0.25791597756871176</v>
      </c>
      <c r="P2258">
        <v>0.26586539732867315</v>
      </c>
    </row>
    <row r="2259" spans="13:16">
      <c r="M2259">
        <v>0.26651317382450246</v>
      </c>
      <c r="N2259">
        <v>0.21376045742504546</v>
      </c>
      <c r="O2259">
        <v>0.25068403500319575</v>
      </c>
      <c r="P2259">
        <v>0.26904233374725639</v>
      </c>
    </row>
    <row r="2260" spans="13:16">
      <c r="M2260">
        <v>0.31213074647953271</v>
      </c>
      <c r="N2260">
        <v>0.18045002149240136</v>
      </c>
      <c r="O2260">
        <v>0.23935503925976939</v>
      </c>
      <c r="P2260">
        <v>0.26806419276829652</v>
      </c>
    </row>
    <row r="2261" spans="13:16">
      <c r="M2261">
        <v>0.31842635902997718</v>
      </c>
      <c r="N2261">
        <v>0.17275930338635442</v>
      </c>
      <c r="O2261">
        <v>0.25899626669816617</v>
      </c>
      <c r="P2261">
        <v>0.2498180708855022</v>
      </c>
    </row>
    <row r="2262" spans="13:16">
      <c r="M2262">
        <v>0.31914322873881434</v>
      </c>
      <c r="N2262">
        <v>0.16565049994214445</v>
      </c>
      <c r="O2262">
        <v>0.26574702142533096</v>
      </c>
      <c r="P2262">
        <v>0.24945924989371021</v>
      </c>
    </row>
    <row r="2263" spans="13:16">
      <c r="M2263">
        <v>0.2616342174391203</v>
      </c>
      <c r="N2263">
        <v>0.19884778908826839</v>
      </c>
      <c r="O2263">
        <v>0.25822315948655322</v>
      </c>
      <c r="P2263">
        <v>0.28129483398605809</v>
      </c>
    </row>
    <row r="2264" spans="13:16">
      <c r="M2264">
        <v>0.29310305647870866</v>
      </c>
      <c r="N2264">
        <v>0.19788539633663504</v>
      </c>
      <c r="O2264">
        <v>0.21909478638653015</v>
      </c>
      <c r="P2264">
        <v>0.28991676079812623</v>
      </c>
    </row>
    <row r="2265" spans="13:16">
      <c r="M2265">
        <v>0.29699048653665394</v>
      </c>
      <c r="N2265">
        <v>0.18070257914772239</v>
      </c>
      <c r="O2265">
        <v>0.26295568409232367</v>
      </c>
      <c r="P2265">
        <v>0.25935125022329997</v>
      </c>
    </row>
    <row r="2266" spans="13:16">
      <c r="M2266">
        <v>0.28276700527108517</v>
      </c>
      <c r="N2266">
        <v>0.18999217879371869</v>
      </c>
      <c r="O2266">
        <v>0.27866536720605034</v>
      </c>
      <c r="P2266">
        <v>0.24857544872914569</v>
      </c>
    </row>
    <row r="2267" spans="13:16">
      <c r="M2267">
        <v>0.32189287786722059</v>
      </c>
      <c r="N2267">
        <v>0.18452506114457828</v>
      </c>
      <c r="O2267">
        <v>0.21860001381013405</v>
      </c>
      <c r="P2267">
        <v>0.27498204717806701</v>
      </c>
    </row>
    <row r="2268" spans="13:16">
      <c r="M2268">
        <v>0.2750870073314734</v>
      </c>
      <c r="N2268">
        <v>0.20471242940202475</v>
      </c>
      <c r="O2268">
        <v>0.26452126843107748</v>
      </c>
      <c r="P2268">
        <v>0.25567929483542429</v>
      </c>
    </row>
    <row r="2269" spans="13:16">
      <c r="M2269">
        <v>0.31079251816274295</v>
      </c>
      <c r="N2269">
        <v>0.17090790653801963</v>
      </c>
      <c r="O2269">
        <v>0.26538694100048305</v>
      </c>
      <c r="P2269">
        <v>0.25291263429875449</v>
      </c>
    </row>
    <row r="2270" spans="13:16">
      <c r="M2270">
        <v>0.30432676372144701</v>
      </c>
      <c r="N2270">
        <v>0.18462297978870718</v>
      </c>
      <c r="O2270">
        <v>0.22581087248487758</v>
      </c>
      <c r="P2270">
        <v>0.28523938400496818</v>
      </c>
    </row>
    <row r="2271" spans="13:16">
      <c r="M2271">
        <v>0.28509858796738063</v>
      </c>
      <c r="N2271">
        <v>0.20731079156416457</v>
      </c>
      <c r="O2271">
        <v>0.23937459054331928</v>
      </c>
      <c r="P2271">
        <v>0.26821602992513549</v>
      </c>
    </row>
    <row r="2272" spans="13:16">
      <c r="M2272">
        <v>0.2901189668257888</v>
      </c>
      <c r="N2272">
        <v>0.18261743825715554</v>
      </c>
      <c r="O2272">
        <v>0.27393297882393386</v>
      </c>
      <c r="P2272">
        <v>0.2533306160931218</v>
      </c>
    </row>
    <row r="2273" spans="13:16">
      <c r="M2273">
        <v>0.29546604621190514</v>
      </c>
      <c r="N2273">
        <v>0.18206403975830776</v>
      </c>
      <c r="O2273">
        <v>0.2534912498517139</v>
      </c>
      <c r="P2273">
        <v>0.26897866417807331</v>
      </c>
    </row>
    <row r="2274" spans="13:16">
      <c r="M2274">
        <v>0.28492703917556317</v>
      </c>
      <c r="N2274">
        <v>0.18220561071282465</v>
      </c>
      <c r="O2274">
        <v>0.27018019972826679</v>
      </c>
      <c r="P2274">
        <v>0.26268715038334545</v>
      </c>
    </row>
    <row r="2275" spans="13:16">
      <c r="M2275">
        <v>0.32810194725416314</v>
      </c>
      <c r="N2275">
        <v>0.16453364180254096</v>
      </c>
      <c r="O2275">
        <v>0.2598698348200485</v>
      </c>
      <c r="P2275">
        <v>0.24749457612324738</v>
      </c>
    </row>
    <row r="2276" spans="13:16">
      <c r="M2276">
        <v>0.28410804239362397</v>
      </c>
      <c r="N2276">
        <v>0.17868325652333411</v>
      </c>
      <c r="O2276">
        <v>0.28725509110946135</v>
      </c>
      <c r="P2276">
        <v>0.24995360997358038</v>
      </c>
    </row>
    <row r="2277" spans="13:16">
      <c r="M2277">
        <v>0.28026070020837762</v>
      </c>
      <c r="N2277">
        <v>0.16813819888876128</v>
      </c>
      <c r="O2277">
        <v>0.29041732838481804</v>
      </c>
      <c r="P2277">
        <v>0.26118377251804303</v>
      </c>
    </row>
    <row r="2278" spans="13:16">
      <c r="M2278">
        <v>0.27124046933688972</v>
      </c>
      <c r="N2278">
        <v>0.19576168119783174</v>
      </c>
      <c r="O2278">
        <v>0.25802626548332586</v>
      </c>
      <c r="P2278">
        <v>0.27497158398195276</v>
      </c>
    </row>
    <row r="2279" spans="13:16">
      <c r="M2279">
        <v>0.29099584585751931</v>
      </c>
      <c r="N2279">
        <v>0.18211574772613184</v>
      </c>
      <c r="O2279">
        <v>0.27113818512623999</v>
      </c>
      <c r="P2279">
        <v>0.25575022129010883</v>
      </c>
    </row>
    <row r="2280" spans="13:16">
      <c r="M2280">
        <v>0.3143519040101268</v>
      </c>
      <c r="N2280">
        <v>0.19323935631309996</v>
      </c>
      <c r="O2280">
        <v>0.22329155699462563</v>
      </c>
      <c r="P2280">
        <v>0.26911718268214757</v>
      </c>
    </row>
    <row r="2281" spans="13:16">
      <c r="M2281">
        <v>0.29520938509627997</v>
      </c>
      <c r="N2281">
        <v>0.18355042426117787</v>
      </c>
      <c r="O2281">
        <v>0.24575838586498586</v>
      </c>
      <c r="P2281">
        <v>0.2754818047775564</v>
      </c>
    </row>
    <row r="2282" spans="13:16">
      <c r="M2282">
        <v>0.28642981276561835</v>
      </c>
      <c r="N2282">
        <v>0.18320232057798486</v>
      </c>
      <c r="O2282">
        <v>0.27763878356987831</v>
      </c>
      <c r="P2282">
        <v>0.25272908308651842</v>
      </c>
    </row>
    <row r="2283" spans="13:16">
      <c r="M2283">
        <v>0.3028696162140096</v>
      </c>
      <c r="N2283">
        <v>0.1939325299866394</v>
      </c>
      <c r="O2283">
        <v>0.22953487398933423</v>
      </c>
      <c r="P2283">
        <v>0.27366297981001692</v>
      </c>
    </row>
    <row r="2284" spans="13:16">
      <c r="M2284">
        <v>0.28786297879924616</v>
      </c>
      <c r="N2284">
        <v>0.17788506076645522</v>
      </c>
      <c r="O2284">
        <v>0.26832572822267559</v>
      </c>
      <c r="P2284">
        <v>0.26592623221162304</v>
      </c>
    </row>
    <row r="2285" spans="13:16">
      <c r="M2285">
        <v>0.27024118418639709</v>
      </c>
      <c r="N2285">
        <v>0.1949453106136135</v>
      </c>
      <c r="O2285">
        <v>0.26303179736358068</v>
      </c>
      <c r="P2285">
        <v>0.2717817078364087</v>
      </c>
    </row>
    <row r="2286" spans="13:16">
      <c r="M2286">
        <v>0.31870720307321171</v>
      </c>
      <c r="N2286">
        <v>0.18829322437018139</v>
      </c>
      <c r="O2286">
        <v>0.23060636739260643</v>
      </c>
      <c r="P2286">
        <v>0.26239320516400039</v>
      </c>
    </row>
    <row r="2287" spans="13:16">
      <c r="M2287">
        <v>0.27860535865490471</v>
      </c>
      <c r="N2287">
        <v>0.20667478589257804</v>
      </c>
      <c r="O2287">
        <v>0.23927603877775785</v>
      </c>
      <c r="P2287">
        <v>0.27544381667475926</v>
      </c>
    </row>
    <row r="2288" spans="13:16">
      <c r="M2288">
        <v>0.30220943629174779</v>
      </c>
      <c r="N2288">
        <v>0.19872190599387179</v>
      </c>
      <c r="O2288">
        <v>0.22525546855620218</v>
      </c>
      <c r="P2288">
        <v>0.27381318915817821</v>
      </c>
    </row>
    <row r="2289" spans="13:16">
      <c r="M2289">
        <v>0.28161573878030244</v>
      </c>
      <c r="N2289">
        <v>0.19665678248303714</v>
      </c>
      <c r="O2289">
        <v>0.25276246216214027</v>
      </c>
      <c r="P2289">
        <v>0.2689650165745201</v>
      </c>
    </row>
    <row r="2290" spans="13:16">
      <c r="M2290">
        <v>0.26642292863223699</v>
      </c>
      <c r="N2290">
        <v>0.1902048967174963</v>
      </c>
      <c r="O2290">
        <v>0.27863508715535079</v>
      </c>
      <c r="P2290">
        <v>0.26473708749491587</v>
      </c>
    </row>
    <row r="2291" spans="13:16">
      <c r="M2291">
        <v>0.28361996957049057</v>
      </c>
      <c r="N2291">
        <v>0.17123841503233517</v>
      </c>
      <c r="O2291">
        <v>0.29012429749415697</v>
      </c>
      <c r="P2291">
        <v>0.25501731790301718</v>
      </c>
    </row>
    <row r="2292" spans="13:16">
      <c r="M2292">
        <v>0.29743104150600802</v>
      </c>
      <c r="N2292">
        <v>0.17944766841848384</v>
      </c>
      <c r="O2292">
        <v>0.25217470618233423</v>
      </c>
      <c r="P2292">
        <v>0.27094658389317394</v>
      </c>
    </row>
    <row r="2293" spans="13:16">
      <c r="M2293">
        <v>0.34201712207149443</v>
      </c>
      <c r="N2293">
        <v>0.16646704682350438</v>
      </c>
      <c r="O2293">
        <v>0.23587144916410621</v>
      </c>
      <c r="P2293">
        <v>0.255644381940895</v>
      </c>
    </row>
    <row r="2294" spans="13:16">
      <c r="M2294">
        <v>0.31118097678753648</v>
      </c>
      <c r="N2294">
        <v>0.19839205192332152</v>
      </c>
      <c r="O2294">
        <v>0.23127978104923164</v>
      </c>
      <c r="P2294">
        <v>0.25914719023991034</v>
      </c>
    </row>
    <row r="2295" spans="13:16">
      <c r="M2295">
        <v>0.29958560843369092</v>
      </c>
      <c r="N2295">
        <v>0.19064153479677157</v>
      </c>
      <c r="O2295">
        <v>0.25074354569607038</v>
      </c>
      <c r="P2295">
        <v>0.25902931107346722</v>
      </c>
    </row>
    <row r="2296" spans="13:16">
      <c r="M2296">
        <v>0.28597496019949925</v>
      </c>
      <c r="N2296">
        <v>0.20597402614190716</v>
      </c>
      <c r="O2296">
        <v>0.24103775885320847</v>
      </c>
      <c r="P2296">
        <v>0.26701325480538518</v>
      </c>
    </row>
    <row r="2297" spans="13:16">
      <c r="M2297">
        <v>0.32419245952862924</v>
      </c>
      <c r="N2297">
        <v>0.16946964763661931</v>
      </c>
      <c r="O2297">
        <v>0.24057361663084234</v>
      </c>
      <c r="P2297">
        <v>0.26576427620390902</v>
      </c>
    </row>
    <row r="2298" spans="13:16">
      <c r="M2298">
        <v>0.28713974423715294</v>
      </c>
      <c r="N2298">
        <v>0.18177304829253257</v>
      </c>
      <c r="O2298">
        <v>0.26955335458143459</v>
      </c>
      <c r="P2298">
        <v>0.26153385288887987</v>
      </c>
    </row>
    <row r="2299" spans="13:16">
      <c r="M2299">
        <v>0.30226628146015289</v>
      </c>
      <c r="N2299">
        <v>0.18407963475624034</v>
      </c>
      <c r="O2299">
        <v>0.25269911860213601</v>
      </c>
      <c r="P2299">
        <v>0.26095496518147093</v>
      </c>
    </row>
    <row r="2300" spans="13:16">
      <c r="M2300">
        <v>0.29909747623077898</v>
      </c>
      <c r="N2300">
        <v>0.17638400227044945</v>
      </c>
      <c r="O2300">
        <v>0.27112594270575163</v>
      </c>
      <c r="P2300">
        <v>0.25339257879301991</v>
      </c>
    </row>
    <row r="2301" spans="13:16">
      <c r="M2301">
        <v>0.30684175327198349</v>
      </c>
      <c r="N2301">
        <v>0.20415518732122734</v>
      </c>
      <c r="O2301">
        <v>0.22166278170975462</v>
      </c>
      <c r="P2301">
        <v>0.26734027769703445</v>
      </c>
    </row>
    <row r="2302" spans="13:16">
      <c r="M2302">
        <v>0.26856752390807076</v>
      </c>
      <c r="N2302">
        <v>0.19093394350221968</v>
      </c>
      <c r="O2302">
        <v>0.27025038293006298</v>
      </c>
      <c r="P2302">
        <v>0.2702481496596465</v>
      </c>
    </row>
    <row r="2303" spans="13:16">
      <c r="M2303">
        <v>0.31549996838315908</v>
      </c>
      <c r="N2303">
        <v>0.17816677172465628</v>
      </c>
      <c r="O2303">
        <v>0.2361284712099955</v>
      </c>
      <c r="P2303">
        <v>0.27020478868218917</v>
      </c>
    </row>
    <row r="2304" spans="13:16">
      <c r="M2304">
        <v>0.30265987818362855</v>
      </c>
      <c r="N2304">
        <v>0.1753477588896997</v>
      </c>
      <c r="O2304">
        <v>0.27395858187095651</v>
      </c>
      <c r="P2304">
        <v>0.24803378105571522</v>
      </c>
    </row>
    <row r="2305" spans="13:16">
      <c r="M2305">
        <v>0.28684065847239221</v>
      </c>
      <c r="N2305">
        <v>0.18279540125091234</v>
      </c>
      <c r="O2305">
        <v>0.27457996956418812</v>
      </c>
      <c r="P2305">
        <v>0.2557839707125073</v>
      </c>
    </row>
    <row r="2306" spans="13:16">
      <c r="M2306">
        <v>0.3096126369169056</v>
      </c>
      <c r="N2306">
        <v>0.17580864307162658</v>
      </c>
      <c r="O2306">
        <v>0.23896946681901279</v>
      </c>
      <c r="P2306">
        <v>0.27560925319245499</v>
      </c>
    </row>
    <row r="2307" spans="13:16">
      <c r="M2307">
        <v>0.278691496368831</v>
      </c>
      <c r="N2307">
        <v>0.20546339588636214</v>
      </c>
      <c r="O2307">
        <v>0.25462470641076862</v>
      </c>
      <c r="P2307">
        <v>0.26122040133403818</v>
      </c>
    </row>
    <row r="2308" spans="13:16">
      <c r="M2308">
        <v>0.29610477771323584</v>
      </c>
      <c r="N2308">
        <v>0.19695034009097059</v>
      </c>
      <c r="O2308">
        <v>0.25342471198188588</v>
      </c>
      <c r="P2308">
        <v>0.25352017021390766</v>
      </c>
    </row>
    <row r="2309" spans="13:16">
      <c r="M2309">
        <v>0.29669367036172634</v>
      </c>
      <c r="N2309">
        <v>0.20437274822871007</v>
      </c>
      <c r="O2309">
        <v>0.21236267156576122</v>
      </c>
      <c r="P2309">
        <v>0.28657090984380229</v>
      </c>
    </row>
    <row r="2310" spans="13:16">
      <c r="M2310">
        <v>0.30751377242219297</v>
      </c>
      <c r="N2310">
        <v>0.18708636068614004</v>
      </c>
      <c r="O2310">
        <v>0.24102559957540337</v>
      </c>
      <c r="P2310">
        <v>0.26437426731626379</v>
      </c>
    </row>
    <row r="2311" spans="13:16">
      <c r="M2311">
        <v>0.29571211546468273</v>
      </c>
      <c r="N2311">
        <v>0.2020631244686403</v>
      </c>
      <c r="O2311">
        <v>0.24459012998685162</v>
      </c>
      <c r="P2311">
        <v>0.25763463007982518</v>
      </c>
    </row>
    <row r="2312" spans="13:16">
      <c r="M2312">
        <v>0.27853131704196471</v>
      </c>
      <c r="N2312">
        <v>0.1984939684706005</v>
      </c>
      <c r="O2312">
        <v>0.26302229931625587</v>
      </c>
      <c r="P2312">
        <v>0.25995241517117895</v>
      </c>
    </row>
    <row r="2313" spans="13:16">
      <c r="M2313">
        <v>0.30345215576635487</v>
      </c>
      <c r="N2313">
        <v>0.17351732535729941</v>
      </c>
      <c r="O2313">
        <v>0.24073133806568472</v>
      </c>
      <c r="P2313">
        <v>0.28229918081066108</v>
      </c>
    </row>
    <row r="2314" spans="13:16">
      <c r="M2314">
        <v>0.30209194600409695</v>
      </c>
      <c r="N2314">
        <v>0.17556381074504104</v>
      </c>
      <c r="O2314">
        <v>0.26928057474885098</v>
      </c>
      <c r="P2314">
        <v>0.25306366850201084</v>
      </c>
    </row>
    <row r="2315" spans="13:16">
      <c r="M2315">
        <v>0.28662539662265579</v>
      </c>
      <c r="N2315">
        <v>0.19884290619568262</v>
      </c>
      <c r="O2315">
        <v>0.26051491991552866</v>
      </c>
      <c r="P2315">
        <v>0.25401677726613286</v>
      </c>
    </row>
    <row r="2316" spans="13:16">
      <c r="M2316">
        <v>0.30720092622595213</v>
      </c>
      <c r="N2316">
        <v>0.16555208346493008</v>
      </c>
      <c r="O2316">
        <v>0.28008498661365067</v>
      </c>
      <c r="P2316">
        <v>0.24716200369546709</v>
      </c>
    </row>
    <row r="2317" spans="13:16">
      <c r="M2317">
        <v>0.29022284597323034</v>
      </c>
      <c r="N2317">
        <v>0.19085596095329019</v>
      </c>
      <c r="O2317">
        <v>0.23150716219708276</v>
      </c>
      <c r="P2317">
        <v>0.28741403087639666</v>
      </c>
    </row>
    <row r="2318" spans="13:16">
      <c r="M2318">
        <v>0.29531804442987974</v>
      </c>
      <c r="N2318">
        <v>0.19760048900574315</v>
      </c>
      <c r="O2318">
        <v>0.21665499408971753</v>
      </c>
      <c r="P2318">
        <v>0.29042647247465952</v>
      </c>
    </row>
    <row r="2319" spans="13:16">
      <c r="M2319">
        <v>0.28240221189944276</v>
      </c>
      <c r="N2319">
        <v>0.17813770450353419</v>
      </c>
      <c r="O2319">
        <v>0.29182044074145691</v>
      </c>
      <c r="P2319">
        <v>0.24763964285556625</v>
      </c>
    </row>
    <row r="2320" spans="13:16">
      <c r="M2320">
        <v>0.29493321277455431</v>
      </c>
      <c r="N2320">
        <v>0.19043311800569679</v>
      </c>
      <c r="O2320">
        <v>0.23420740078933577</v>
      </c>
      <c r="P2320">
        <v>0.28042626843041313</v>
      </c>
    </row>
    <row r="2321" spans="13:16">
      <c r="M2321">
        <v>0.32025673302112551</v>
      </c>
      <c r="N2321">
        <v>0.18642817181271554</v>
      </c>
      <c r="O2321">
        <v>0.22731520298874217</v>
      </c>
      <c r="P2321">
        <v>0.26599989217741687</v>
      </c>
    </row>
    <row r="2322" spans="13:16">
      <c r="M2322">
        <v>0.27297811868467564</v>
      </c>
      <c r="N2322">
        <v>0.19957922645312093</v>
      </c>
      <c r="O2322">
        <v>0.24193133570599029</v>
      </c>
      <c r="P2322">
        <v>0.28551131915621319</v>
      </c>
    </row>
    <row r="2323" spans="13:16">
      <c r="M2323">
        <v>0.28759831430973498</v>
      </c>
      <c r="N2323">
        <v>0.20195290195784743</v>
      </c>
      <c r="O2323">
        <v>0.25278594252578279</v>
      </c>
      <c r="P2323">
        <v>0.25766284120663485</v>
      </c>
    </row>
    <row r="2324" spans="13:16">
      <c r="M2324">
        <v>0.29570160346258956</v>
      </c>
      <c r="N2324">
        <v>0.16943110607071526</v>
      </c>
      <c r="O2324">
        <v>0.29429768599922634</v>
      </c>
      <c r="P2324">
        <v>0.24056960446746883</v>
      </c>
    </row>
    <row r="2325" spans="13:16">
      <c r="M2325">
        <v>0.27793881218325733</v>
      </c>
      <c r="N2325">
        <v>0.18326829632698691</v>
      </c>
      <c r="O2325">
        <v>0.27556629976575042</v>
      </c>
      <c r="P2325">
        <v>0.26322659172400537</v>
      </c>
    </row>
    <row r="2326" spans="13:16">
      <c r="M2326">
        <v>0.28294282056121733</v>
      </c>
      <c r="N2326">
        <v>0.17313175495527583</v>
      </c>
      <c r="O2326">
        <v>0.2844581192580099</v>
      </c>
      <c r="P2326">
        <v>0.25946730522549694</v>
      </c>
    </row>
    <row r="2327" spans="13:16">
      <c r="M2327">
        <v>0.30170892999962434</v>
      </c>
      <c r="N2327">
        <v>0.16818472518313199</v>
      </c>
      <c r="O2327">
        <v>0.27659167596414524</v>
      </c>
      <c r="P2327">
        <v>0.25351466885309837</v>
      </c>
    </row>
    <row r="2328" spans="13:16">
      <c r="M2328">
        <v>0.27433825073342777</v>
      </c>
      <c r="N2328">
        <v>0.18746767746384541</v>
      </c>
      <c r="O2328">
        <v>0.26502995265700602</v>
      </c>
      <c r="P2328">
        <v>0.27316411914572081</v>
      </c>
    </row>
    <row r="2329" spans="13:16">
      <c r="M2329">
        <v>0.28809980766617183</v>
      </c>
      <c r="N2329">
        <v>0.18554537473776136</v>
      </c>
      <c r="O2329">
        <v>0.28590279114088579</v>
      </c>
      <c r="P2329">
        <v>0.24045202645518096</v>
      </c>
    </row>
    <row r="2330" spans="13:16">
      <c r="M2330">
        <v>0.28195296600829611</v>
      </c>
      <c r="N2330">
        <v>0.1949562320848513</v>
      </c>
      <c r="O2330">
        <v>0.25484176797625907</v>
      </c>
      <c r="P2330">
        <v>0.26824903393059352</v>
      </c>
    </row>
    <row r="2331" spans="13:16">
      <c r="M2331">
        <v>0.30158028409844034</v>
      </c>
      <c r="N2331">
        <v>0.16615230885745766</v>
      </c>
      <c r="O2331">
        <v>0.29747190891909242</v>
      </c>
      <c r="P2331">
        <v>0.23479549812500963</v>
      </c>
    </row>
    <row r="2332" spans="13:16">
      <c r="M2332">
        <v>0.28013626917304679</v>
      </c>
      <c r="N2332">
        <v>0.21997625905656795</v>
      </c>
      <c r="O2332">
        <v>0.22275295756499897</v>
      </c>
      <c r="P2332">
        <v>0.27713451420538626</v>
      </c>
    </row>
    <row r="2333" spans="13:16">
      <c r="M2333">
        <v>0.28937789011479675</v>
      </c>
      <c r="N2333">
        <v>0.19033126151944446</v>
      </c>
      <c r="O2333">
        <v>0.25019279054878069</v>
      </c>
      <c r="P2333">
        <v>0.2700980578169781</v>
      </c>
    </row>
    <row r="2334" spans="13:16">
      <c r="M2334">
        <v>0.29102226734467729</v>
      </c>
      <c r="N2334">
        <v>0.18907334308414672</v>
      </c>
      <c r="O2334">
        <v>0.25020684215503514</v>
      </c>
      <c r="P2334">
        <v>0.26969754741614088</v>
      </c>
    </row>
    <row r="2335" spans="13:16">
      <c r="M2335">
        <v>0.28973532268102464</v>
      </c>
      <c r="N2335">
        <v>0.18671291261939527</v>
      </c>
      <c r="O2335">
        <v>0.26078001473876466</v>
      </c>
      <c r="P2335">
        <v>0.26277174996081537</v>
      </c>
    </row>
    <row r="2336" spans="13:16">
      <c r="M2336">
        <v>0.28463581563964385</v>
      </c>
      <c r="N2336">
        <v>0.1781639634203224</v>
      </c>
      <c r="O2336">
        <v>0.27277055881107698</v>
      </c>
      <c r="P2336">
        <v>0.26442966212895674</v>
      </c>
    </row>
    <row r="2337" spans="13:16">
      <c r="M2337">
        <v>0.32785633565508271</v>
      </c>
      <c r="N2337">
        <v>0.16672520111714903</v>
      </c>
      <c r="O2337">
        <v>0.25583229979508065</v>
      </c>
      <c r="P2337">
        <v>0.24958616343268761</v>
      </c>
    </row>
    <row r="2338" spans="13:16">
      <c r="M2338">
        <v>0.30166871720755251</v>
      </c>
      <c r="N2338">
        <v>0.18584989981403136</v>
      </c>
      <c r="O2338">
        <v>0.24963622000014232</v>
      </c>
      <c r="P2338">
        <v>0.26284516297827393</v>
      </c>
    </row>
    <row r="2339" spans="13:16">
      <c r="M2339">
        <v>0.32110572239609331</v>
      </c>
      <c r="N2339">
        <v>0.16999915164075277</v>
      </c>
      <c r="O2339">
        <v>0.24590269233667714</v>
      </c>
      <c r="P2339">
        <v>0.26299243362647673</v>
      </c>
    </row>
    <row r="2340" spans="13:16">
      <c r="M2340">
        <v>0.27516420688766563</v>
      </c>
      <c r="N2340">
        <v>0.18258494483063106</v>
      </c>
      <c r="O2340">
        <v>0.285060459067495</v>
      </c>
      <c r="P2340">
        <v>0.25719038921420834</v>
      </c>
    </row>
    <row r="2341" spans="13:16">
      <c r="M2341">
        <v>0.29926071510183655</v>
      </c>
      <c r="N2341">
        <v>0.1895882891308926</v>
      </c>
      <c r="O2341">
        <v>0.25074715686106147</v>
      </c>
      <c r="P2341">
        <v>0.26040383890620944</v>
      </c>
    </row>
    <row r="2342" spans="13:16">
      <c r="M2342">
        <v>0.29129066174613744</v>
      </c>
      <c r="N2342">
        <v>0.199944167631881</v>
      </c>
      <c r="O2342">
        <v>0.25288491569080723</v>
      </c>
      <c r="P2342">
        <v>0.25588025493117433</v>
      </c>
    </row>
    <row r="2343" spans="13:16">
      <c r="M2343">
        <v>0.29266566299771513</v>
      </c>
      <c r="N2343">
        <v>0.17353757857203067</v>
      </c>
      <c r="O2343">
        <v>0.26717144179828722</v>
      </c>
      <c r="P2343">
        <v>0.26662531663196704</v>
      </c>
    </row>
    <row r="2344" spans="13:16">
      <c r="M2344">
        <v>0.32070328082329158</v>
      </c>
      <c r="N2344">
        <v>0.17571334164373056</v>
      </c>
      <c r="O2344">
        <v>0.23045028451770466</v>
      </c>
      <c r="P2344">
        <v>0.27313309301527322</v>
      </c>
    </row>
    <row r="2345" spans="13:16">
      <c r="M2345">
        <v>0.27404497152753299</v>
      </c>
      <c r="N2345">
        <v>0.18945030277342434</v>
      </c>
      <c r="O2345">
        <v>0.26711740879055706</v>
      </c>
      <c r="P2345">
        <v>0.26938731690848555</v>
      </c>
    </row>
    <row r="2346" spans="13:16">
      <c r="M2346">
        <v>0.27984535467190746</v>
      </c>
      <c r="N2346">
        <v>0.20080912289961828</v>
      </c>
      <c r="O2346">
        <v>0.2577219912803918</v>
      </c>
      <c r="P2346">
        <v>0.2616235311480824</v>
      </c>
    </row>
    <row r="2347" spans="13:16">
      <c r="M2347">
        <v>0.33312360798323365</v>
      </c>
      <c r="N2347">
        <v>0.18023004529957462</v>
      </c>
      <c r="O2347">
        <v>0.22624908850416878</v>
      </c>
      <c r="P2347">
        <v>0.26039725821302295</v>
      </c>
    </row>
    <row r="2348" spans="13:16">
      <c r="M2348">
        <v>0.30404156249128839</v>
      </c>
      <c r="N2348">
        <v>0.18923799316215184</v>
      </c>
      <c r="O2348">
        <v>0.25648806723906081</v>
      </c>
      <c r="P2348">
        <v>0.2502323771074989</v>
      </c>
    </row>
    <row r="2349" spans="13:16">
      <c r="M2349">
        <v>0.29342946543454884</v>
      </c>
      <c r="N2349">
        <v>0.18608752081577384</v>
      </c>
      <c r="O2349">
        <v>0.25988457055775838</v>
      </c>
      <c r="P2349">
        <v>0.26059844319191894</v>
      </c>
    </row>
    <row r="2350" spans="13:16">
      <c r="M2350">
        <v>0.26979601426054867</v>
      </c>
      <c r="N2350">
        <v>0.17564048649522662</v>
      </c>
      <c r="O2350">
        <v>0.29452908164369879</v>
      </c>
      <c r="P2350">
        <v>0.26003441760052587</v>
      </c>
    </row>
    <row r="2351" spans="13:16">
      <c r="M2351">
        <v>0.27768363731849899</v>
      </c>
      <c r="N2351">
        <v>0.1816012194472324</v>
      </c>
      <c r="O2351">
        <v>0.26341625052988343</v>
      </c>
      <c r="P2351">
        <v>0.27729889270438524</v>
      </c>
    </row>
    <row r="2352" spans="13:16">
      <c r="M2352">
        <v>0.27830142011481795</v>
      </c>
      <c r="N2352">
        <v>0.17802265060120689</v>
      </c>
      <c r="O2352">
        <v>0.26662606308185688</v>
      </c>
      <c r="P2352">
        <v>0.27704986620211824</v>
      </c>
    </row>
    <row r="2353" spans="13:16">
      <c r="M2353">
        <v>0.28453869526191317</v>
      </c>
      <c r="N2353">
        <v>0.19278322845455817</v>
      </c>
      <c r="O2353">
        <v>0.26039419915110285</v>
      </c>
      <c r="P2353">
        <v>0.26228387713242585</v>
      </c>
    </row>
    <row r="2354" spans="13:16">
      <c r="M2354">
        <v>0.29962645020642853</v>
      </c>
      <c r="N2354">
        <v>0.18375171431493417</v>
      </c>
      <c r="O2354">
        <v>0.24669025866481109</v>
      </c>
      <c r="P2354">
        <v>0.26993157681382624</v>
      </c>
    </row>
    <row r="2355" spans="13:16">
      <c r="M2355">
        <v>0.29047393598611643</v>
      </c>
      <c r="N2355">
        <v>0.17986614006633178</v>
      </c>
      <c r="O2355">
        <v>0.2555393858744695</v>
      </c>
      <c r="P2355">
        <v>0.27412053807308229</v>
      </c>
    </row>
    <row r="2356" spans="13:16">
      <c r="M2356">
        <v>0.30695856502741514</v>
      </c>
      <c r="N2356">
        <v>0.19036554862330324</v>
      </c>
      <c r="O2356">
        <v>0.24958175414056524</v>
      </c>
      <c r="P2356">
        <v>0.2530941322087164</v>
      </c>
    </row>
    <row r="2357" spans="13:16">
      <c r="M2357">
        <v>0.29729771215426137</v>
      </c>
      <c r="N2357">
        <v>0.19566227083236351</v>
      </c>
      <c r="O2357">
        <v>0.23975695875858577</v>
      </c>
      <c r="P2357">
        <v>0.26728305825478932</v>
      </c>
    </row>
    <row r="2358" spans="13:16">
      <c r="M2358">
        <v>0.28605973416181968</v>
      </c>
      <c r="N2358">
        <v>0.1849127259938817</v>
      </c>
      <c r="O2358">
        <v>0.2791847416119525</v>
      </c>
      <c r="P2358">
        <v>0.24984279823234609</v>
      </c>
    </row>
    <row r="2359" spans="13:16">
      <c r="M2359">
        <v>0.28125382638382251</v>
      </c>
      <c r="N2359">
        <v>0.20561565094350986</v>
      </c>
      <c r="O2359">
        <v>0.25037936923978982</v>
      </c>
      <c r="P2359">
        <v>0.26275115343287792</v>
      </c>
    </row>
    <row r="2360" spans="13:16">
      <c r="M2360">
        <v>0.29777695900929063</v>
      </c>
      <c r="N2360">
        <v>0.19731954700978732</v>
      </c>
      <c r="O2360">
        <v>0.23525146413532644</v>
      </c>
      <c r="P2360">
        <v>0.26965202984559561</v>
      </c>
    </row>
    <row r="2361" spans="13:16">
      <c r="M2361">
        <v>0.26786514574923637</v>
      </c>
      <c r="N2361">
        <v>0.18950805757270398</v>
      </c>
      <c r="O2361">
        <v>0.2676548479820004</v>
      </c>
      <c r="P2361">
        <v>0.27497194869605929</v>
      </c>
    </row>
    <row r="2362" spans="13:16">
      <c r="M2362">
        <v>0.25783687458922949</v>
      </c>
      <c r="N2362">
        <v>0.1841675003498324</v>
      </c>
      <c r="O2362">
        <v>0.30189667769389789</v>
      </c>
      <c r="P2362">
        <v>0.25609894736704009</v>
      </c>
    </row>
    <row r="2363" spans="13:16">
      <c r="M2363">
        <v>0.30983407222765363</v>
      </c>
      <c r="N2363">
        <v>0.17818434424019955</v>
      </c>
      <c r="O2363">
        <v>0.21919589388775604</v>
      </c>
      <c r="P2363">
        <v>0.29278568964439072</v>
      </c>
    </row>
    <row r="2364" spans="13:16">
      <c r="M2364">
        <v>0.30314900883886964</v>
      </c>
      <c r="N2364">
        <v>0.19464649826823244</v>
      </c>
      <c r="O2364">
        <v>0.24376459227963854</v>
      </c>
      <c r="P2364">
        <v>0.25843990061325944</v>
      </c>
    </row>
    <row r="2365" spans="13:16">
      <c r="M2365">
        <v>0.27622822786140683</v>
      </c>
      <c r="N2365">
        <v>0.19418521966522073</v>
      </c>
      <c r="O2365">
        <v>0.27516856588328809</v>
      </c>
      <c r="P2365">
        <v>0.25441798659008447</v>
      </c>
    </row>
    <row r="2366" spans="13:16">
      <c r="M2366">
        <v>0.32083178222551456</v>
      </c>
      <c r="N2366">
        <v>0.17769735825754601</v>
      </c>
      <c r="O2366">
        <v>0.22386085170297923</v>
      </c>
      <c r="P2366">
        <v>0.27761000781396017</v>
      </c>
    </row>
    <row r="2367" spans="13:16">
      <c r="M2367">
        <v>0.27965212649100529</v>
      </c>
      <c r="N2367">
        <v>0.19139803186338852</v>
      </c>
      <c r="O2367">
        <v>0.26383721302508983</v>
      </c>
      <c r="P2367">
        <v>0.26511262862051632</v>
      </c>
    </row>
    <row r="2368" spans="13:16">
      <c r="M2368">
        <v>0.33987059567313144</v>
      </c>
      <c r="N2368">
        <v>0.18690741453591495</v>
      </c>
      <c r="O2368">
        <v>0.2229949772307373</v>
      </c>
      <c r="P2368">
        <v>0.25022701256021634</v>
      </c>
    </row>
    <row r="2369" spans="13:16">
      <c r="M2369">
        <v>0.29137894836938383</v>
      </c>
      <c r="N2369">
        <v>0.18470670491997371</v>
      </c>
      <c r="O2369">
        <v>0.25768794429631597</v>
      </c>
      <c r="P2369">
        <v>0.26622640241432644</v>
      </c>
    </row>
    <row r="2370" spans="13:16">
      <c r="M2370">
        <v>0.29136767536518166</v>
      </c>
      <c r="N2370">
        <v>0.21074560840368939</v>
      </c>
      <c r="O2370">
        <v>0.23648070335552962</v>
      </c>
      <c r="P2370">
        <v>0.26140601287559939</v>
      </c>
    </row>
    <row r="2371" spans="13:16">
      <c r="M2371">
        <v>0.27713876528878362</v>
      </c>
      <c r="N2371">
        <v>0.1910286499350711</v>
      </c>
      <c r="O2371">
        <v>0.24085329824858626</v>
      </c>
      <c r="P2371">
        <v>0.290979286527559</v>
      </c>
    </row>
    <row r="2372" spans="13:16">
      <c r="M2372">
        <v>0.31304272028937929</v>
      </c>
      <c r="N2372">
        <v>0.17576738696999097</v>
      </c>
      <c r="O2372">
        <v>0.25891155793155879</v>
      </c>
      <c r="P2372">
        <v>0.25227833480907086</v>
      </c>
    </row>
    <row r="2373" spans="13:16">
      <c r="M2373">
        <v>0.28291687290211925</v>
      </c>
      <c r="N2373">
        <v>0.18319236922829873</v>
      </c>
      <c r="O2373">
        <v>0.27769989474490847</v>
      </c>
      <c r="P2373">
        <v>0.25619086312467343</v>
      </c>
    </row>
    <row r="2374" spans="13:16">
      <c r="M2374">
        <v>0.30528337706758124</v>
      </c>
      <c r="N2374">
        <v>0.19562185433385834</v>
      </c>
      <c r="O2374">
        <v>0.22551044810669493</v>
      </c>
      <c r="P2374">
        <v>0.27358432049186554</v>
      </c>
    </row>
    <row r="2375" spans="13:16">
      <c r="M2375">
        <v>0.27355945422886474</v>
      </c>
      <c r="N2375">
        <v>0.19063719644166149</v>
      </c>
      <c r="O2375">
        <v>0.2738428671041237</v>
      </c>
      <c r="P2375">
        <v>0.26196048222535001</v>
      </c>
    </row>
    <row r="2376" spans="13:16">
      <c r="M2376">
        <v>0.28377432406240377</v>
      </c>
      <c r="N2376">
        <v>0.18493012891733188</v>
      </c>
      <c r="O2376">
        <v>0.27806136083809557</v>
      </c>
      <c r="P2376">
        <v>0.25323418618216875</v>
      </c>
    </row>
    <row r="2377" spans="13:16">
      <c r="M2377">
        <v>0.25827258445304324</v>
      </c>
      <c r="N2377">
        <v>0.19027519034686324</v>
      </c>
      <c r="O2377">
        <v>0.28923048561088072</v>
      </c>
      <c r="P2377">
        <v>0.26222173958921274</v>
      </c>
    </row>
    <row r="2378" spans="13:16">
      <c r="M2378">
        <v>0.33939994967880066</v>
      </c>
      <c r="N2378">
        <v>0.17275469753949613</v>
      </c>
      <c r="O2378">
        <v>0.23609885917210033</v>
      </c>
      <c r="P2378">
        <v>0.25174649360960305</v>
      </c>
    </row>
    <row r="2379" spans="13:16">
      <c r="M2379">
        <v>0.29181383263051863</v>
      </c>
      <c r="N2379">
        <v>0.1727682695649688</v>
      </c>
      <c r="O2379">
        <v>0.27811726386858354</v>
      </c>
      <c r="P2379">
        <v>0.25730063393592889</v>
      </c>
    </row>
    <row r="2380" spans="13:16">
      <c r="M2380">
        <v>0.30095608532651397</v>
      </c>
      <c r="N2380">
        <v>0.18399854555455755</v>
      </c>
      <c r="O2380">
        <v>0.26460179691324387</v>
      </c>
      <c r="P2380">
        <v>0.25044357220568481</v>
      </c>
    </row>
    <row r="2381" spans="13:16">
      <c r="M2381">
        <v>0.26070671864930112</v>
      </c>
      <c r="N2381">
        <v>0.19456932992533113</v>
      </c>
      <c r="O2381">
        <v>0.28573418143312518</v>
      </c>
      <c r="P2381">
        <v>0.25898976999224249</v>
      </c>
    </row>
    <row r="2382" spans="13:16">
      <c r="M2382">
        <v>0.29715322058070476</v>
      </c>
      <c r="N2382">
        <v>0.18479133251856569</v>
      </c>
      <c r="O2382">
        <v>0.26206751610903578</v>
      </c>
      <c r="P2382">
        <v>0.25598793079169369</v>
      </c>
    </row>
    <row r="2383" spans="13:16">
      <c r="M2383">
        <v>0.26678710934797123</v>
      </c>
      <c r="N2383">
        <v>0.18225188158666963</v>
      </c>
      <c r="O2383">
        <v>0.28338570122690504</v>
      </c>
      <c r="P2383">
        <v>0.26757530783845401</v>
      </c>
    </row>
    <row r="2384" spans="13:16">
      <c r="M2384">
        <v>0.28405683536815418</v>
      </c>
      <c r="N2384">
        <v>0.19373271655552776</v>
      </c>
      <c r="O2384">
        <v>0.25372860389199875</v>
      </c>
      <c r="P2384">
        <v>0.26848184418431942</v>
      </c>
    </row>
    <row r="2385" spans="13:16">
      <c r="M2385">
        <v>0.30465292755086643</v>
      </c>
      <c r="N2385">
        <v>0.18027188255316118</v>
      </c>
      <c r="O2385">
        <v>0.25154537392216192</v>
      </c>
      <c r="P2385">
        <v>0.26352981597381048</v>
      </c>
    </row>
    <row r="2386" spans="13:16">
      <c r="M2386">
        <v>0.27552764468213115</v>
      </c>
      <c r="N2386">
        <v>0.19639945099608508</v>
      </c>
      <c r="O2386">
        <v>0.24973182283419904</v>
      </c>
      <c r="P2386">
        <v>0.27834108148758469</v>
      </c>
    </row>
    <row r="2387" spans="13:16">
      <c r="M2387">
        <v>0.29933308934552305</v>
      </c>
      <c r="N2387">
        <v>0.18536911407429923</v>
      </c>
      <c r="O2387">
        <v>0.22930970461264596</v>
      </c>
      <c r="P2387">
        <v>0.28598809196753161</v>
      </c>
    </row>
    <row r="2388" spans="13:16">
      <c r="M2388">
        <v>0.30173561788612219</v>
      </c>
      <c r="N2388">
        <v>0.1686153517466514</v>
      </c>
      <c r="O2388">
        <v>0.28374524951939445</v>
      </c>
      <c r="P2388">
        <v>0.24590378084783202</v>
      </c>
    </row>
    <row r="2389" spans="13:16">
      <c r="M2389">
        <v>0.29006044738247411</v>
      </c>
      <c r="N2389">
        <v>0.18561293303116722</v>
      </c>
      <c r="O2389">
        <v>0.24940117996769401</v>
      </c>
      <c r="P2389">
        <v>0.27492543961866478</v>
      </c>
    </row>
    <row r="2390" spans="13:16">
      <c r="M2390">
        <v>0.29862335685986335</v>
      </c>
      <c r="N2390">
        <v>0.19655103808662813</v>
      </c>
      <c r="O2390">
        <v>0.24429451740454053</v>
      </c>
      <c r="P2390">
        <v>0.26053108764896804</v>
      </c>
    </row>
    <row r="2391" spans="13:16">
      <c r="M2391">
        <v>0.29635937120921058</v>
      </c>
      <c r="N2391">
        <v>0.18367907396202912</v>
      </c>
      <c r="O2391">
        <v>0.24410227405953569</v>
      </c>
      <c r="P2391">
        <v>0.27585928076922456</v>
      </c>
    </row>
    <row r="2392" spans="13:16">
      <c r="M2392">
        <v>0.31452045882720914</v>
      </c>
      <c r="N2392">
        <v>0.18072037893232246</v>
      </c>
      <c r="O2392">
        <v>0.2507958503756576</v>
      </c>
      <c r="P2392">
        <v>0.25396331186481075</v>
      </c>
    </row>
    <row r="2393" spans="13:16">
      <c r="M2393">
        <v>0.29555105284508348</v>
      </c>
      <c r="N2393">
        <v>0.17199650299418093</v>
      </c>
      <c r="O2393">
        <v>0.26130869891741898</v>
      </c>
      <c r="P2393">
        <v>0.27114374524331669</v>
      </c>
    </row>
    <row r="2394" spans="13:16">
      <c r="M2394">
        <v>0.27278776305320224</v>
      </c>
      <c r="N2394">
        <v>0.18761042851951434</v>
      </c>
      <c r="O2394">
        <v>0.25580480545850454</v>
      </c>
      <c r="P2394">
        <v>0.28379700296877891</v>
      </c>
    </row>
    <row r="2395" spans="13:16">
      <c r="M2395">
        <v>0.28423947790182275</v>
      </c>
      <c r="N2395">
        <v>0.1770093632279609</v>
      </c>
      <c r="O2395">
        <v>0.26876778198416923</v>
      </c>
      <c r="P2395">
        <v>0.26998337688604718</v>
      </c>
    </row>
    <row r="2396" spans="13:16">
      <c r="M2396">
        <v>0.31472052017495494</v>
      </c>
      <c r="N2396">
        <v>0.17294147167349821</v>
      </c>
      <c r="O2396">
        <v>0.27186311360984305</v>
      </c>
      <c r="P2396">
        <v>0.24047489454170376</v>
      </c>
    </row>
    <row r="2397" spans="13:16">
      <c r="M2397">
        <v>0.30494639607487994</v>
      </c>
      <c r="N2397">
        <v>0.20823382039737437</v>
      </c>
      <c r="O2397">
        <v>0.21473616617836039</v>
      </c>
      <c r="P2397">
        <v>0.27208361734938524</v>
      </c>
    </row>
    <row r="2398" spans="13:16">
      <c r="M2398">
        <v>0.28792073084098602</v>
      </c>
      <c r="N2398">
        <v>0.18470658961303851</v>
      </c>
      <c r="O2398">
        <v>0.25991478775739779</v>
      </c>
      <c r="P2398">
        <v>0.26745789178857787</v>
      </c>
    </row>
    <row r="2399" spans="13:16">
      <c r="M2399">
        <v>0.31176072572204572</v>
      </c>
      <c r="N2399">
        <v>0.17760052036960416</v>
      </c>
      <c r="O2399">
        <v>0.25593684270312533</v>
      </c>
      <c r="P2399">
        <v>0.25470191120522473</v>
      </c>
    </row>
    <row r="2400" spans="13:16">
      <c r="M2400">
        <v>0.26772866049831473</v>
      </c>
      <c r="N2400">
        <v>0.18827294750278226</v>
      </c>
      <c r="O2400">
        <v>0.26643070487061365</v>
      </c>
      <c r="P2400">
        <v>0.27756768712828944</v>
      </c>
    </row>
    <row r="2401" spans="13:16">
      <c r="M2401">
        <v>0.28865343465413318</v>
      </c>
      <c r="N2401">
        <v>0.18263426196827728</v>
      </c>
      <c r="O2401">
        <v>0.27576463740495566</v>
      </c>
      <c r="P2401">
        <v>0.25294766597263374</v>
      </c>
    </row>
    <row r="2402" spans="13:16">
      <c r="M2402">
        <v>0.28125174733353314</v>
      </c>
      <c r="N2402">
        <v>0.19116009716970517</v>
      </c>
      <c r="O2402">
        <v>0.27159294087883856</v>
      </c>
      <c r="P2402">
        <v>0.25599521461792307</v>
      </c>
    </row>
    <row r="2403" spans="13:16">
      <c r="M2403">
        <v>0.26984761613748443</v>
      </c>
      <c r="N2403">
        <v>0.20133711962183862</v>
      </c>
      <c r="O2403">
        <v>0.2740588443473152</v>
      </c>
      <c r="P2403">
        <v>0.25475641989336167</v>
      </c>
    </row>
    <row r="2404" spans="13:16">
      <c r="M2404">
        <v>0.30105996618698799</v>
      </c>
      <c r="N2404">
        <v>0.17992801857999013</v>
      </c>
      <c r="O2404">
        <v>0.26246011371621847</v>
      </c>
      <c r="P2404">
        <v>0.25655190151680335</v>
      </c>
    </row>
    <row r="2405" spans="13:16">
      <c r="M2405">
        <v>0.26715469637826345</v>
      </c>
      <c r="N2405">
        <v>0.18645061631720422</v>
      </c>
      <c r="O2405">
        <v>0.27562431001330234</v>
      </c>
      <c r="P2405">
        <v>0.27077037729123005</v>
      </c>
    </row>
    <row r="2406" spans="13:16">
      <c r="M2406">
        <v>0.2741154640128432</v>
      </c>
      <c r="N2406">
        <v>0.19393033271138277</v>
      </c>
      <c r="O2406">
        <v>0.27222451205935294</v>
      </c>
      <c r="P2406">
        <v>0.25972969121642131</v>
      </c>
    </row>
    <row r="2407" spans="13:16">
      <c r="M2407">
        <v>0.32464557309308428</v>
      </c>
      <c r="N2407">
        <v>0.176536622452517</v>
      </c>
      <c r="O2407">
        <v>0.23777253100434004</v>
      </c>
      <c r="P2407">
        <v>0.26104527345005862</v>
      </c>
    </row>
    <row r="2408" spans="13:16">
      <c r="M2408">
        <v>0.31462014646983616</v>
      </c>
      <c r="N2408">
        <v>0.17861647312308199</v>
      </c>
      <c r="O2408">
        <v>0.24638276136232914</v>
      </c>
      <c r="P2408">
        <v>0.26038061904475274</v>
      </c>
    </row>
    <row r="2409" spans="13:16">
      <c r="M2409">
        <v>0.30506502241615452</v>
      </c>
      <c r="N2409">
        <v>0.19340150182235941</v>
      </c>
      <c r="O2409">
        <v>0.22557125653188284</v>
      </c>
      <c r="P2409">
        <v>0.27596221922960312</v>
      </c>
    </row>
    <row r="2410" spans="13:16">
      <c r="M2410">
        <v>0.28189709313713218</v>
      </c>
      <c r="N2410">
        <v>0.17993304590339612</v>
      </c>
      <c r="O2410">
        <v>0.2909358838703654</v>
      </c>
      <c r="P2410">
        <v>0.24723397708910624</v>
      </c>
    </row>
    <row r="2411" spans="13:16">
      <c r="M2411">
        <v>0.27695751323040496</v>
      </c>
      <c r="N2411">
        <v>0.19489125468302712</v>
      </c>
      <c r="O2411">
        <v>0.27029987061995947</v>
      </c>
      <c r="P2411">
        <v>0.25785136146660853</v>
      </c>
    </row>
    <row r="2412" spans="13:16">
      <c r="M2412">
        <v>0.26933587565080719</v>
      </c>
      <c r="N2412">
        <v>0.19830252870919393</v>
      </c>
      <c r="O2412">
        <v>0.26788638494750366</v>
      </c>
      <c r="P2412">
        <v>0.2644752106924953</v>
      </c>
    </row>
    <row r="2413" spans="13:16">
      <c r="M2413">
        <v>0.2584372604179706</v>
      </c>
      <c r="N2413">
        <v>0.19484711331715476</v>
      </c>
      <c r="O2413">
        <v>0.26986242172800851</v>
      </c>
      <c r="P2413">
        <v>0.27685320453686607</v>
      </c>
    </row>
    <row r="2414" spans="13:16">
      <c r="M2414">
        <v>0.28312988594354749</v>
      </c>
      <c r="N2414">
        <v>0.20070425632147765</v>
      </c>
      <c r="O2414">
        <v>0.24798612758508209</v>
      </c>
      <c r="P2414">
        <v>0.26817973014989277</v>
      </c>
    </row>
    <row r="2415" spans="13:16">
      <c r="M2415">
        <v>0.26855112817074261</v>
      </c>
      <c r="N2415">
        <v>0.19960498117501527</v>
      </c>
      <c r="O2415">
        <v>0.27899084652020067</v>
      </c>
      <c r="P2415">
        <v>0.25285304413404136</v>
      </c>
    </row>
    <row r="2416" spans="13:16">
      <c r="M2416">
        <v>0.29978798957469577</v>
      </c>
      <c r="N2416">
        <v>0.18713225632495092</v>
      </c>
      <c r="O2416">
        <v>0.26828541427129216</v>
      </c>
      <c r="P2416">
        <v>0.24479433982906112</v>
      </c>
    </row>
    <row r="2417" spans="13:16">
      <c r="M2417">
        <v>0.29937609650770641</v>
      </c>
      <c r="N2417">
        <v>0.18398422050345878</v>
      </c>
      <c r="O2417">
        <v>0.24454462820237063</v>
      </c>
      <c r="P2417">
        <v>0.27209505478646423</v>
      </c>
    </row>
    <row r="2418" spans="13:16">
      <c r="M2418">
        <v>0.27990970030372764</v>
      </c>
      <c r="N2418">
        <v>0.17751628737478825</v>
      </c>
      <c r="O2418">
        <v>0.28825880327560216</v>
      </c>
      <c r="P2418">
        <v>0.25431520904588178</v>
      </c>
    </row>
    <row r="2419" spans="13:16">
      <c r="M2419">
        <v>0.28881410903986898</v>
      </c>
      <c r="N2419">
        <v>0.19447645387508528</v>
      </c>
      <c r="O2419">
        <v>0.25761264615731411</v>
      </c>
      <c r="P2419">
        <v>0.25909679092773164</v>
      </c>
    </row>
    <row r="2420" spans="13:16">
      <c r="M2420">
        <v>0.28612930867384612</v>
      </c>
      <c r="N2420">
        <v>0.18055035691147547</v>
      </c>
      <c r="O2420">
        <v>0.26834710116597915</v>
      </c>
      <c r="P2420">
        <v>0.26497323324869948</v>
      </c>
    </row>
    <row r="2421" spans="13:16">
      <c r="M2421">
        <v>0.31311889463497583</v>
      </c>
      <c r="N2421">
        <v>0.16527836474306551</v>
      </c>
      <c r="O2421">
        <v>0.27244435512033843</v>
      </c>
      <c r="P2421">
        <v>0.24915838550162037</v>
      </c>
    </row>
    <row r="2422" spans="13:16">
      <c r="M2422">
        <v>0.27640787920722132</v>
      </c>
      <c r="N2422">
        <v>0.18595956413625395</v>
      </c>
      <c r="O2422">
        <v>0.27786877388964565</v>
      </c>
      <c r="P2422">
        <v>0.25976378276687906</v>
      </c>
    </row>
    <row r="2423" spans="13:16">
      <c r="M2423">
        <v>0.27362639743128786</v>
      </c>
      <c r="N2423">
        <v>0.2056170472446702</v>
      </c>
      <c r="O2423">
        <v>0.26064827445343297</v>
      </c>
      <c r="P2423">
        <v>0.26010828087060911</v>
      </c>
    </row>
    <row r="2424" spans="13:16">
      <c r="M2424">
        <v>0.28422474289532573</v>
      </c>
      <c r="N2424">
        <v>0.19116627894901367</v>
      </c>
      <c r="O2424">
        <v>0.25045015091595452</v>
      </c>
      <c r="P2424">
        <v>0.27415882723970608</v>
      </c>
    </row>
    <row r="2425" spans="13:16">
      <c r="M2425">
        <v>0.32570672103457904</v>
      </c>
      <c r="N2425">
        <v>0.16385438648640879</v>
      </c>
      <c r="O2425">
        <v>0.25716966989116297</v>
      </c>
      <c r="P2425">
        <v>0.25326922258784923</v>
      </c>
    </row>
    <row r="2426" spans="13:16">
      <c r="M2426">
        <v>0.26960629845260398</v>
      </c>
      <c r="N2426">
        <v>0.187953368836354</v>
      </c>
      <c r="O2426">
        <v>0.27531570081454665</v>
      </c>
      <c r="P2426">
        <v>0.26712463189649549</v>
      </c>
    </row>
    <row r="2427" spans="13:16">
      <c r="M2427">
        <v>0.27061728202876073</v>
      </c>
      <c r="N2427">
        <v>0.18956755449603382</v>
      </c>
      <c r="O2427">
        <v>0.27474935955701951</v>
      </c>
      <c r="P2427">
        <v>0.26506580391818602</v>
      </c>
    </row>
    <row r="2428" spans="13:16">
      <c r="M2428">
        <v>0.30590654752009439</v>
      </c>
      <c r="N2428">
        <v>0.17997031859243548</v>
      </c>
      <c r="O2428">
        <v>0.2538918481967487</v>
      </c>
      <c r="P2428">
        <v>0.2602312856907214</v>
      </c>
    </row>
    <row r="2429" spans="13:16">
      <c r="M2429">
        <v>0.28215513047801866</v>
      </c>
      <c r="N2429">
        <v>0.19932597491262521</v>
      </c>
      <c r="O2429">
        <v>0.23621018050347556</v>
      </c>
      <c r="P2429">
        <v>0.28230871410588065</v>
      </c>
    </row>
    <row r="2430" spans="13:16">
      <c r="M2430">
        <v>0.31464920228909166</v>
      </c>
      <c r="N2430">
        <v>0.16384888633894262</v>
      </c>
      <c r="O2430">
        <v>0.27125953020798077</v>
      </c>
      <c r="P2430">
        <v>0.25024238116398501</v>
      </c>
    </row>
    <row r="2431" spans="13:16">
      <c r="M2431">
        <v>0.31210386010071312</v>
      </c>
      <c r="N2431">
        <v>0.18974275185795972</v>
      </c>
      <c r="O2431">
        <v>0.22791325094036852</v>
      </c>
      <c r="P2431">
        <v>0.27024013710095862</v>
      </c>
    </row>
    <row r="2432" spans="13:16">
      <c r="M2432">
        <v>0.27892774240506618</v>
      </c>
      <c r="N2432">
        <v>0.19094883738737439</v>
      </c>
      <c r="O2432">
        <v>0.26159000829688012</v>
      </c>
      <c r="P2432">
        <v>0.26853341191067953</v>
      </c>
    </row>
    <row r="2433" spans="13:16">
      <c r="M2433">
        <v>0.27747544757212927</v>
      </c>
      <c r="N2433">
        <v>0.20457745658130422</v>
      </c>
      <c r="O2433">
        <v>0.24213567247739248</v>
      </c>
      <c r="P2433">
        <v>0.27581142336917402</v>
      </c>
    </row>
    <row r="2434" spans="13:16">
      <c r="M2434">
        <v>0.26280617117936911</v>
      </c>
      <c r="N2434">
        <v>0.1794156599634831</v>
      </c>
      <c r="O2434">
        <v>0.3023295676047601</v>
      </c>
      <c r="P2434">
        <v>0.25544860125238766</v>
      </c>
    </row>
    <row r="2435" spans="13:16">
      <c r="M2435">
        <v>0.29248655887334013</v>
      </c>
      <c r="N2435">
        <v>0.19273473600836641</v>
      </c>
      <c r="O2435">
        <v>0.26531509958551214</v>
      </c>
      <c r="P2435">
        <v>0.24946360553278132</v>
      </c>
    </row>
    <row r="2436" spans="13:16">
      <c r="M2436">
        <v>0.27227490625536566</v>
      </c>
      <c r="N2436">
        <v>0.19889767926112495</v>
      </c>
      <c r="O2436">
        <v>0.25234207469297759</v>
      </c>
      <c r="P2436">
        <v>0.27648533979053197</v>
      </c>
    </row>
    <row r="2437" spans="13:16">
      <c r="M2437">
        <v>0.31959716340872424</v>
      </c>
      <c r="N2437">
        <v>0.18097257661719207</v>
      </c>
      <c r="O2437">
        <v>0.2387445909351853</v>
      </c>
      <c r="P2437">
        <v>0.26068566903889828</v>
      </c>
    </row>
    <row r="2438" spans="13:16">
      <c r="M2438">
        <v>0.28234854097660372</v>
      </c>
      <c r="N2438">
        <v>0.18317443068689968</v>
      </c>
      <c r="O2438">
        <v>0.24866896200228147</v>
      </c>
      <c r="P2438">
        <v>0.28580806633421518</v>
      </c>
    </row>
    <row r="2439" spans="13:16">
      <c r="M2439">
        <v>0.28847724433003702</v>
      </c>
      <c r="N2439">
        <v>0.18732050965756344</v>
      </c>
      <c r="O2439">
        <v>0.2378615361318204</v>
      </c>
      <c r="P2439">
        <v>0.28634070988057925</v>
      </c>
    </row>
    <row r="2440" spans="13:16">
      <c r="M2440">
        <v>0.27441334996325595</v>
      </c>
      <c r="N2440">
        <v>0.1663223090169158</v>
      </c>
      <c r="O2440">
        <v>0.3070706505298117</v>
      </c>
      <c r="P2440">
        <v>0.25219369049001655</v>
      </c>
    </row>
    <row r="2441" spans="13:16">
      <c r="M2441">
        <v>0.29327398647459862</v>
      </c>
      <c r="N2441">
        <v>0.16841790336375134</v>
      </c>
      <c r="O2441">
        <v>0.29084521683974152</v>
      </c>
      <c r="P2441">
        <v>0.24746289332190857</v>
      </c>
    </row>
    <row r="2442" spans="13:16">
      <c r="M2442">
        <v>0.28949705409622367</v>
      </c>
      <c r="N2442">
        <v>0.18198895176545768</v>
      </c>
      <c r="O2442">
        <v>0.26892918456282033</v>
      </c>
      <c r="P2442">
        <v>0.2595848095754984</v>
      </c>
    </row>
    <row r="2443" spans="13:16">
      <c r="M2443">
        <v>0.27996921978717404</v>
      </c>
      <c r="N2443">
        <v>0.19790234886479494</v>
      </c>
      <c r="O2443">
        <v>0.26269432375407376</v>
      </c>
      <c r="P2443">
        <v>0.25943410759395724</v>
      </c>
    </row>
    <row r="2444" spans="13:16">
      <c r="M2444">
        <v>0.28583740087715853</v>
      </c>
      <c r="N2444">
        <v>0.19790607726222306</v>
      </c>
      <c r="O2444">
        <v>0.26214593318978902</v>
      </c>
      <c r="P2444">
        <v>0.25411058867082942</v>
      </c>
    </row>
    <row r="2445" spans="13:16">
      <c r="M2445">
        <v>0.28708011309780462</v>
      </c>
      <c r="N2445">
        <v>0.17188990365919402</v>
      </c>
      <c r="O2445">
        <v>0.29523324784162147</v>
      </c>
      <c r="P2445">
        <v>0.24579673540137989</v>
      </c>
    </row>
    <row r="2446" spans="13:16">
      <c r="M2446">
        <v>0.27655447219068036</v>
      </c>
      <c r="N2446">
        <v>0.19470066261574057</v>
      </c>
      <c r="O2446">
        <v>0.27817144487128331</v>
      </c>
      <c r="P2446">
        <v>0.25057342032229568</v>
      </c>
    </row>
    <row r="2447" spans="13:16">
      <c r="M2447">
        <v>0.28479217209906493</v>
      </c>
      <c r="N2447">
        <v>0.17978449888871165</v>
      </c>
      <c r="O2447">
        <v>0.28323419900445135</v>
      </c>
      <c r="P2447">
        <v>0.2521891300077721</v>
      </c>
    </row>
    <row r="2448" spans="13:16">
      <c r="M2448">
        <v>0.28276932498135782</v>
      </c>
      <c r="N2448">
        <v>0.16807841411980545</v>
      </c>
      <c r="O2448">
        <v>0.29031017042341078</v>
      </c>
      <c r="P2448">
        <v>0.25884209047542606</v>
      </c>
    </row>
    <row r="2449" spans="13:16">
      <c r="M2449">
        <v>0.28874834771087987</v>
      </c>
      <c r="N2449">
        <v>0.16423782566215472</v>
      </c>
      <c r="O2449">
        <v>0.30425390414628067</v>
      </c>
      <c r="P2449">
        <v>0.2427599224806847</v>
      </c>
    </row>
    <row r="2450" spans="13:16">
      <c r="M2450">
        <v>0.28357891390587769</v>
      </c>
      <c r="N2450">
        <v>0.19256221758536279</v>
      </c>
      <c r="O2450">
        <v>0.24562912837994991</v>
      </c>
      <c r="P2450">
        <v>0.27822974012880969</v>
      </c>
    </row>
    <row r="2451" spans="13:16">
      <c r="M2451">
        <v>0.3065763590187075</v>
      </c>
      <c r="N2451">
        <v>0.16671337562034819</v>
      </c>
      <c r="O2451">
        <v>0.27158344842564713</v>
      </c>
      <c r="P2451">
        <v>0.25512681693529704</v>
      </c>
    </row>
    <row r="2452" spans="13:16">
      <c r="M2452">
        <v>0.2812919189048777</v>
      </c>
      <c r="N2452">
        <v>0.1822850821240129</v>
      </c>
      <c r="O2452">
        <v>0.27269304679089101</v>
      </c>
      <c r="P2452">
        <v>0.2637299521802185</v>
      </c>
    </row>
    <row r="2453" spans="13:16">
      <c r="M2453">
        <v>0.29898890135773132</v>
      </c>
      <c r="N2453">
        <v>0.17846710489214687</v>
      </c>
      <c r="O2453">
        <v>0.26887842694236375</v>
      </c>
      <c r="P2453">
        <v>0.25366556680775798</v>
      </c>
    </row>
    <row r="2454" spans="13:16">
      <c r="M2454">
        <v>0.29167404676887537</v>
      </c>
      <c r="N2454">
        <v>0.16700996434202461</v>
      </c>
      <c r="O2454">
        <v>0.28942022031906778</v>
      </c>
      <c r="P2454">
        <v>0.25189576857003215</v>
      </c>
    </row>
    <row r="2455" spans="13:16">
      <c r="M2455">
        <v>0.29843823134164749</v>
      </c>
      <c r="N2455">
        <v>0.17601685278063581</v>
      </c>
      <c r="O2455">
        <v>0.26117284751345909</v>
      </c>
      <c r="P2455">
        <v>0.26437206836425747</v>
      </c>
    </row>
    <row r="2456" spans="13:16">
      <c r="M2456">
        <v>0.31013207893388123</v>
      </c>
      <c r="N2456">
        <v>0.17567203591031116</v>
      </c>
      <c r="O2456">
        <v>0.24186481099514526</v>
      </c>
      <c r="P2456">
        <v>0.27233107416066232</v>
      </c>
    </row>
    <row r="2457" spans="13:16">
      <c r="M2457">
        <v>0.31100334132315671</v>
      </c>
      <c r="N2457">
        <v>0.1905433356139872</v>
      </c>
      <c r="O2457">
        <v>0.24931160060519855</v>
      </c>
      <c r="P2457">
        <v>0.24914172245765748</v>
      </c>
    </row>
    <row r="2458" spans="13:16">
      <c r="M2458">
        <v>0.27038687728967153</v>
      </c>
      <c r="N2458">
        <v>0.17990770889351951</v>
      </c>
      <c r="O2458">
        <v>0.27229620794977955</v>
      </c>
      <c r="P2458">
        <v>0.27740920586702944</v>
      </c>
    </row>
    <row r="2459" spans="13:16">
      <c r="M2459">
        <v>0.30889206681111581</v>
      </c>
      <c r="N2459">
        <v>0.18337254314318635</v>
      </c>
      <c r="O2459">
        <v>0.24136395046113465</v>
      </c>
      <c r="P2459">
        <v>0.26637143958456316</v>
      </c>
    </row>
    <row r="2460" spans="13:16">
      <c r="M2460">
        <v>0.26857958460049053</v>
      </c>
      <c r="N2460">
        <v>0.18425982045775022</v>
      </c>
      <c r="O2460">
        <v>0.26642672049656851</v>
      </c>
      <c r="P2460">
        <v>0.28073387444519066</v>
      </c>
    </row>
    <row r="2461" spans="13:16">
      <c r="M2461">
        <v>0.31376683900784186</v>
      </c>
      <c r="N2461">
        <v>0.18523397699866956</v>
      </c>
      <c r="O2461">
        <v>0.22093139226008698</v>
      </c>
      <c r="P2461">
        <v>0.28006779173340157</v>
      </c>
    </row>
    <row r="2462" spans="13:16">
      <c r="M2462">
        <v>0.29575918605116597</v>
      </c>
      <c r="N2462">
        <v>0.18702418294711698</v>
      </c>
      <c r="O2462">
        <v>0.25494057796446351</v>
      </c>
      <c r="P2462">
        <v>0.26227605303725354</v>
      </c>
    </row>
    <row r="2463" spans="13:16">
      <c r="M2463">
        <v>0.27772938326925795</v>
      </c>
      <c r="N2463">
        <v>0.1868002887614344</v>
      </c>
      <c r="O2463">
        <v>0.26857054999127883</v>
      </c>
      <c r="P2463">
        <v>0.26689977797802877</v>
      </c>
    </row>
    <row r="2464" spans="13:16">
      <c r="M2464">
        <v>0.31231277072346536</v>
      </c>
      <c r="N2464">
        <v>0.18259081302686139</v>
      </c>
      <c r="O2464">
        <v>0.22838988426619738</v>
      </c>
      <c r="P2464">
        <v>0.27670653198347589</v>
      </c>
    </row>
    <row r="2465" spans="13:16">
      <c r="M2465">
        <v>0.29281370127159673</v>
      </c>
      <c r="N2465">
        <v>0.19287355124874028</v>
      </c>
      <c r="O2465">
        <v>0.24091643241863356</v>
      </c>
      <c r="P2465">
        <v>0.27339631506102935</v>
      </c>
    </row>
    <row r="2466" spans="13:16">
      <c r="M2466">
        <v>0.30229003961864204</v>
      </c>
      <c r="N2466">
        <v>0.19478452057217366</v>
      </c>
      <c r="O2466">
        <v>0.23623347704537956</v>
      </c>
      <c r="P2466">
        <v>0.26669196276380469</v>
      </c>
    </row>
    <row r="2467" spans="13:16">
      <c r="M2467">
        <v>0.30237776529234717</v>
      </c>
      <c r="N2467">
        <v>0.1679126211012324</v>
      </c>
      <c r="O2467">
        <v>0.27963688258582614</v>
      </c>
      <c r="P2467">
        <v>0.25007273102059419</v>
      </c>
    </row>
    <row r="2468" spans="13:16">
      <c r="M2468">
        <v>0.34263254261690834</v>
      </c>
      <c r="N2468">
        <v>0.16529619913228361</v>
      </c>
      <c r="O2468">
        <v>0.23319869148904898</v>
      </c>
      <c r="P2468">
        <v>0.25887256676175902</v>
      </c>
    </row>
    <row r="2469" spans="13:16">
      <c r="M2469">
        <v>0.30933842352621721</v>
      </c>
      <c r="N2469">
        <v>0.20316354075391654</v>
      </c>
      <c r="O2469">
        <v>0.23233411958339525</v>
      </c>
      <c r="P2469">
        <v>0.25516391613647094</v>
      </c>
    </row>
    <row r="2470" spans="13:16">
      <c r="M2470">
        <v>0.31305717749584039</v>
      </c>
      <c r="N2470">
        <v>0.18256437070000947</v>
      </c>
      <c r="O2470">
        <v>0.2575567350381226</v>
      </c>
      <c r="P2470">
        <v>0.24682171676602763</v>
      </c>
    </row>
    <row r="2471" spans="13:16">
      <c r="M2471">
        <v>0.2910858877739983</v>
      </c>
      <c r="N2471">
        <v>0.19344036150192506</v>
      </c>
      <c r="O2471">
        <v>0.22847898233596256</v>
      </c>
      <c r="P2471">
        <v>0.28699476838811405</v>
      </c>
    </row>
    <row r="2472" spans="13:16">
      <c r="M2472">
        <v>0.27171865831787123</v>
      </c>
      <c r="N2472">
        <v>0.17845354836331248</v>
      </c>
      <c r="O2472">
        <v>0.28882688213546098</v>
      </c>
      <c r="P2472">
        <v>0.26100091118335539</v>
      </c>
    </row>
    <row r="2473" spans="13:16">
      <c r="M2473">
        <v>0.28502562163208933</v>
      </c>
      <c r="N2473">
        <v>0.19314130241207753</v>
      </c>
      <c r="O2473">
        <v>0.25441997930767524</v>
      </c>
      <c r="P2473">
        <v>0.26741309664815799</v>
      </c>
    </row>
    <row r="2474" spans="13:16">
      <c r="M2474">
        <v>0.27705389438697658</v>
      </c>
      <c r="N2474">
        <v>0.19418451283134197</v>
      </c>
      <c r="O2474">
        <v>0.25969883985926751</v>
      </c>
      <c r="P2474">
        <v>0.26906275292241388</v>
      </c>
    </row>
    <row r="2475" spans="13:16">
      <c r="M2475">
        <v>0.2895282447896565</v>
      </c>
      <c r="N2475">
        <v>0.18537330283312067</v>
      </c>
      <c r="O2475">
        <v>0.24875851876510827</v>
      </c>
      <c r="P2475">
        <v>0.27633993361211456</v>
      </c>
    </row>
    <row r="2476" spans="13:16">
      <c r="M2476">
        <v>0.31333228772671579</v>
      </c>
      <c r="N2476">
        <v>0.17951964499776785</v>
      </c>
      <c r="O2476">
        <v>0.24096396975681797</v>
      </c>
      <c r="P2476">
        <v>0.26618409751869831</v>
      </c>
    </row>
    <row r="2477" spans="13:16">
      <c r="M2477">
        <v>0.28812631007897299</v>
      </c>
      <c r="N2477">
        <v>0.17834780577002163</v>
      </c>
      <c r="O2477">
        <v>0.26503198951061108</v>
      </c>
      <c r="P2477">
        <v>0.26849389464039425</v>
      </c>
    </row>
    <row r="2478" spans="13:16">
      <c r="M2478">
        <v>0.27927400842833067</v>
      </c>
      <c r="N2478">
        <v>0.18914051772141233</v>
      </c>
      <c r="O2478">
        <v>0.27797170449641406</v>
      </c>
      <c r="P2478">
        <v>0.253613769353843</v>
      </c>
    </row>
    <row r="2479" spans="13:16">
      <c r="M2479">
        <v>0.28089392217197723</v>
      </c>
      <c r="N2479">
        <v>0.19098143379696295</v>
      </c>
      <c r="O2479">
        <v>0.27028360397515933</v>
      </c>
      <c r="P2479">
        <v>0.25784104005590053</v>
      </c>
    </row>
    <row r="2480" spans="13:16">
      <c r="M2480">
        <v>0.30014940299256682</v>
      </c>
      <c r="N2480">
        <v>0.17956159979209452</v>
      </c>
      <c r="O2480">
        <v>0.25123537082275016</v>
      </c>
      <c r="P2480">
        <v>0.26905362639258873</v>
      </c>
    </row>
    <row r="2481" spans="13:16">
      <c r="M2481">
        <v>0.28123718657883251</v>
      </c>
      <c r="N2481">
        <v>0.19801154606435348</v>
      </c>
      <c r="O2481">
        <v>0.25161247181190033</v>
      </c>
      <c r="P2481">
        <v>0.26913879554491366</v>
      </c>
    </row>
    <row r="2482" spans="13:16">
      <c r="M2482">
        <v>0.29884576013574654</v>
      </c>
      <c r="N2482">
        <v>0.18184905743503393</v>
      </c>
      <c r="O2482">
        <v>0.26174260193822346</v>
      </c>
      <c r="P2482">
        <v>0.25756258049099617</v>
      </c>
    </row>
    <row r="2483" spans="13:16">
      <c r="M2483">
        <v>0.30879931641374803</v>
      </c>
      <c r="N2483">
        <v>0.17810599860972459</v>
      </c>
      <c r="O2483">
        <v>0.25460342080867132</v>
      </c>
      <c r="P2483">
        <v>0.25849126416785601</v>
      </c>
    </row>
    <row r="2484" spans="13:16">
      <c r="M2484">
        <v>0.29257877460793957</v>
      </c>
      <c r="N2484">
        <v>0.188727198714113</v>
      </c>
      <c r="O2484">
        <v>0.25964690814146063</v>
      </c>
      <c r="P2484">
        <v>0.25904711853648665</v>
      </c>
    </row>
    <row r="2485" spans="13:16">
      <c r="M2485">
        <v>0.2720986410586122</v>
      </c>
      <c r="N2485">
        <v>0.19610005913235473</v>
      </c>
      <c r="O2485">
        <v>0.26227510644485985</v>
      </c>
      <c r="P2485">
        <v>0.26952619336417316</v>
      </c>
    </row>
    <row r="2486" spans="13:16">
      <c r="M2486">
        <v>0.29712056412147991</v>
      </c>
      <c r="N2486">
        <v>0.20010240971232143</v>
      </c>
      <c r="O2486">
        <v>0.23647239342594001</v>
      </c>
      <c r="P2486">
        <v>0.26630463274025867</v>
      </c>
    </row>
    <row r="2487" spans="13:16">
      <c r="M2487">
        <v>0.2690618744667887</v>
      </c>
      <c r="N2487">
        <v>0.17123334875876378</v>
      </c>
      <c r="O2487">
        <v>0.29313929728423105</v>
      </c>
      <c r="P2487">
        <v>0.26656547949021647</v>
      </c>
    </row>
    <row r="2488" spans="13:16">
      <c r="M2488">
        <v>0.29725113346554155</v>
      </c>
      <c r="N2488">
        <v>0.19259894488009946</v>
      </c>
      <c r="O2488">
        <v>0.24211781171008617</v>
      </c>
      <c r="P2488">
        <v>0.26803210994427284</v>
      </c>
    </row>
    <row r="2489" spans="13:16">
      <c r="M2489">
        <v>0.31345797331098041</v>
      </c>
      <c r="N2489">
        <v>0.16693363056104971</v>
      </c>
      <c r="O2489">
        <v>0.26938380078293217</v>
      </c>
      <c r="P2489">
        <v>0.2502245953450376</v>
      </c>
    </row>
    <row r="2490" spans="13:16">
      <c r="M2490">
        <v>0.29805509573308619</v>
      </c>
      <c r="N2490">
        <v>0.18661650801843765</v>
      </c>
      <c r="O2490">
        <v>0.24219107352231053</v>
      </c>
      <c r="P2490">
        <v>0.27313732272616564</v>
      </c>
    </row>
    <row r="2491" spans="13:16">
      <c r="M2491">
        <v>0.2671510078445718</v>
      </c>
      <c r="N2491">
        <v>0.18181609085965889</v>
      </c>
      <c r="O2491">
        <v>0.28595149657529617</v>
      </c>
      <c r="P2491">
        <v>0.26508140472047315</v>
      </c>
    </row>
    <row r="2492" spans="13:16">
      <c r="M2492">
        <v>0.28344873938658438</v>
      </c>
      <c r="N2492">
        <v>0.19086678556924869</v>
      </c>
      <c r="O2492">
        <v>0.25340672894001837</v>
      </c>
      <c r="P2492">
        <v>0.27227774610414851</v>
      </c>
    </row>
    <row r="2493" spans="13:16">
      <c r="M2493">
        <v>0.26473655315480571</v>
      </c>
      <c r="N2493">
        <v>0.20552008086473095</v>
      </c>
      <c r="O2493">
        <v>0.26172319487053836</v>
      </c>
      <c r="P2493">
        <v>0.26802017110992499</v>
      </c>
    </row>
    <row r="2494" spans="13:16">
      <c r="M2494">
        <v>0.28821305170788802</v>
      </c>
      <c r="N2494">
        <v>0.17262816708984779</v>
      </c>
      <c r="O2494">
        <v>0.27388869792347237</v>
      </c>
      <c r="P2494">
        <v>0.26527008327879181</v>
      </c>
    </row>
    <row r="2495" spans="13:16">
      <c r="M2495">
        <v>0.31413761422091152</v>
      </c>
      <c r="N2495">
        <v>0.17049779506427865</v>
      </c>
      <c r="O2495">
        <v>0.26252082982793035</v>
      </c>
      <c r="P2495">
        <v>0.25284376088687938</v>
      </c>
    </row>
    <row r="2496" spans="13:16">
      <c r="M2496">
        <v>0.27794491008193828</v>
      </c>
      <c r="N2496">
        <v>0.18805690112999598</v>
      </c>
      <c r="O2496">
        <v>0.26229614427510667</v>
      </c>
      <c r="P2496">
        <v>0.27170204451295921</v>
      </c>
    </row>
    <row r="2497" spans="13:16">
      <c r="M2497">
        <v>0.29792709319137289</v>
      </c>
      <c r="N2497">
        <v>0.19682514436169943</v>
      </c>
      <c r="O2497">
        <v>0.23941041107515793</v>
      </c>
      <c r="P2497">
        <v>0.26583735137176978</v>
      </c>
    </row>
    <row r="2498" spans="13:16">
      <c r="M2498">
        <v>0.28087304589809481</v>
      </c>
      <c r="N2498">
        <v>0.19500216172650969</v>
      </c>
      <c r="O2498">
        <v>0.24590873147098269</v>
      </c>
      <c r="P2498">
        <v>0.27821606090441275</v>
      </c>
    </row>
    <row r="2499" spans="13:16">
      <c r="M2499">
        <v>0.26638297611872586</v>
      </c>
      <c r="N2499">
        <v>0.18271151948635578</v>
      </c>
      <c r="O2499">
        <v>0.27878006557554164</v>
      </c>
      <c r="P2499">
        <v>0.27212543881937673</v>
      </c>
    </row>
    <row r="2500" spans="13:16">
      <c r="M2500">
        <v>0.30096063253192368</v>
      </c>
      <c r="N2500">
        <v>0.17390867955178468</v>
      </c>
      <c r="O2500">
        <v>0.25344542800841735</v>
      </c>
      <c r="P2500">
        <v>0.27168525990787429</v>
      </c>
    </row>
    <row r="2501" spans="13:16">
      <c r="M2501">
        <v>0.29447498484833484</v>
      </c>
      <c r="N2501">
        <v>0.1712567280249972</v>
      </c>
      <c r="O2501">
        <v>0.25916700381512248</v>
      </c>
      <c r="P2501">
        <v>0.27510128331154543</v>
      </c>
    </row>
    <row r="2502" spans="13:16">
      <c r="M2502">
        <v>0.32207474765329946</v>
      </c>
      <c r="N2502">
        <v>0.19754183655487814</v>
      </c>
      <c r="O2502">
        <v>0.21979512772264648</v>
      </c>
      <c r="P2502">
        <v>0.26058828806917594</v>
      </c>
    </row>
    <row r="2503" spans="13:16">
      <c r="M2503">
        <v>0.31212131959864725</v>
      </c>
      <c r="N2503">
        <v>0.17867172304768711</v>
      </c>
      <c r="O2503">
        <v>0.25119682725683162</v>
      </c>
      <c r="P2503">
        <v>0.25801013009683404</v>
      </c>
    </row>
    <row r="2504" spans="13:16">
      <c r="M2504">
        <v>0.31465169267536403</v>
      </c>
      <c r="N2504">
        <v>0.17757139810970163</v>
      </c>
      <c r="O2504">
        <v>0.23986302287283512</v>
      </c>
      <c r="P2504">
        <v>0.26791388634209923</v>
      </c>
    </row>
    <row r="2505" spans="13:16">
      <c r="M2505">
        <v>0.28592225386664566</v>
      </c>
      <c r="N2505">
        <v>0.18258050125212483</v>
      </c>
      <c r="O2505">
        <v>0.27416618452795349</v>
      </c>
      <c r="P2505">
        <v>0.25733106035327596</v>
      </c>
    </row>
    <row r="2506" spans="13:16">
      <c r="M2506">
        <v>0.28887209526290686</v>
      </c>
      <c r="N2506">
        <v>0.18479159090507771</v>
      </c>
      <c r="O2506">
        <v>0.27075716504246533</v>
      </c>
      <c r="P2506">
        <v>0.25557914878955018</v>
      </c>
    </row>
    <row r="2507" spans="13:16">
      <c r="M2507">
        <v>0.30465072277229777</v>
      </c>
      <c r="N2507">
        <v>0.17890802896967231</v>
      </c>
      <c r="O2507">
        <v>0.26216252955679725</v>
      </c>
      <c r="P2507">
        <v>0.25427871870123259</v>
      </c>
    </row>
    <row r="2508" spans="13:16">
      <c r="M2508">
        <v>0.30260832367526519</v>
      </c>
      <c r="N2508">
        <v>0.18474837268904951</v>
      </c>
      <c r="O2508">
        <v>0.24514829783176864</v>
      </c>
      <c r="P2508">
        <v>0.26749500580391661</v>
      </c>
    </row>
    <row r="2509" spans="13:16">
      <c r="M2509">
        <v>0.32218905331531389</v>
      </c>
      <c r="N2509">
        <v>0.19148827586605738</v>
      </c>
      <c r="O2509">
        <v>0.23280876312254262</v>
      </c>
      <c r="P2509">
        <v>0.25351390769608595</v>
      </c>
    </row>
    <row r="2510" spans="13:16">
      <c r="M2510">
        <v>0.32057987384147829</v>
      </c>
      <c r="N2510">
        <v>0.17712420083293995</v>
      </c>
      <c r="O2510">
        <v>0.24039215544534054</v>
      </c>
      <c r="P2510">
        <v>0.26190376988024128</v>
      </c>
    </row>
    <row r="2511" spans="13:16">
      <c r="M2511">
        <v>0.28686832723070904</v>
      </c>
      <c r="N2511">
        <v>0.18106580434586797</v>
      </c>
      <c r="O2511">
        <v>0.27484264595713209</v>
      </c>
      <c r="P2511">
        <v>0.25722322246629076</v>
      </c>
    </row>
    <row r="2512" spans="13:16">
      <c r="M2512">
        <v>0.27290820017213613</v>
      </c>
      <c r="N2512">
        <v>0.20246555305281855</v>
      </c>
      <c r="O2512">
        <v>0.25835053487184106</v>
      </c>
      <c r="P2512">
        <v>0.26627571190320426</v>
      </c>
    </row>
    <row r="2513" spans="13:16">
      <c r="M2513">
        <v>0.27065467516347813</v>
      </c>
      <c r="N2513">
        <v>0.19542000545713062</v>
      </c>
      <c r="O2513">
        <v>0.27676968428278703</v>
      </c>
      <c r="P2513">
        <v>0.25715563509660427</v>
      </c>
    </row>
    <row r="2514" spans="13:16">
      <c r="M2514">
        <v>0.32390651179037189</v>
      </c>
      <c r="N2514">
        <v>0.16642084660991513</v>
      </c>
      <c r="O2514">
        <v>0.2457573779143751</v>
      </c>
      <c r="P2514">
        <v>0.26391526368533791</v>
      </c>
    </row>
    <row r="2515" spans="13:16">
      <c r="M2515">
        <v>0.30636777659433928</v>
      </c>
      <c r="N2515">
        <v>0.16717723112326971</v>
      </c>
      <c r="O2515">
        <v>0.27016628426951761</v>
      </c>
      <c r="P2515">
        <v>0.25628870801287335</v>
      </c>
    </row>
    <row r="2516" spans="13:16">
      <c r="M2516">
        <v>0.30923313065075986</v>
      </c>
      <c r="N2516">
        <v>0.18894793334157886</v>
      </c>
      <c r="O2516">
        <v>0.22731670563753337</v>
      </c>
      <c r="P2516">
        <v>0.27450223037012789</v>
      </c>
    </row>
    <row r="2517" spans="13:16">
      <c r="M2517">
        <v>0.30075746203405213</v>
      </c>
      <c r="N2517">
        <v>0.17985564726439618</v>
      </c>
      <c r="O2517">
        <v>0.26124704990115438</v>
      </c>
      <c r="P2517">
        <v>0.25813984080039726</v>
      </c>
    </row>
    <row r="2518" spans="13:16">
      <c r="M2518">
        <v>0.31055972288743328</v>
      </c>
      <c r="N2518">
        <v>0.17331864722968671</v>
      </c>
      <c r="O2518">
        <v>0.25927381533091598</v>
      </c>
      <c r="P2518">
        <v>0.25684781455196415</v>
      </c>
    </row>
    <row r="2519" spans="13:16">
      <c r="M2519">
        <v>0.32999184195164427</v>
      </c>
      <c r="N2519">
        <v>0.18455424384555102</v>
      </c>
      <c r="O2519">
        <v>0.22968624117866357</v>
      </c>
      <c r="P2519">
        <v>0.25576767302414116</v>
      </c>
    </row>
    <row r="2520" spans="13:16">
      <c r="M2520">
        <v>0.30155607578118809</v>
      </c>
      <c r="N2520">
        <v>0.19267827399101306</v>
      </c>
      <c r="O2520">
        <v>0.24849336477637085</v>
      </c>
      <c r="P2520">
        <v>0.257272285451428</v>
      </c>
    </row>
    <row r="2521" spans="13:16">
      <c r="M2521">
        <v>0.30249355546580586</v>
      </c>
      <c r="N2521">
        <v>0.1814370134898774</v>
      </c>
      <c r="O2521">
        <v>0.242963411324399</v>
      </c>
      <c r="P2521">
        <v>0.27310601971991771</v>
      </c>
    </row>
    <row r="2522" spans="13:16">
      <c r="M2522">
        <v>0.31346700450369008</v>
      </c>
      <c r="N2522">
        <v>0.18718615566270955</v>
      </c>
      <c r="O2522">
        <v>0.23120837069056077</v>
      </c>
      <c r="P2522">
        <v>0.26813846914303952</v>
      </c>
    </row>
    <row r="2523" spans="13:16">
      <c r="M2523">
        <v>0.27299176645845141</v>
      </c>
      <c r="N2523">
        <v>0.19678957767005492</v>
      </c>
      <c r="O2523">
        <v>0.26109854179183617</v>
      </c>
      <c r="P2523">
        <v>0.26912011407965741</v>
      </c>
    </row>
    <row r="2524" spans="13:16">
      <c r="M2524">
        <v>0.27882870137535937</v>
      </c>
      <c r="N2524">
        <v>0.17314329436329784</v>
      </c>
      <c r="O2524">
        <v>0.28166898052952072</v>
      </c>
      <c r="P2524">
        <v>0.26635902373182213</v>
      </c>
    </row>
    <row r="2525" spans="13:16">
      <c r="M2525">
        <v>0.27189104424420468</v>
      </c>
      <c r="N2525">
        <v>0.17614947714636256</v>
      </c>
      <c r="O2525">
        <v>0.2864800311634762</v>
      </c>
      <c r="P2525">
        <v>0.26547944744595653</v>
      </c>
    </row>
    <row r="2526" spans="13:16">
      <c r="M2526">
        <v>0.29738402560681026</v>
      </c>
      <c r="N2526">
        <v>0.17860713166595896</v>
      </c>
      <c r="O2526">
        <v>0.24470989366721352</v>
      </c>
      <c r="P2526">
        <v>0.27929894906001723</v>
      </c>
    </row>
    <row r="2527" spans="13:16">
      <c r="M2527">
        <v>0.29924586470121306</v>
      </c>
      <c r="N2527">
        <v>0.17104545139596908</v>
      </c>
      <c r="O2527">
        <v>0.28724112672380087</v>
      </c>
      <c r="P2527">
        <v>0.24246755717901694</v>
      </c>
    </row>
    <row r="2528" spans="13:16">
      <c r="M2528">
        <v>0.27801819123324306</v>
      </c>
      <c r="N2528">
        <v>0.18624318373450247</v>
      </c>
      <c r="O2528">
        <v>0.25265207377577587</v>
      </c>
      <c r="P2528">
        <v>0.28308655125647869</v>
      </c>
    </row>
    <row r="2529" spans="13:16">
      <c r="M2529">
        <v>0.28200717740305664</v>
      </c>
      <c r="N2529">
        <v>0.18788281761936057</v>
      </c>
      <c r="O2529">
        <v>0.27271616055742315</v>
      </c>
      <c r="P2529">
        <v>0.25739384442015956</v>
      </c>
    </row>
    <row r="2530" spans="13:16">
      <c r="M2530">
        <v>0.28670022105335558</v>
      </c>
      <c r="N2530">
        <v>0.19707313019146588</v>
      </c>
      <c r="O2530">
        <v>0.25586283634902451</v>
      </c>
      <c r="P2530">
        <v>0.26036381240615414</v>
      </c>
    </row>
    <row r="2531" spans="13:16">
      <c r="M2531">
        <v>0.27683546066652909</v>
      </c>
      <c r="N2531">
        <v>0.18306568708943588</v>
      </c>
      <c r="O2531">
        <v>0.26720801348996853</v>
      </c>
      <c r="P2531">
        <v>0.27289083875406656</v>
      </c>
    </row>
    <row r="2532" spans="13:16">
      <c r="M2532">
        <v>0.2638851322675656</v>
      </c>
      <c r="N2532">
        <v>0.19427058381539158</v>
      </c>
      <c r="O2532">
        <v>0.26792280102071303</v>
      </c>
      <c r="P2532">
        <v>0.27392148289632978</v>
      </c>
    </row>
    <row r="2533" spans="13:16">
      <c r="M2533">
        <v>0.27298212032167579</v>
      </c>
      <c r="N2533">
        <v>0.19573350579485474</v>
      </c>
      <c r="O2533">
        <v>0.26658296484842031</v>
      </c>
      <c r="P2533">
        <v>0.26470140903504913</v>
      </c>
    </row>
    <row r="2534" spans="13:16">
      <c r="M2534">
        <v>0.28341549586315112</v>
      </c>
      <c r="N2534">
        <v>0.18520110421733865</v>
      </c>
      <c r="O2534">
        <v>0.26732430206955865</v>
      </c>
      <c r="P2534">
        <v>0.26405909784995168</v>
      </c>
    </row>
    <row r="2535" spans="13:16">
      <c r="M2535">
        <v>0.30151140395345727</v>
      </c>
      <c r="N2535">
        <v>0.16828128971173034</v>
      </c>
      <c r="O2535">
        <v>0.27895098655736333</v>
      </c>
      <c r="P2535">
        <v>0.25125631977744928</v>
      </c>
    </row>
    <row r="2536" spans="13:16">
      <c r="M2536">
        <v>0.30379659452352159</v>
      </c>
      <c r="N2536">
        <v>0.17301314710713095</v>
      </c>
      <c r="O2536">
        <v>0.26424251967792162</v>
      </c>
      <c r="P2536">
        <v>0.25894773869142579</v>
      </c>
    </row>
    <row r="2537" spans="13:16">
      <c r="M2537">
        <v>0.25679199426027116</v>
      </c>
      <c r="N2537">
        <v>0.2065312661894477</v>
      </c>
      <c r="O2537">
        <v>0.2726852702684196</v>
      </c>
      <c r="P2537">
        <v>0.26399146928186157</v>
      </c>
    </row>
    <row r="2538" spans="13:16">
      <c r="M2538">
        <v>0.28850291025190611</v>
      </c>
      <c r="N2538">
        <v>0.18498583100114593</v>
      </c>
      <c r="O2538">
        <v>0.23482607156275112</v>
      </c>
      <c r="P2538">
        <v>0.29168518718419678</v>
      </c>
    </row>
    <row r="2539" spans="13:16">
      <c r="M2539">
        <v>0.32918014065745527</v>
      </c>
      <c r="N2539">
        <v>0.19167469621442412</v>
      </c>
      <c r="O2539">
        <v>0.21465151675832622</v>
      </c>
      <c r="P2539">
        <v>0.26449364636979444</v>
      </c>
    </row>
    <row r="2540" spans="13:16">
      <c r="M2540">
        <v>0.29819501575863183</v>
      </c>
      <c r="N2540">
        <v>0.18507494979887568</v>
      </c>
      <c r="O2540">
        <v>0.24903330723378325</v>
      </c>
      <c r="P2540">
        <v>0.26769672720870918</v>
      </c>
    </row>
    <row r="2541" spans="13:16">
      <c r="M2541">
        <v>0.28084773327012075</v>
      </c>
      <c r="N2541">
        <v>0.20366051645862607</v>
      </c>
      <c r="O2541">
        <v>0.23101829740557486</v>
      </c>
      <c r="P2541">
        <v>0.28447345286567838</v>
      </c>
    </row>
    <row r="2542" spans="13:16">
      <c r="M2542">
        <v>0.30822903129602613</v>
      </c>
      <c r="N2542">
        <v>0.17655709878837267</v>
      </c>
      <c r="O2542">
        <v>0.26179394498109743</v>
      </c>
      <c r="P2542">
        <v>0.25341992493450377</v>
      </c>
    </row>
    <row r="2543" spans="13:16">
      <c r="M2543">
        <v>0.31189928755204044</v>
      </c>
      <c r="N2543">
        <v>0.17525770670168683</v>
      </c>
      <c r="O2543">
        <v>0.24539838574573403</v>
      </c>
      <c r="P2543">
        <v>0.2674446200005387</v>
      </c>
    </row>
    <row r="2544" spans="13:16">
      <c r="M2544">
        <v>0.31623550798901895</v>
      </c>
      <c r="N2544">
        <v>0.18127803565355982</v>
      </c>
      <c r="O2544">
        <v>0.23006852613217185</v>
      </c>
      <c r="P2544">
        <v>0.27241793022524929</v>
      </c>
    </row>
    <row r="2545" spans="13:16">
      <c r="M2545">
        <v>0.30633691533448026</v>
      </c>
      <c r="N2545">
        <v>0.16645938710951649</v>
      </c>
      <c r="O2545">
        <v>0.26508538056452813</v>
      </c>
      <c r="P2545">
        <v>0.26211831699147509</v>
      </c>
    </row>
    <row r="2546" spans="13:16">
      <c r="M2546">
        <v>0.27815841233685906</v>
      </c>
      <c r="N2546">
        <v>0.19225261067018073</v>
      </c>
      <c r="O2546">
        <v>0.25834270663040237</v>
      </c>
      <c r="P2546">
        <v>0.27124627036255788</v>
      </c>
    </row>
    <row r="2547" spans="13:16">
      <c r="M2547">
        <v>0.28290391822012939</v>
      </c>
      <c r="N2547">
        <v>0.19040850419282357</v>
      </c>
      <c r="O2547">
        <v>0.27577257601807892</v>
      </c>
      <c r="P2547">
        <v>0.25091500156896812</v>
      </c>
    </row>
    <row r="2548" spans="13:16">
      <c r="M2548">
        <v>0.30848568626478712</v>
      </c>
      <c r="N2548">
        <v>0.1819414501273314</v>
      </c>
      <c r="O2548">
        <v>0.22217739463368175</v>
      </c>
      <c r="P2548">
        <v>0.28739546897419971</v>
      </c>
    </row>
    <row r="2549" spans="13:16">
      <c r="M2549">
        <v>0.29595145444337601</v>
      </c>
      <c r="N2549">
        <v>0.18776001902293518</v>
      </c>
      <c r="O2549">
        <v>0.25370403120403601</v>
      </c>
      <c r="P2549">
        <v>0.26258449532965294</v>
      </c>
    </row>
    <row r="2550" spans="13:16">
      <c r="M2550">
        <v>0.30481754207199807</v>
      </c>
      <c r="N2550">
        <v>0.17632092059878274</v>
      </c>
      <c r="O2550">
        <v>0.2360816328388475</v>
      </c>
      <c r="P2550">
        <v>0.28277990449037171</v>
      </c>
    </row>
    <row r="2551" spans="13:16">
      <c r="M2551">
        <v>0.28545455033114819</v>
      </c>
      <c r="N2551">
        <v>0.1894588756252423</v>
      </c>
      <c r="O2551">
        <v>0.24914043892405044</v>
      </c>
      <c r="P2551">
        <v>0.27594613511955907</v>
      </c>
    </row>
    <row r="2552" spans="13:16">
      <c r="M2552">
        <v>0.28909900540399197</v>
      </c>
      <c r="N2552">
        <v>0.16962598062207176</v>
      </c>
      <c r="O2552">
        <v>0.29785349303044495</v>
      </c>
      <c r="P2552">
        <v>0.24342152094349132</v>
      </c>
    </row>
    <row r="2553" spans="13:16">
      <c r="M2553">
        <v>0.29522632993026643</v>
      </c>
      <c r="N2553">
        <v>0.1703766157832719</v>
      </c>
      <c r="O2553">
        <v>0.26690189175791945</v>
      </c>
      <c r="P2553">
        <v>0.26749516252854227</v>
      </c>
    </row>
    <row r="2554" spans="13:16">
      <c r="M2554">
        <v>0.26244050079790393</v>
      </c>
      <c r="N2554">
        <v>0.18473151090081324</v>
      </c>
      <c r="O2554">
        <v>0.2837291844246031</v>
      </c>
      <c r="P2554">
        <v>0.26909880387667962</v>
      </c>
    </row>
    <row r="2555" spans="13:16">
      <c r="M2555">
        <v>0.27553705056893008</v>
      </c>
      <c r="N2555">
        <v>0.19074137879688374</v>
      </c>
      <c r="O2555">
        <v>0.26845803234462029</v>
      </c>
      <c r="P2555">
        <v>0.26526353828956584</v>
      </c>
    </row>
    <row r="2556" spans="13:16">
      <c r="M2556">
        <v>0.28534884016890483</v>
      </c>
      <c r="N2556">
        <v>0.18397843595017541</v>
      </c>
      <c r="O2556">
        <v>0.28592608679560871</v>
      </c>
      <c r="P2556">
        <v>0.24474663708531108</v>
      </c>
    </row>
    <row r="2557" spans="13:16">
      <c r="M2557">
        <v>0.28987305363372595</v>
      </c>
      <c r="N2557">
        <v>0.18512120935825913</v>
      </c>
      <c r="O2557">
        <v>0.24982588660612809</v>
      </c>
      <c r="P2557">
        <v>0.27517985040188675</v>
      </c>
    </row>
    <row r="2558" spans="13:16">
      <c r="M2558">
        <v>0.31057190084367126</v>
      </c>
      <c r="N2558">
        <v>0.198071753295366</v>
      </c>
      <c r="O2558">
        <v>0.22897747485989142</v>
      </c>
      <c r="P2558">
        <v>0.26237887100107132</v>
      </c>
    </row>
    <row r="2559" spans="13:16">
      <c r="M2559">
        <v>0.28238726305650164</v>
      </c>
      <c r="N2559">
        <v>0.20168618826604132</v>
      </c>
      <c r="O2559">
        <v>0.25361534544887671</v>
      </c>
      <c r="P2559">
        <v>0.26231120322858043</v>
      </c>
    </row>
    <row r="2560" spans="13:16">
      <c r="M2560">
        <v>0.28606531193829327</v>
      </c>
      <c r="N2560">
        <v>0.18035980900217016</v>
      </c>
      <c r="O2560">
        <v>0.26758208887853774</v>
      </c>
      <c r="P2560">
        <v>0.26599279018099903</v>
      </c>
    </row>
    <row r="2561" spans="13:16">
      <c r="M2561">
        <v>0.27244585696166707</v>
      </c>
      <c r="N2561">
        <v>0.18289060243770133</v>
      </c>
      <c r="O2561">
        <v>0.28962177407383105</v>
      </c>
      <c r="P2561">
        <v>0.25504176652680055</v>
      </c>
    </row>
    <row r="2562" spans="13:16">
      <c r="M2562">
        <v>0.27887711203553894</v>
      </c>
      <c r="N2562">
        <v>0.19384254275543233</v>
      </c>
      <c r="O2562">
        <v>0.27038423320842736</v>
      </c>
      <c r="P2562">
        <v>0.25689611200060142</v>
      </c>
    </row>
    <row r="2563" spans="13:16">
      <c r="M2563">
        <v>0.29736357962663929</v>
      </c>
      <c r="N2563">
        <v>0.1942049410092882</v>
      </c>
      <c r="O2563">
        <v>0.24841605693384072</v>
      </c>
      <c r="P2563">
        <v>0.26001542243023157</v>
      </c>
    </row>
    <row r="2564" spans="13:16">
      <c r="M2564">
        <v>0.30863400212855374</v>
      </c>
      <c r="N2564">
        <v>0.18519358851916132</v>
      </c>
      <c r="O2564">
        <v>0.23444014360437881</v>
      </c>
      <c r="P2564">
        <v>0.2717322657479061</v>
      </c>
    </row>
    <row r="2565" spans="13:16">
      <c r="M2565">
        <v>0.2890049005361699</v>
      </c>
      <c r="N2565">
        <v>0.18437947346672132</v>
      </c>
      <c r="O2565">
        <v>0.26079732597655514</v>
      </c>
      <c r="P2565">
        <v>0.26581830002055362</v>
      </c>
    </row>
    <row r="2566" spans="13:16">
      <c r="M2566">
        <v>0.29155162668625473</v>
      </c>
      <c r="N2566">
        <v>0.19401075802398701</v>
      </c>
      <c r="O2566">
        <v>0.25595247814814076</v>
      </c>
      <c r="P2566">
        <v>0.25848513714161736</v>
      </c>
    </row>
    <row r="2567" spans="13:16">
      <c r="M2567">
        <v>0.27071165719543033</v>
      </c>
      <c r="N2567">
        <v>0.19305553327160527</v>
      </c>
      <c r="O2567">
        <v>0.27132143797160208</v>
      </c>
      <c r="P2567">
        <v>0.2649113715613623</v>
      </c>
    </row>
    <row r="2568" spans="13:16">
      <c r="M2568">
        <v>0.30787427049829957</v>
      </c>
      <c r="N2568">
        <v>0.19652799836714671</v>
      </c>
      <c r="O2568">
        <v>0.22428609113812498</v>
      </c>
      <c r="P2568">
        <v>0.27131163999642866</v>
      </c>
    </row>
    <row r="2569" spans="13:16">
      <c r="M2569">
        <v>0.30913752356622487</v>
      </c>
      <c r="N2569">
        <v>0.16628695647610206</v>
      </c>
      <c r="O2569">
        <v>0.26828614519000554</v>
      </c>
      <c r="P2569">
        <v>0.25628937476766761</v>
      </c>
    </row>
    <row r="2570" spans="13:16">
      <c r="M2570">
        <v>0.27183243993351042</v>
      </c>
      <c r="N2570">
        <v>0.18151058234561585</v>
      </c>
      <c r="O2570">
        <v>0.28195992656796609</v>
      </c>
      <c r="P2570">
        <v>0.26469705115290765</v>
      </c>
    </row>
    <row r="2571" spans="13:16">
      <c r="M2571">
        <v>0.27410583244204773</v>
      </c>
      <c r="N2571">
        <v>0.18252338918802519</v>
      </c>
      <c r="O2571">
        <v>0.27867805448330646</v>
      </c>
      <c r="P2571">
        <v>0.26469272388662052</v>
      </c>
    </row>
    <row r="2572" spans="13:16">
      <c r="M2572">
        <v>0.28526388894976679</v>
      </c>
      <c r="N2572">
        <v>0.17863012353778102</v>
      </c>
      <c r="O2572">
        <v>0.26685273238998963</v>
      </c>
      <c r="P2572">
        <v>0.26925325512246256</v>
      </c>
    </row>
    <row r="2573" spans="13:16">
      <c r="M2573">
        <v>0.27754910234735725</v>
      </c>
      <c r="N2573">
        <v>0.19483525069302138</v>
      </c>
      <c r="O2573">
        <v>0.25694887966770885</v>
      </c>
      <c r="P2573">
        <v>0.27066676729191252</v>
      </c>
    </row>
    <row r="2574" spans="13:16">
      <c r="M2574">
        <v>0.28189793967846233</v>
      </c>
      <c r="N2574">
        <v>0.1884946789510567</v>
      </c>
      <c r="O2574">
        <v>0.25136884727680564</v>
      </c>
      <c r="P2574">
        <v>0.27823853409367527</v>
      </c>
    </row>
    <row r="2575" spans="13:16">
      <c r="M2575">
        <v>0.28214843960019126</v>
      </c>
      <c r="N2575">
        <v>0.18883034296693202</v>
      </c>
      <c r="O2575">
        <v>0.26509006516787287</v>
      </c>
      <c r="P2575">
        <v>0.26393115226500391</v>
      </c>
    </row>
    <row r="2576" spans="13:16">
      <c r="M2576">
        <v>0.27420411913866527</v>
      </c>
      <c r="N2576">
        <v>0.17782099299188819</v>
      </c>
      <c r="O2576">
        <v>0.29442370810583679</v>
      </c>
      <c r="P2576">
        <v>0.25355117976360975</v>
      </c>
    </row>
    <row r="2577" spans="13:16">
      <c r="M2577">
        <v>0.28941986505670791</v>
      </c>
      <c r="N2577">
        <v>0.19851660731621665</v>
      </c>
      <c r="O2577">
        <v>0.25980344223572444</v>
      </c>
      <c r="P2577">
        <v>0.25226008539135092</v>
      </c>
    </row>
    <row r="2578" spans="13:16">
      <c r="M2578">
        <v>0.29745474214598211</v>
      </c>
      <c r="N2578">
        <v>0.17031181320058547</v>
      </c>
      <c r="O2578">
        <v>0.26232104918100724</v>
      </c>
      <c r="P2578">
        <v>0.26991239547242524</v>
      </c>
    </row>
    <row r="2579" spans="13:16">
      <c r="M2579">
        <v>0.28840078777097322</v>
      </c>
      <c r="N2579">
        <v>0.18281975443279588</v>
      </c>
      <c r="O2579">
        <v>0.2720494581301684</v>
      </c>
      <c r="P2579">
        <v>0.25672999966606241</v>
      </c>
    </row>
    <row r="2580" spans="13:16">
      <c r="M2580">
        <v>0.3002892921425892</v>
      </c>
      <c r="N2580">
        <v>0.16992702240566082</v>
      </c>
      <c r="O2580">
        <v>0.28597191558846846</v>
      </c>
      <c r="P2580">
        <v>0.24381176986328162</v>
      </c>
    </row>
    <row r="2581" spans="13:16">
      <c r="M2581">
        <v>0.28625430176256267</v>
      </c>
      <c r="N2581">
        <v>0.17413205658914865</v>
      </c>
      <c r="O2581">
        <v>0.28740823618140932</v>
      </c>
      <c r="P2581">
        <v>0.25220540546687936</v>
      </c>
    </row>
    <row r="2582" spans="13:16">
      <c r="M2582">
        <v>0.29661249422997615</v>
      </c>
      <c r="N2582">
        <v>0.20399628976590908</v>
      </c>
      <c r="O2582">
        <v>0.23960986873362086</v>
      </c>
      <c r="P2582">
        <v>0.25978134727049379</v>
      </c>
    </row>
    <row r="2583" spans="13:16">
      <c r="M2583">
        <v>0.31424238249121894</v>
      </c>
      <c r="N2583">
        <v>0.1894025265638884</v>
      </c>
      <c r="O2583">
        <v>0.24821852779253448</v>
      </c>
      <c r="P2583">
        <v>0.24813656315235819</v>
      </c>
    </row>
    <row r="2584" spans="13:16">
      <c r="M2584">
        <v>0.29064042869390122</v>
      </c>
      <c r="N2584">
        <v>0.1875801119922538</v>
      </c>
      <c r="O2584">
        <v>0.25074997374214691</v>
      </c>
      <c r="P2584">
        <v>0.27102948557169798</v>
      </c>
    </row>
    <row r="2585" spans="13:16">
      <c r="M2585">
        <v>0.29310746891833073</v>
      </c>
      <c r="N2585">
        <v>0.19427360663784415</v>
      </c>
      <c r="O2585">
        <v>0.23068346079347332</v>
      </c>
      <c r="P2585">
        <v>0.28193546365035177</v>
      </c>
    </row>
    <row r="2586" spans="13:16">
      <c r="M2586">
        <v>0.30421075875870623</v>
      </c>
      <c r="N2586">
        <v>0.1877821988690237</v>
      </c>
      <c r="O2586">
        <v>0.24899984573828138</v>
      </c>
      <c r="P2586">
        <v>0.25900719663398863</v>
      </c>
    </row>
    <row r="2587" spans="13:16">
      <c r="M2587">
        <v>0.30771167154976414</v>
      </c>
      <c r="N2587">
        <v>0.17241044729348021</v>
      </c>
      <c r="O2587">
        <v>0.27314157852362353</v>
      </c>
      <c r="P2587">
        <v>0.2467363026331322</v>
      </c>
    </row>
    <row r="2588" spans="13:16">
      <c r="M2588">
        <v>0.31535724707215013</v>
      </c>
      <c r="N2588">
        <v>0.17880527157908563</v>
      </c>
      <c r="O2588">
        <v>0.24529684962822246</v>
      </c>
      <c r="P2588">
        <v>0.26054063172054182</v>
      </c>
    </row>
    <row r="2589" spans="13:16">
      <c r="M2589">
        <v>0.30960862731046052</v>
      </c>
      <c r="N2589">
        <v>0.19386241425189049</v>
      </c>
      <c r="O2589">
        <v>0.23950716567263491</v>
      </c>
      <c r="P2589">
        <v>0.25702179276501408</v>
      </c>
    </row>
    <row r="2590" spans="13:16">
      <c r="M2590">
        <v>0.32787963126137148</v>
      </c>
      <c r="N2590">
        <v>0.16239609378823655</v>
      </c>
      <c r="O2590">
        <v>0.2594534313892875</v>
      </c>
      <c r="P2590">
        <v>0.25027084356110441</v>
      </c>
    </row>
    <row r="2591" spans="13:16">
      <c r="M2591">
        <v>0.30325599965911337</v>
      </c>
      <c r="N2591">
        <v>0.1680532695232769</v>
      </c>
      <c r="O2591">
        <v>0.28020132164210854</v>
      </c>
      <c r="P2591">
        <v>0.24848940917550122</v>
      </c>
    </row>
    <row r="2592" spans="13:16">
      <c r="M2592">
        <v>0.28983357890834116</v>
      </c>
      <c r="N2592">
        <v>0.18259861484855647</v>
      </c>
      <c r="O2592">
        <v>0.27394906430746729</v>
      </c>
      <c r="P2592">
        <v>0.25361874193563511</v>
      </c>
    </row>
    <row r="2593" spans="13:16">
      <c r="M2593">
        <v>0.27509893305841793</v>
      </c>
      <c r="N2593">
        <v>0.16866941194682655</v>
      </c>
      <c r="O2593">
        <v>0.30081090764778085</v>
      </c>
      <c r="P2593">
        <v>0.25542074734697451</v>
      </c>
    </row>
    <row r="2594" spans="13:16">
      <c r="M2594">
        <v>0.27724351770447031</v>
      </c>
      <c r="N2594">
        <v>0.17384820156103578</v>
      </c>
      <c r="O2594">
        <v>0.27763394381150575</v>
      </c>
      <c r="P2594">
        <v>0.27127433692298819</v>
      </c>
    </row>
    <row r="2595" spans="13:16">
      <c r="M2595">
        <v>0.27849105989962775</v>
      </c>
      <c r="N2595">
        <v>0.19222518325118909</v>
      </c>
      <c r="O2595">
        <v>0.25122538245452164</v>
      </c>
      <c r="P2595">
        <v>0.27805837439466147</v>
      </c>
    </row>
    <row r="2596" spans="13:16">
      <c r="M2596">
        <v>0.28192779756848652</v>
      </c>
      <c r="N2596">
        <v>0.19338272746090923</v>
      </c>
      <c r="O2596">
        <v>0.27644227227508172</v>
      </c>
      <c r="P2596">
        <v>0.24824720269552253</v>
      </c>
    </row>
    <row r="2597" spans="13:16">
      <c r="M2597">
        <v>0.26575515638593866</v>
      </c>
      <c r="N2597">
        <v>0.19236513477574035</v>
      </c>
      <c r="O2597">
        <v>0.27216077597958749</v>
      </c>
      <c r="P2597">
        <v>0.26971893285873355</v>
      </c>
    </row>
    <row r="2598" spans="13:16">
      <c r="M2598">
        <v>0.29700614647810691</v>
      </c>
      <c r="N2598">
        <v>0.18044662270591602</v>
      </c>
      <c r="O2598">
        <v>0.27057115569480744</v>
      </c>
      <c r="P2598">
        <v>0.2519760751211696</v>
      </c>
    </row>
    <row r="2599" spans="13:16">
      <c r="M2599">
        <v>0.28305022201135593</v>
      </c>
      <c r="N2599">
        <v>0.18537949435690598</v>
      </c>
      <c r="O2599">
        <v>0.26919323631714093</v>
      </c>
      <c r="P2599">
        <v>0.26237704731459721</v>
      </c>
    </row>
    <row r="2600" spans="13:16">
      <c r="M2600">
        <v>0.28545319115054207</v>
      </c>
      <c r="N2600">
        <v>0.18059208289625167</v>
      </c>
      <c r="O2600">
        <v>0.26408872048405735</v>
      </c>
      <c r="P2600">
        <v>0.2698660054691488</v>
      </c>
    </row>
    <row r="2601" spans="13:16">
      <c r="M2601">
        <v>0.29373293052130373</v>
      </c>
      <c r="N2601">
        <v>0.18773445603927333</v>
      </c>
      <c r="O2601">
        <v>0.2517011620415105</v>
      </c>
      <c r="P2601">
        <v>0.26683145139791253</v>
      </c>
    </row>
    <row r="2602" spans="13:16">
      <c r="M2602">
        <v>0.29844400710792551</v>
      </c>
      <c r="N2602">
        <v>0.17186256675770595</v>
      </c>
      <c r="O2602">
        <v>0.27906238208430229</v>
      </c>
      <c r="P2602">
        <v>0.25063104405006631</v>
      </c>
    </row>
    <row r="2603" spans="13:16">
      <c r="M2603">
        <v>0.29198671033119084</v>
      </c>
      <c r="N2603">
        <v>0.20203374208856328</v>
      </c>
      <c r="O2603">
        <v>0.23743682819400946</v>
      </c>
      <c r="P2603">
        <v>0.26854271938623642</v>
      </c>
    </row>
    <row r="2604" spans="13:16">
      <c r="M2604">
        <v>0.27318701640663801</v>
      </c>
      <c r="N2604">
        <v>0.18491294880879347</v>
      </c>
      <c r="O2604">
        <v>0.27788669862033083</v>
      </c>
      <c r="P2604">
        <v>0.26401333616423767</v>
      </c>
    </row>
    <row r="2605" spans="13:16">
      <c r="M2605">
        <v>0.30625124047084751</v>
      </c>
      <c r="N2605">
        <v>0.19217949438754139</v>
      </c>
      <c r="O2605">
        <v>0.23683472670454175</v>
      </c>
      <c r="P2605">
        <v>0.26473453843706923</v>
      </c>
    </row>
    <row r="2606" spans="13:16">
      <c r="M2606">
        <v>0.27563891258169071</v>
      </c>
      <c r="N2606">
        <v>0.18870624015329343</v>
      </c>
      <c r="O2606">
        <v>0.26606581480497904</v>
      </c>
      <c r="P2606">
        <v>0.2695890324600369</v>
      </c>
    </row>
    <row r="2607" spans="13:16">
      <c r="M2607">
        <v>0.2677649906145434</v>
      </c>
      <c r="N2607">
        <v>0.18698487862676494</v>
      </c>
      <c r="O2607">
        <v>0.28348237427304901</v>
      </c>
      <c r="P2607">
        <v>0.2617677564856426</v>
      </c>
    </row>
    <row r="2608" spans="13:16">
      <c r="M2608">
        <v>0.30071085713820161</v>
      </c>
      <c r="N2608">
        <v>0.17716306253830069</v>
      </c>
      <c r="O2608">
        <v>0.27486845181218855</v>
      </c>
      <c r="P2608">
        <v>0.24725762851130914</v>
      </c>
    </row>
    <row r="2609" spans="13:16">
      <c r="M2609">
        <v>0.29826967328746939</v>
      </c>
      <c r="N2609">
        <v>0.20601302266826199</v>
      </c>
      <c r="O2609">
        <v>0.2291487629480764</v>
      </c>
      <c r="P2609">
        <v>0.26656854109619232</v>
      </c>
    </row>
    <row r="2610" spans="13:16">
      <c r="M2610">
        <v>0.2859879911839992</v>
      </c>
      <c r="N2610">
        <v>0.18566554584730791</v>
      </c>
      <c r="O2610">
        <v>0.25405885054761074</v>
      </c>
      <c r="P2610">
        <v>0.27428761242108213</v>
      </c>
    </row>
    <row r="2611" spans="13:16">
      <c r="M2611">
        <v>0.29021202443438965</v>
      </c>
      <c r="N2611">
        <v>0.19048515874603317</v>
      </c>
      <c r="O2611">
        <v>0.26192610472704125</v>
      </c>
      <c r="P2611">
        <v>0.25737671209253599</v>
      </c>
    </row>
    <row r="2612" spans="13:16">
      <c r="M2612">
        <v>0.31472053714302473</v>
      </c>
      <c r="N2612">
        <v>0.16986612404109483</v>
      </c>
      <c r="O2612">
        <v>0.27097265156535233</v>
      </c>
      <c r="P2612">
        <v>0.24444068725052817</v>
      </c>
    </row>
    <row r="2613" spans="13:16">
      <c r="M2613">
        <v>0.29561411566368778</v>
      </c>
      <c r="N2613">
        <v>0.19283264758661542</v>
      </c>
      <c r="O2613">
        <v>0.26188393734693488</v>
      </c>
      <c r="P2613">
        <v>0.24966929940276197</v>
      </c>
    </row>
    <row r="2614" spans="13:16">
      <c r="M2614">
        <v>0.28619793941185639</v>
      </c>
      <c r="N2614">
        <v>0.1773404888793903</v>
      </c>
      <c r="O2614">
        <v>0.265924284336293</v>
      </c>
      <c r="P2614">
        <v>0.27053728737246041</v>
      </c>
    </row>
    <row r="2615" spans="13:16">
      <c r="M2615">
        <v>0.31272154993845064</v>
      </c>
      <c r="N2615">
        <v>0.19487527693639287</v>
      </c>
      <c r="O2615">
        <v>0.21170438420608467</v>
      </c>
      <c r="P2615">
        <v>0.28069878891907185</v>
      </c>
    </row>
    <row r="2616" spans="13:16">
      <c r="M2616">
        <v>0.30305129375637618</v>
      </c>
      <c r="N2616">
        <v>0.17959978388783177</v>
      </c>
      <c r="O2616">
        <v>0.25124604654487709</v>
      </c>
      <c r="P2616">
        <v>0.26610287581091491</v>
      </c>
    </row>
    <row r="2617" spans="13:16">
      <c r="M2617">
        <v>0.2677616683246592</v>
      </c>
      <c r="N2617">
        <v>0.18500213298325799</v>
      </c>
      <c r="O2617">
        <v>0.28659923752142619</v>
      </c>
      <c r="P2617">
        <v>0.2606369611706566</v>
      </c>
    </row>
    <row r="2618" spans="13:16">
      <c r="M2618">
        <v>0.29184927910705044</v>
      </c>
      <c r="N2618">
        <v>0.18183499203217221</v>
      </c>
      <c r="O2618">
        <v>0.25375816614663693</v>
      </c>
      <c r="P2618">
        <v>0.27255756271414033</v>
      </c>
    </row>
    <row r="2619" spans="13:16">
      <c r="M2619">
        <v>0.29644253024760359</v>
      </c>
      <c r="N2619">
        <v>0.18559114942407401</v>
      </c>
      <c r="O2619">
        <v>0.25847441275586985</v>
      </c>
      <c r="P2619">
        <v>0.25949190757245261</v>
      </c>
    </row>
    <row r="2620" spans="13:16">
      <c r="M2620">
        <v>0.26606378015023258</v>
      </c>
      <c r="N2620">
        <v>0.18307671993624727</v>
      </c>
      <c r="O2620">
        <v>0.28611339766520277</v>
      </c>
      <c r="P2620">
        <v>0.26474610224831729</v>
      </c>
    </row>
    <row r="2621" spans="13:16">
      <c r="M2621">
        <v>0.28014325153430031</v>
      </c>
      <c r="N2621">
        <v>0.20554307775040345</v>
      </c>
      <c r="O2621">
        <v>0.23220165787478245</v>
      </c>
      <c r="P2621">
        <v>0.28211201284051368</v>
      </c>
    </row>
    <row r="2622" spans="13:16">
      <c r="M2622">
        <v>0.27150169916611572</v>
      </c>
      <c r="N2622">
        <v>0.20916796750309521</v>
      </c>
      <c r="O2622">
        <v>0.25077391660530057</v>
      </c>
      <c r="P2622">
        <v>0.26855641672548847</v>
      </c>
    </row>
    <row r="2623" spans="13:16">
      <c r="M2623">
        <v>0.29670168379515133</v>
      </c>
      <c r="N2623">
        <v>0.17628959452422591</v>
      </c>
      <c r="O2623">
        <v>0.2566155820485565</v>
      </c>
      <c r="P2623">
        <v>0.27039313963206613</v>
      </c>
    </row>
    <row r="2624" spans="13:16">
      <c r="M2624">
        <v>0.27535280902717835</v>
      </c>
      <c r="N2624">
        <v>0.20610908406007983</v>
      </c>
      <c r="O2624">
        <v>0.26121673727820705</v>
      </c>
      <c r="P2624">
        <v>0.25732136963453484</v>
      </c>
    </row>
    <row r="2625" spans="13:16">
      <c r="M2625">
        <v>0.29928442288316598</v>
      </c>
      <c r="N2625">
        <v>0.17049804014339084</v>
      </c>
      <c r="O2625">
        <v>0.2884168475107764</v>
      </c>
      <c r="P2625">
        <v>0.24180068946266683</v>
      </c>
    </row>
    <row r="2626" spans="13:16">
      <c r="M2626">
        <v>0.25399271191168371</v>
      </c>
      <c r="N2626">
        <v>0.19866911038357349</v>
      </c>
      <c r="O2626">
        <v>0.28635332275164876</v>
      </c>
      <c r="P2626">
        <v>0.26098485495309398</v>
      </c>
    </row>
    <row r="2627" spans="13:16">
      <c r="M2627">
        <v>0.29091786943505127</v>
      </c>
      <c r="N2627">
        <v>0.19430991712719978</v>
      </c>
      <c r="O2627">
        <v>0.2264927231271095</v>
      </c>
      <c r="P2627">
        <v>0.28827949031063965</v>
      </c>
    </row>
    <row r="2628" spans="13:16">
      <c r="M2628">
        <v>0.29381912521355702</v>
      </c>
      <c r="N2628">
        <v>0.19852679860962949</v>
      </c>
      <c r="O2628">
        <v>0.23045587450280214</v>
      </c>
      <c r="P2628">
        <v>0.27719820167401144</v>
      </c>
    </row>
    <row r="2629" spans="13:16">
      <c r="M2629">
        <v>0.29666886649852953</v>
      </c>
      <c r="N2629">
        <v>0.18875339806068631</v>
      </c>
      <c r="O2629">
        <v>0.22920831491099974</v>
      </c>
      <c r="P2629">
        <v>0.28536942052978442</v>
      </c>
    </row>
    <row r="2630" spans="13:16">
      <c r="M2630">
        <v>0.28858942747750166</v>
      </c>
      <c r="N2630">
        <v>0.18055677487698024</v>
      </c>
      <c r="O2630">
        <v>0.27884324814735906</v>
      </c>
      <c r="P2630">
        <v>0.25201054949815904</v>
      </c>
    </row>
    <row r="2631" spans="13:16">
      <c r="M2631">
        <v>0.32131280505288939</v>
      </c>
      <c r="N2631">
        <v>0.17182236651386262</v>
      </c>
      <c r="O2631">
        <v>0.25096213298555525</v>
      </c>
      <c r="P2631">
        <v>0.25590269544769284</v>
      </c>
    </row>
    <row r="2632" spans="13:16">
      <c r="M2632">
        <v>0.28343345371554213</v>
      </c>
      <c r="N2632">
        <v>0.18995218404018804</v>
      </c>
      <c r="O2632">
        <v>0.25598898659780489</v>
      </c>
      <c r="P2632">
        <v>0.27062537564646488</v>
      </c>
    </row>
    <row r="2633" spans="13:16">
      <c r="M2633">
        <v>0.29390433423751622</v>
      </c>
      <c r="N2633">
        <v>0.17598254004493896</v>
      </c>
      <c r="O2633">
        <v>0.28227292599683157</v>
      </c>
      <c r="P2633">
        <v>0.24784019972071333</v>
      </c>
    </row>
    <row r="2634" spans="13:16">
      <c r="M2634">
        <v>0.27221656566862723</v>
      </c>
      <c r="N2634">
        <v>0.19937242358766541</v>
      </c>
      <c r="O2634">
        <v>0.25897460032945685</v>
      </c>
      <c r="P2634">
        <v>0.26943641041425043</v>
      </c>
    </row>
    <row r="2635" spans="13:16">
      <c r="M2635">
        <v>0.28494411069779263</v>
      </c>
      <c r="N2635">
        <v>0.20304950269576691</v>
      </c>
      <c r="O2635">
        <v>0.24792002410501965</v>
      </c>
      <c r="P2635">
        <v>0.26408636250142087</v>
      </c>
    </row>
    <row r="2636" spans="13:16">
      <c r="M2636">
        <v>0.3017089020084664</v>
      </c>
      <c r="N2636">
        <v>0.17060855598370855</v>
      </c>
      <c r="O2636">
        <v>0.28449221602436386</v>
      </c>
      <c r="P2636">
        <v>0.24319032598346119</v>
      </c>
    </row>
    <row r="2637" spans="13:16">
      <c r="M2637">
        <v>0.3068188639363103</v>
      </c>
      <c r="N2637">
        <v>0.18432496463752901</v>
      </c>
      <c r="O2637">
        <v>0.25345369203915008</v>
      </c>
      <c r="P2637">
        <v>0.25540247938701055</v>
      </c>
    </row>
    <row r="2638" spans="13:16">
      <c r="M2638">
        <v>0.2910637636060357</v>
      </c>
      <c r="N2638">
        <v>0.19789004924678791</v>
      </c>
      <c r="O2638">
        <v>0.2607935081117404</v>
      </c>
      <c r="P2638">
        <v>0.25025267903543597</v>
      </c>
    </row>
    <row r="2639" spans="13:16">
      <c r="M2639">
        <v>0.28579204256524254</v>
      </c>
      <c r="N2639">
        <v>0.18775446766726495</v>
      </c>
      <c r="O2639">
        <v>0.2577082563869334</v>
      </c>
      <c r="P2639">
        <v>0.26874523338055917</v>
      </c>
    </row>
    <row r="2640" spans="13:16">
      <c r="M2640">
        <v>0.30144096371551504</v>
      </c>
      <c r="N2640">
        <v>0.18999210426649518</v>
      </c>
      <c r="O2640">
        <v>0.25573136653646594</v>
      </c>
      <c r="P2640">
        <v>0.25283556548152381</v>
      </c>
    </row>
    <row r="2641" spans="13:16">
      <c r="M2641">
        <v>0.30821062362479656</v>
      </c>
      <c r="N2641">
        <v>0.17488706826551459</v>
      </c>
      <c r="O2641">
        <v>0.26633369107357613</v>
      </c>
      <c r="P2641">
        <v>0.25056861703611277</v>
      </c>
    </row>
    <row r="2642" spans="13:16">
      <c r="M2642">
        <v>0.28209398923700346</v>
      </c>
      <c r="N2642">
        <v>0.18542618748247613</v>
      </c>
      <c r="O2642">
        <v>0.27386987883141184</v>
      </c>
      <c r="P2642">
        <v>0.25860994444910851</v>
      </c>
    </row>
    <row r="2643" spans="13:16">
      <c r="M2643">
        <v>0.31157464064639534</v>
      </c>
      <c r="N2643">
        <v>0.17899958233461052</v>
      </c>
      <c r="O2643">
        <v>0.22884762618021606</v>
      </c>
      <c r="P2643">
        <v>0.28057815083877807</v>
      </c>
    </row>
    <row r="2644" spans="13:16">
      <c r="M2644">
        <v>0.32467185198963411</v>
      </c>
      <c r="N2644">
        <v>0.17438030138140731</v>
      </c>
      <c r="O2644">
        <v>0.24229942902752599</v>
      </c>
      <c r="P2644">
        <v>0.2586484176014327</v>
      </c>
    </row>
    <row r="2645" spans="13:16">
      <c r="M2645">
        <v>0.29067821774161329</v>
      </c>
      <c r="N2645">
        <v>0.17991921391320026</v>
      </c>
      <c r="O2645">
        <v>0.25189209889199077</v>
      </c>
      <c r="P2645">
        <v>0.27751046945319552</v>
      </c>
    </row>
    <row r="2646" spans="13:16">
      <c r="M2646">
        <v>0.32305023330906946</v>
      </c>
      <c r="N2646">
        <v>0.18505128975833074</v>
      </c>
      <c r="O2646">
        <v>0.23150005188449749</v>
      </c>
      <c r="P2646">
        <v>0.26039842504810229</v>
      </c>
    </row>
    <row r="2647" spans="13:16">
      <c r="M2647">
        <v>0.29941989961101367</v>
      </c>
      <c r="N2647">
        <v>0.19198899255706503</v>
      </c>
      <c r="O2647">
        <v>0.24584146881441715</v>
      </c>
      <c r="P2647">
        <v>0.26274963901750398</v>
      </c>
    </row>
    <row r="2648" spans="13:16">
      <c r="M2648">
        <v>0.30602307054668393</v>
      </c>
      <c r="N2648">
        <v>0.18261211064222463</v>
      </c>
      <c r="O2648">
        <v>0.25628004516653369</v>
      </c>
      <c r="P2648">
        <v>0.25508477364455778</v>
      </c>
    </row>
    <row r="2649" spans="13:16">
      <c r="M2649">
        <v>0.27489629605181054</v>
      </c>
      <c r="N2649">
        <v>0.21536084995949797</v>
      </c>
      <c r="O2649">
        <v>0.23551701058129923</v>
      </c>
      <c r="P2649">
        <v>0.27422584340739226</v>
      </c>
    </row>
    <row r="2650" spans="13:16">
      <c r="M2650">
        <v>0.2557142830407374</v>
      </c>
      <c r="N2650">
        <v>0.20229917622480853</v>
      </c>
      <c r="O2650">
        <v>0.27971135118748497</v>
      </c>
      <c r="P2650">
        <v>0.2622751895469691</v>
      </c>
    </row>
    <row r="2651" spans="13:16">
      <c r="M2651">
        <v>0.28528703611449346</v>
      </c>
      <c r="N2651">
        <v>0.18442799076554983</v>
      </c>
      <c r="O2651">
        <v>0.24902231298801489</v>
      </c>
      <c r="P2651">
        <v>0.28126266013194196</v>
      </c>
    </row>
    <row r="2652" spans="13:16">
      <c r="M2652">
        <v>0.2891845731093528</v>
      </c>
      <c r="N2652">
        <v>0.19942585470715443</v>
      </c>
      <c r="O2652">
        <v>0.25424034189199179</v>
      </c>
      <c r="P2652">
        <v>0.25714923029150094</v>
      </c>
    </row>
    <row r="2653" spans="13:16">
      <c r="M2653">
        <v>0.33138714885670917</v>
      </c>
      <c r="N2653">
        <v>0.16782064103034705</v>
      </c>
      <c r="O2653">
        <v>0.25245993862060068</v>
      </c>
      <c r="P2653">
        <v>0.24833227149234297</v>
      </c>
    </row>
    <row r="2654" spans="13:16">
      <c r="M2654">
        <v>0.26943880082797972</v>
      </c>
      <c r="N2654">
        <v>0.18709020481260286</v>
      </c>
      <c r="O2654">
        <v>0.28171160643405618</v>
      </c>
      <c r="P2654">
        <v>0.26175938792536113</v>
      </c>
    </row>
    <row r="2655" spans="13:16">
      <c r="M2655">
        <v>0.26092875214858963</v>
      </c>
      <c r="N2655">
        <v>0.18620567443590197</v>
      </c>
      <c r="O2655">
        <v>0.29571070018578755</v>
      </c>
      <c r="P2655">
        <v>0.25715487322972086</v>
      </c>
    </row>
    <row r="2656" spans="13:16">
      <c r="M2656">
        <v>0.29712851391226675</v>
      </c>
      <c r="N2656">
        <v>0.17296211553191801</v>
      </c>
      <c r="O2656">
        <v>0.27568584776064708</v>
      </c>
      <c r="P2656">
        <v>0.25422352279516802</v>
      </c>
    </row>
    <row r="2657" spans="13:16">
      <c r="M2657">
        <v>0.30166569459534276</v>
      </c>
      <c r="N2657">
        <v>0.20031521717433268</v>
      </c>
      <c r="O2657">
        <v>0.2376632691406346</v>
      </c>
      <c r="P2657">
        <v>0.26035581908968985</v>
      </c>
    </row>
    <row r="2658" spans="13:16">
      <c r="M2658">
        <v>0.33478391268201824</v>
      </c>
      <c r="N2658">
        <v>0.17367959438134953</v>
      </c>
      <c r="O2658">
        <v>0.23593885250764549</v>
      </c>
      <c r="P2658">
        <v>0.25559764042898669</v>
      </c>
    </row>
    <row r="2659" spans="13:16">
      <c r="M2659">
        <v>0.32717341211525286</v>
      </c>
      <c r="N2659">
        <v>0.18156466356383386</v>
      </c>
      <c r="O2659">
        <v>0.23232158232769939</v>
      </c>
      <c r="P2659">
        <v>0.25894034199321392</v>
      </c>
    </row>
    <row r="2660" spans="13:16">
      <c r="M2660">
        <v>0.28927058682943352</v>
      </c>
      <c r="N2660">
        <v>0.16684902412558808</v>
      </c>
      <c r="O2660">
        <v>0.28426213918268411</v>
      </c>
      <c r="P2660">
        <v>0.25961824986229415</v>
      </c>
    </row>
    <row r="2661" spans="13:16">
      <c r="M2661">
        <v>0.3073134320103072</v>
      </c>
      <c r="N2661">
        <v>0.16711860256165056</v>
      </c>
      <c r="O2661">
        <v>0.28003181328176963</v>
      </c>
      <c r="P2661">
        <v>0.24553615214627272</v>
      </c>
    </row>
    <row r="2662" spans="13:16">
      <c r="M2662">
        <v>0.31961935959570692</v>
      </c>
      <c r="N2662">
        <v>0.16125849046170401</v>
      </c>
      <c r="O2662">
        <v>0.27208038627087983</v>
      </c>
      <c r="P2662">
        <v>0.24704176367170916</v>
      </c>
    </row>
    <row r="2663" spans="13:16">
      <c r="M2663">
        <v>0.32348002416255911</v>
      </c>
      <c r="N2663">
        <v>0.16347371259960347</v>
      </c>
      <c r="O2663">
        <v>0.25209527755968042</v>
      </c>
      <c r="P2663">
        <v>0.26095098567815705</v>
      </c>
    </row>
    <row r="2664" spans="13:16">
      <c r="M2664">
        <v>0.3068762424732322</v>
      </c>
      <c r="N2664">
        <v>0.17933488364599345</v>
      </c>
      <c r="O2664">
        <v>0.26384062818837745</v>
      </c>
      <c r="P2664">
        <v>0.24994824569239693</v>
      </c>
    </row>
    <row r="2665" spans="13:16">
      <c r="M2665">
        <v>0.25713504470832188</v>
      </c>
      <c r="N2665">
        <v>0.19593383557396529</v>
      </c>
      <c r="O2665">
        <v>0.28612419963622338</v>
      </c>
      <c r="P2665">
        <v>0.26080692008148948</v>
      </c>
    </row>
    <row r="2666" spans="13:16">
      <c r="M2666">
        <v>0.29605569202907683</v>
      </c>
      <c r="N2666">
        <v>0.18440907460160802</v>
      </c>
      <c r="O2666">
        <v>0.25283244875568728</v>
      </c>
      <c r="P2666">
        <v>0.26670278461362801</v>
      </c>
    </row>
    <row r="2667" spans="13:16">
      <c r="M2667">
        <v>0.2920382448277638</v>
      </c>
      <c r="N2667">
        <v>0.19542588625271329</v>
      </c>
      <c r="O2667">
        <v>0.26826559080914308</v>
      </c>
      <c r="P2667">
        <v>0.24427027811037977</v>
      </c>
    </row>
    <row r="2668" spans="13:16">
      <c r="M2668">
        <v>0.29113397699975663</v>
      </c>
      <c r="N2668">
        <v>0.18097490820206555</v>
      </c>
      <c r="O2668">
        <v>0.25486057704079829</v>
      </c>
      <c r="P2668">
        <v>0.27303053775737951</v>
      </c>
    </row>
    <row r="2669" spans="13:16">
      <c r="M2669">
        <v>0.27304704116976808</v>
      </c>
      <c r="N2669">
        <v>0.18931585195177841</v>
      </c>
      <c r="O2669">
        <v>0.27880163526085661</v>
      </c>
      <c r="P2669">
        <v>0.2588354716175969</v>
      </c>
    </row>
    <row r="2670" spans="13:16">
      <c r="M2670">
        <v>0.30912806724726977</v>
      </c>
      <c r="N2670">
        <v>0.19852107817572487</v>
      </c>
      <c r="O2670">
        <v>0.23157728619652665</v>
      </c>
      <c r="P2670">
        <v>0.26077356838047883</v>
      </c>
    </row>
    <row r="2671" spans="13:16">
      <c r="M2671">
        <v>0.29565919965855497</v>
      </c>
      <c r="N2671">
        <v>0.18483114242172766</v>
      </c>
      <c r="O2671">
        <v>0.25858883040862934</v>
      </c>
      <c r="P2671">
        <v>0.26092082751108803</v>
      </c>
    </row>
    <row r="2672" spans="13:16">
      <c r="M2672">
        <v>0.28387752471713601</v>
      </c>
      <c r="N2672">
        <v>0.18304157213755765</v>
      </c>
      <c r="O2672">
        <v>0.27563581726493874</v>
      </c>
      <c r="P2672">
        <v>0.25744508588036757</v>
      </c>
    </row>
    <row r="2673" spans="13:16">
      <c r="M2673">
        <v>0.28983856494955079</v>
      </c>
      <c r="N2673">
        <v>0.19245296934123038</v>
      </c>
      <c r="O2673">
        <v>0.24906463378735669</v>
      </c>
      <c r="P2673">
        <v>0.2686438319218622</v>
      </c>
    </row>
    <row r="2674" spans="13:16">
      <c r="M2674">
        <v>0.3060830654253221</v>
      </c>
      <c r="N2674">
        <v>0.20103783956749102</v>
      </c>
      <c r="O2674">
        <v>0.24178823784327305</v>
      </c>
      <c r="P2674">
        <v>0.25109085716391366</v>
      </c>
    </row>
    <row r="2675" spans="13:16">
      <c r="M2675">
        <v>0.3151434495274914</v>
      </c>
      <c r="N2675">
        <v>0.18089059099035867</v>
      </c>
      <c r="O2675">
        <v>0.25056323429706234</v>
      </c>
      <c r="P2675">
        <v>0.25340272518508761</v>
      </c>
    </row>
    <row r="2676" spans="13:16">
      <c r="M2676">
        <v>0.31678513806121694</v>
      </c>
      <c r="N2676">
        <v>0.17810038805638254</v>
      </c>
      <c r="O2676">
        <v>0.23004454968991447</v>
      </c>
      <c r="P2676">
        <v>0.2750699241924861</v>
      </c>
    </row>
    <row r="2677" spans="13:16">
      <c r="M2677">
        <v>0.31722435420013556</v>
      </c>
      <c r="N2677">
        <v>0.17897482532428285</v>
      </c>
      <c r="O2677">
        <v>0.24223812108851678</v>
      </c>
      <c r="P2677">
        <v>0.26156269938706489</v>
      </c>
    </row>
    <row r="2678" spans="13:16">
      <c r="M2678">
        <v>0.30112006485286119</v>
      </c>
      <c r="N2678">
        <v>0.18387236248595623</v>
      </c>
      <c r="O2678">
        <v>0.22292702130792061</v>
      </c>
      <c r="P2678">
        <v>0.292080551353262</v>
      </c>
    </row>
    <row r="2679" spans="13:16">
      <c r="M2679">
        <v>0.31893888765820805</v>
      </c>
      <c r="N2679">
        <v>0.19907812816440459</v>
      </c>
      <c r="O2679">
        <v>0.21784672600205029</v>
      </c>
      <c r="P2679">
        <v>0.26413625817533709</v>
      </c>
    </row>
    <row r="2680" spans="13:16">
      <c r="M2680">
        <v>0.28558823377977816</v>
      </c>
      <c r="N2680">
        <v>0.17219918984242391</v>
      </c>
      <c r="O2680">
        <v>0.28787767805822734</v>
      </c>
      <c r="P2680">
        <v>0.25433489831957057</v>
      </c>
    </row>
    <row r="2681" spans="13:16">
      <c r="M2681">
        <v>0.29411021440333146</v>
      </c>
      <c r="N2681">
        <v>0.17386913582196481</v>
      </c>
      <c r="O2681">
        <v>0.27800255139398122</v>
      </c>
      <c r="P2681">
        <v>0.25401809838072259</v>
      </c>
    </row>
    <row r="2682" spans="13:16">
      <c r="M2682">
        <v>0.30057606070219128</v>
      </c>
      <c r="N2682">
        <v>0.1734283162445521</v>
      </c>
      <c r="O2682">
        <v>0.28024015258783114</v>
      </c>
      <c r="P2682">
        <v>0.24575547046542548</v>
      </c>
    </row>
    <row r="2683" spans="13:16">
      <c r="M2683">
        <v>0.30439758787723731</v>
      </c>
      <c r="N2683">
        <v>0.17397822633750942</v>
      </c>
      <c r="O2683">
        <v>0.26911535769336586</v>
      </c>
      <c r="P2683">
        <v>0.25250882809188735</v>
      </c>
    </row>
    <row r="2684" spans="13:16">
      <c r="M2684">
        <v>0.27274952796010932</v>
      </c>
      <c r="N2684">
        <v>0.1942330630044278</v>
      </c>
      <c r="O2684">
        <v>0.25926360838137208</v>
      </c>
      <c r="P2684">
        <v>0.27375380065409088</v>
      </c>
    </row>
    <row r="2685" spans="13:16">
      <c r="M2685">
        <v>0.32186497473728681</v>
      </c>
      <c r="N2685">
        <v>0.18203378982481333</v>
      </c>
      <c r="O2685">
        <v>0.2394903269979039</v>
      </c>
      <c r="P2685">
        <v>0.25661090843999601</v>
      </c>
    </row>
    <row r="2686" spans="13:16">
      <c r="M2686">
        <v>0.28787435262737288</v>
      </c>
      <c r="N2686">
        <v>0.16799439735719657</v>
      </c>
      <c r="O2686">
        <v>0.29350666521620655</v>
      </c>
      <c r="P2686">
        <v>0.25062458479922395</v>
      </c>
    </row>
    <row r="2687" spans="13:16">
      <c r="M2687">
        <v>0.30746706025013437</v>
      </c>
      <c r="N2687">
        <v>0.18066352422160709</v>
      </c>
      <c r="O2687">
        <v>0.23882874861872389</v>
      </c>
      <c r="P2687">
        <v>0.2730406669095346</v>
      </c>
    </row>
    <row r="2688" spans="13:16">
      <c r="M2688">
        <v>0.28386425594766862</v>
      </c>
      <c r="N2688">
        <v>0.20360166800049251</v>
      </c>
      <c r="O2688">
        <v>0.24153687547466704</v>
      </c>
      <c r="P2688">
        <v>0.2709972005771718</v>
      </c>
    </row>
    <row r="2689" spans="13:16">
      <c r="M2689">
        <v>0.30140270970316624</v>
      </c>
      <c r="N2689">
        <v>0.17561028949694296</v>
      </c>
      <c r="O2689">
        <v>0.2596678280777775</v>
      </c>
      <c r="P2689">
        <v>0.26331917272211341</v>
      </c>
    </row>
    <row r="2690" spans="13:16">
      <c r="M2690">
        <v>0.2855055243091883</v>
      </c>
      <c r="N2690">
        <v>0.17761867419784005</v>
      </c>
      <c r="O2690">
        <v>0.28961720318956846</v>
      </c>
      <c r="P2690">
        <v>0.24725859830340308</v>
      </c>
    </row>
    <row r="2691" spans="13:16">
      <c r="M2691">
        <v>0.30283671775913135</v>
      </c>
      <c r="N2691">
        <v>0.1882055817014173</v>
      </c>
      <c r="O2691">
        <v>0.24371204659919313</v>
      </c>
      <c r="P2691">
        <v>0.26524565394025829</v>
      </c>
    </row>
    <row r="2692" spans="13:16">
      <c r="M2692">
        <v>0.31771909782012236</v>
      </c>
      <c r="N2692">
        <v>0.17470566364967721</v>
      </c>
      <c r="O2692">
        <v>0.27296896355600719</v>
      </c>
      <c r="P2692">
        <v>0.23460627497419331</v>
      </c>
    </row>
    <row r="2693" spans="13:16">
      <c r="M2693">
        <v>0.27709882661267315</v>
      </c>
      <c r="N2693">
        <v>0.1897468588057459</v>
      </c>
      <c r="O2693">
        <v>0.25107917074156094</v>
      </c>
      <c r="P2693">
        <v>0.28207514384001997</v>
      </c>
    </row>
    <row r="2694" spans="13:16">
      <c r="M2694">
        <v>0.29865606739474898</v>
      </c>
      <c r="N2694">
        <v>0.17248590850864912</v>
      </c>
      <c r="O2694">
        <v>0.27419977101225268</v>
      </c>
      <c r="P2694">
        <v>0.25465825308434925</v>
      </c>
    </row>
    <row r="2695" spans="13:16">
      <c r="M2695">
        <v>0.27347351237848283</v>
      </c>
      <c r="N2695">
        <v>0.18936393693445916</v>
      </c>
      <c r="O2695">
        <v>0.27310703629134658</v>
      </c>
      <c r="P2695">
        <v>0.26405551439571145</v>
      </c>
    </row>
    <row r="2696" spans="13:16">
      <c r="M2696">
        <v>0.29295009872626798</v>
      </c>
      <c r="N2696">
        <v>0.19402020738406531</v>
      </c>
      <c r="O2696">
        <v>0.25874522251227861</v>
      </c>
      <c r="P2696">
        <v>0.25428447137738813</v>
      </c>
    </row>
    <row r="2697" spans="13:16">
      <c r="M2697">
        <v>0.3134321527974937</v>
      </c>
      <c r="N2697">
        <v>0.18580217071785141</v>
      </c>
      <c r="O2697">
        <v>0.22977160615077821</v>
      </c>
      <c r="P2697">
        <v>0.27099407033387657</v>
      </c>
    </row>
    <row r="2698" spans="13:16">
      <c r="M2698">
        <v>0.30285245353874524</v>
      </c>
      <c r="N2698">
        <v>0.17739797017220058</v>
      </c>
      <c r="O2698">
        <v>0.24532302686463872</v>
      </c>
      <c r="P2698">
        <v>0.27442654942441552</v>
      </c>
    </row>
    <row r="2699" spans="13:16">
      <c r="M2699">
        <v>0.29126252396489644</v>
      </c>
      <c r="N2699">
        <v>0.17022709107860229</v>
      </c>
      <c r="O2699">
        <v>0.28111399773079654</v>
      </c>
      <c r="P2699">
        <v>0.25739638722570474</v>
      </c>
    </row>
    <row r="2700" spans="13:16">
      <c r="M2700">
        <v>0.28529842961192325</v>
      </c>
      <c r="N2700">
        <v>0.1778965723395074</v>
      </c>
      <c r="O2700">
        <v>0.29375034204057848</v>
      </c>
      <c r="P2700">
        <v>0.24305465600799089</v>
      </c>
    </row>
    <row r="2701" spans="13:16">
      <c r="M2701">
        <v>0.26727312033035472</v>
      </c>
      <c r="N2701">
        <v>0.20021400669961825</v>
      </c>
      <c r="O2701">
        <v>0.26948030839002546</v>
      </c>
      <c r="P2701">
        <v>0.26303256458000163</v>
      </c>
    </row>
    <row r="2702" spans="13:16">
      <c r="M2702">
        <v>0.29584403123598574</v>
      </c>
      <c r="N2702">
        <v>0.18112780132368408</v>
      </c>
      <c r="O2702">
        <v>0.28581139316831233</v>
      </c>
      <c r="P2702">
        <v>0.23721677427201784</v>
      </c>
    </row>
    <row r="2703" spans="13:16">
      <c r="M2703">
        <v>0.30460463207925531</v>
      </c>
      <c r="N2703">
        <v>0.18441511887709122</v>
      </c>
      <c r="O2703">
        <v>0.24273226028663047</v>
      </c>
      <c r="P2703">
        <v>0.26824798875702299</v>
      </c>
    </row>
    <row r="2704" spans="13:16">
      <c r="M2704">
        <v>0.2961809869135254</v>
      </c>
      <c r="N2704">
        <v>0.19418426307180081</v>
      </c>
      <c r="O2704">
        <v>0.24469147465477101</v>
      </c>
      <c r="P2704">
        <v>0.26494327535990264</v>
      </c>
    </row>
    <row r="2705" spans="13:16">
      <c r="M2705">
        <v>0.29215168186510776</v>
      </c>
      <c r="N2705">
        <v>0.17242011939135141</v>
      </c>
      <c r="O2705">
        <v>0.27310175356693328</v>
      </c>
      <c r="P2705">
        <v>0.26232644517660758</v>
      </c>
    </row>
    <row r="2706" spans="13:16">
      <c r="M2706">
        <v>0.27769740780332125</v>
      </c>
      <c r="N2706">
        <v>0.18902365332662471</v>
      </c>
      <c r="O2706">
        <v>0.26735649279867396</v>
      </c>
      <c r="P2706">
        <v>0.26592244607137999</v>
      </c>
    </row>
    <row r="2707" spans="13:16">
      <c r="M2707">
        <v>0.31554906311041137</v>
      </c>
      <c r="N2707">
        <v>0.17178898630693742</v>
      </c>
      <c r="O2707">
        <v>0.24146036425165132</v>
      </c>
      <c r="P2707">
        <v>0.27120158633099994</v>
      </c>
    </row>
    <row r="2708" spans="13:16">
      <c r="M2708">
        <v>0.3067323826106948</v>
      </c>
      <c r="N2708">
        <v>0.16785859013801413</v>
      </c>
      <c r="O2708">
        <v>0.26766048684054294</v>
      </c>
      <c r="P2708">
        <v>0.25774854041074796</v>
      </c>
    </row>
    <row r="2709" spans="13:16">
      <c r="M2709">
        <v>0.2742656050234184</v>
      </c>
      <c r="N2709">
        <v>0.16736700254469372</v>
      </c>
      <c r="O2709">
        <v>0.30076487278659875</v>
      </c>
      <c r="P2709">
        <v>0.25760251964528913</v>
      </c>
    </row>
    <row r="2710" spans="13:16">
      <c r="M2710">
        <v>0.2813788661129083</v>
      </c>
      <c r="N2710">
        <v>0.17608561283789806</v>
      </c>
      <c r="O2710">
        <v>0.28826275127825324</v>
      </c>
      <c r="P2710">
        <v>0.25427276977094043</v>
      </c>
    </row>
    <row r="2711" spans="13:16">
      <c r="M2711">
        <v>0.27722327570038885</v>
      </c>
      <c r="N2711">
        <v>0.18824894206461337</v>
      </c>
      <c r="O2711">
        <v>0.28004107541026346</v>
      </c>
      <c r="P2711">
        <v>0.25448670682473434</v>
      </c>
    </row>
    <row r="2712" spans="13:16">
      <c r="M2712">
        <v>0.26510849005277376</v>
      </c>
      <c r="N2712">
        <v>0.19464105126322742</v>
      </c>
      <c r="O2712">
        <v>0.25829669389376508</v>
      </c>
      <c r="P2712">
        <v>0.28195376479023387</v>
      </c>
    </row>
    <row r="2713" spans="13:16">
      <c r="M2713">
        <v>0.30729355281928533</v>
      </c>
      <c r="N2713">
        <v>0.18293999363458244</v>
      </c>
      <c r="O2713">
        <v>0.24303125192152469</v>
      </c>
      <c r="P2713">
        <v>0.26673520162460751</v>
      </c>
    </row>
    <row r="2714" spans="13:16">
      <c r="M2714">
        <v>0.30180291115789248</v>
      </c>
      <c r="N2714">
        <v>0.16636635283560883</v>
      </c>
      <c r="O2714">
        <v>0.2886280638704839</v>
      </c>
      <c r="P2714">
        <v>0.24320267213601485</v>
      </c>
    </row>
    <row r="2715" spans="13:16">
      <c r="M2715">
        <v>0.32432285129485916</v>
      </c>
      <c r="N2715">
        <v>0.18139949341299882</v>
      </c>
      <c r="O2715">
        <v>0.22517643118828648</v>
      </c>
      <c r="P2715">
        <v>0.26910122410385551</v>
      </c>
    </row>
    <row r="2716" spans="13:16">
      <c r="M2716">
        <v>0.30047104539064723</v>
      </c>
      <c r="N2716">
        <v>0.16063307539266655</v>
      </c>
      <c r="O2716">
        <v>0.28877803991542977</v>
      </c>
      <c r="P2716">
        <v>0.25011783930125647</v>
      </c>
    </row>
    <row r="2717" spans="13:16">
      <c r="M2717">
        <v>0.28723052510740493</v>
      </c>
      <c r="N2717">
        <v>0.20813168913323862</v>
      </c>
      <c r="O2717">
        <v>0.23766886446538635</v>
      </c>
      <c r="P2717">
        <v>0.26696892129397015</v>
      </c>
    </row>
    <row r="2718" spans="13:16">
      <c r="M2718">
        <v>0.27380750835995693</v>
      </c>
      <c r="N2718">
        <v>0.17909295896440899</v>
      </c>
      <c r="O2718">
        <v>0.28078030244223751</v>
      </c>
      <c r="P2718">
        <v>0.26631923023339665</v>
      </c>
    </row>
    <row r="2719" spans="13:16">
      <c r="M2719">
        <v>0.26103374190852452</v>
      </c>
      <c r="N2719">
        <v>0.20675562183116128</v>
      </c>
      <c r="O2719">
        <v>0.27161453720578171</v>
      </c>
      <c r="P2719">
        <v>0.26059609905453257</v>
      </c>
    </row>
    <row r="2720" spans="13:16">
      <c r="M2720">
        <v>0.28635617264517677</v>
      </c>
      <c r="N2720">
        <v>0.17437967065648205</v>
      </c>
      <c r="O2720">
        <v>0.28977691505064213</v>
      </c>
      <c r="P2720">
        <v>0.24948724164769895</v>
      </c>
    </row>
    <row r="2721" spans="13:16">
      <c r="M2721">
        <v>0.30148384732226058</v>
      </c>
      <c r="N2721">
        <v>0.17373906162800709</v>
      </c>
      <c r="O2721">
        <v>0.26886427740920238</v>
      </c>
      <c r="P2721">
        <v>0.25591281364052987</v>
      </c>
    </row>
    <row r="2722" spans="13:16">
      <c r="M2722">
        <v>0.30829920235773794</v>
      </c>
      <c r="N2722">
        <v>0.17513889236282754</v>
      </c>
      <c r="O2722">
        <v>0.25431972083261273</v>
      </c>
      <c r="P2722">
        <v>0.26224218444682196</v>
      </c>
    </row>
    <row r="2723" spans="13:16">
      <c r="M2723">
        <v>0.29593420796886971</v>
      </c>
      <c r="N2723">
        <v>0.19793438572740235</v>
      </c>
      <c r="O2723">
        <v>0.25456328950646417</v>
      </c>
      <c r="P2723">
        <v>0.25156811679726382</v>
      </c>
    </row>
    <row r="2724" spans="13:16">
      <c r="M2724">
        <v>0.28307787253460631</v>
      </c>
      <c r="N2724">
        <v>0.2068156961513706</v>
      </c>
      <c r="O2724">
        <v>0.22579513311491325</v>
      </c>
      <c r="P2724">
        <v>0.28431129819910989</v>
      </c>
    </row>
    <row r="2725" spans="13:16">
      <c r="M2725">
        <v>0.27874209747786594</v>
      </c>
      <c r="N2725">
        <v>0.21231279043236698</v>
      </c>
      <c r="O2725">
        <v>0.2356260555220879</v>
      </c>
      <c r="P2725">
        <v>0.27331905656767919</v>
      </c>
    </row>
    <row r="2726" spans="13:16">
      <c r="M2726">
        <v>0.29165447037608649</v>
      </c>
      <c r="N2726">
        <v>0.17911471998004427</v>
      </c>
      <c r="O2726">
        <v>0.27760880606335192</v>
      </c>
      <c r="P2726">
        <v>0.25162200358051734</v>
      </c>
    </row>
    <row r="2727" spans="13:16">
      <c r="M2727">
        <v>0.27614500460119296</v>
      </c>
      <c r="N2727">
        <v>0.18353580051376847</v>
      </c>
      <c r="O2727">
        <v>0.26983878707693704</v>
      </c>
      <c r="P2727">
        <v>0.27048040780810162</v>
      </c>
    </row>
    <row r="2728" spans="13:16">
      <c r="M2728">
        <v>0.29821707174829898</v>
      </c>
      <c r="N2728">
        <v>0.17769118040103909</v>
      </c>
      <c r="O2728">
        <v>0.25973268743711875</v>
      </c>
      <c r="P2728">
        <v>0.26435906041354329</v>
      </c>
    </row>
    <row r="2729" spans="13:16">
      <c r="M2729">
        <v>0.27632067891032375</v>
      </c>
      <c r="N2729">
        <v>0.19660000662944155</v>
      </c>
      <c r="O2729">
        <v>0.24810648467245497</v>
      </c>
      <c r="P2729">
        <v>0.27897282978777982</v>
      </c>
    </row>
    <row r="2730" spans="13:16">
      <c r="M2730">
        <v>0.30005662263059213</v>
      </c>
      <c r="N2730">
        <v>0.16176845429829181</v>
      </c>
      <c r="O2730">
        <v>0.29304609680059301</v>
      </c>
      <c r="P2730">
        <v>0.24512882627052307</v>
      </c>
    </row>
    <row r="2731" spans="13:16">
      <c r="M2731">
        <v>0.32129246154194313</v>
      </c>
      <c r="N2731">
        <v>0.16341121425611327</v>
      </c>
      <c r="O2731">
        <v>0.26309403686932264</v>
      </c>
      <c r="P2731">
        <v>0.25220228733262096</v>
      </c>
    </row>
    <row r="2732" spans="13:16">
      <c r="M2732">
        <v>0.28559993590443605</v>
      </c>
      <c r="N2732">
        <v>0.17014090003304588</v>
      </c>
      <c r="O2732">
        <v>0.27471632181937672</v>
      </c>
      <c r="P2732">
        <v>0.26954284224314135</v>
      </c>
    </row>
    <row r="2733" spans="13:16">
      <c r="M2733">
        <v>0.27752084136199301</v>
      </c>
      <c r="N2733">
        <v>0.18734540659475399</v>
      </c>
      <c r="O2733">
        <v>0.2670775183950308</v>
      </c>
      <c r="P2733">
        <v>0.26805623364822218</v>
      </c>
    </row>
    <row r="2734" spans="13:16">
      <c r="M2734">
        <v>0.2852614350315944</v>
      </c>
      <c r="N2734">
        <v>0.19301379346629344</v>
      </c>
      <c r="O2734">
        <v>0.25966078118520663</v>
      </c>
      <c r="P2734">
        <v>0.26206399031690569</v>
      </c>
    </row>
    <row r="2735" spans="13:16">
      <c r="M2735">
        <v>0.30695931512652191</v>
      </c>
      <c r="N2735">
        <v>0.17919601306323318</v>
      </c>
      <c r="O2735">
        <v>0.25618762245094967</v>
      </c>
      <c r="P2735">
        <v>0.25765704935929529</v>
      </c>
    </row>
    <row r="2736" spans="13:16">
      <c r="M2736">
        <v>0.29773346536424611</v>
      </c>
      <c r="N2736">
        <v>0.18164283127970765</v>
      </c>
      <c r="O2736">
        <v>0.26427330889290079</v>
      </c>
      <c r="P2736">
        <v>0.2563503944631455</v>
      </c>
    </row>
    <row r="2737" spans="13:16">
      <c r="M2737">
        <v>0.31267525677939112</v>
      </c>
      <c r="N2737">
        <v>0.17694067268293071</v>
      </c>
      <c r="O2737">
        <v>0.24215776586550239</v>
      </c>
      <c r="P2737">
        <v>0.26822630467217579</v>
      </c>
    </row>
    <row r="2738" spans="13:16">
      <c r="M2738">
        <v>0.29411065415257698</v>
      </c>
      <c r="N2738">
        <v>0.18328101080362033</v>
      </c>
      <c r="O2738">
        <v>0.24273684435430676</v>
      </c>
      <c r="P2738">
        <v>0.27987149068949596</v>
      </c>
    </row>
    <row r="2739" spans="13:16">
      <c r="M2739">
        <v>0.26301367229414535</v>
      </c>
      <c r="N2739">
        <v>0.17203225905610064</v>
      </c>
      <c r="O2739">
        <v>0.30378175017334924</v>
      </c>
      <c r="P2739">
        <v>0.26117231847640482</v>
      </c>
    </row>
    <row r="2740" spans="13:16">
      <c r="M2740">
        <v>0.30728390854807563</v>
      </c>
      <c r="N2740">
        <v>0.19211902073923645</v>
      </c>
      <c r="O2740">
        <v>0.24039710165597228</v>
      </c>
      <c r="P2740">
        <v>0.26019996905671572</v>
      </c>
    </row>
    <row r="2741" spans="13:16">
      <c r="M2741">
        <v>0.2917753565072706</v>
      </c>
      <c r="N2741">
        <v>0.20264722611654531</v>
      </c>
      <c r="O2741">
        <v>0.240755284918586</v>
      </c>
      <c r="P2741">
        <v>0.26482213245759811</v>
      </c>
    </row>
    <row r="2742" spans="13:16">
      <c r="M2742">
        <v>0.31015831057349447</v>
      </c>
      <c r="N2742">
        <v>0.18089105320866333</v>
      </c>
      <c r="O2742">
        <v>0.24976424010421999</v>
      </c>
      <c r="P2742">
        <v>0.25918639611362232</v>
      </c>
    </row>
    <row r="2743" spans="13:16">
      <c r="M2743">
        <v>0.28327249249910158</v>
      </c>
      <c r="N2743">
        <v>0.1767580034004054</v>
      </c>
      <c r="O2743">
        <v>0.2813363778123758</v>
      </c>
      <c r="P2743">
        <v>0.25863312628811724</v>
      </c>
    </row>
    <row r="2744" spans="13:16">
      <c r="M2744">
        <v>0.30637031467622744</v>
      </c>
      <c r="N2744">
        <v>0.18889527537117154</v>
      </c>
      <c r="O2744">
        <v>0.23675140939895675</v>
      </c>
      <c r="P2744">
        <v>0.26798300055364427</v>
      </c>
    </row>
    <row r="2745" spans="13:16">
      <c r="M2745">
        <v>0.27096957390920823</v>
      </c>
      <c r="N2745">
        <v>0.18510643764584397</v>
      </c>
      <c r="O2745">
        <v>0.2684975792724526</v>
      </c>
      <c r="P2745">
        <v>0.27542640917249522</v>
      </c>
    </row>
    <row r="2746" spans="13:16">
      <c r="M2746">
        <v>0.28858923950683346</v>
      </c>
      <c r="N2746">
        <v>0.18507011014556488</v>
      </c>
      <c r="O2746">
        <v>0.27271188513743083</v>
      </c>
      <c r="P2746">
        <v>0.2536287652101708</v>
      </c>
    </row>
    <row r="2747" spans="13:16">
      <c r="M2747">
        <v>0.2868793708071381</v>
      </c>
      <c r="N2747">
        <v>0.18492846361754886</v>
      </c>
      <c r="O2747">
        <v>0.27704793046785253</v>
      </c>
      <c r="P2747">
        <v>0.25114423510746037</v>
      </c>
    </row>
    <row r="2748" spans="13:16">
      <c r="M2748">
        <v>0.30716330884448317</v>
      </c>
      <c r="N2748">
        <v>0.18606024454276068</v>
      </c>
      <c r="O2748">
        <v>0.2558504550406982</v>
      </c>
      <c r="P2748">
        <v>0.25092599157205803</v>
      </c>
    </row>
    <row r="2749" spans="13:16">
      <c r="M2749">
        <v>0.26530985446290134</v>
      </c>
      <c r="N2749">
        <v>0.19447903684654697</v>
      </c>
      <c r="O2749">
        <v>0.27369393224713506</v>
      </c>
      <c r="P2749">
        <v>0.2665171764434166</v>
      </c>
    </row>
    <row r="2750" spans="13:16">
      <c r="M2750">
        <v>0.29113306553409718</v>
      </c>
      <c r="N2750">
        <v>0.18283137232448621</v>
      </c>
      <c r="O2750">
        <v>0.26839383571162578</v>
      </c>
      <c r="P2750">
        <v>0.257641726429791</v>
      </c>
    </row>
    <row r="2751" spans="13:16">
      <c r="M2751">
        <v>0.28717261774038971</v>
      </c>
      <c r="N2751">
        <v>0.18108768314032761</v>
      </c>
      <c r="O2751">
        <v>0.25651037512562963</v>
      </c>
      <c r="P2751">
        <v>0.27522932399365307</v>
      </c>
    </row>
    <row r="2752" spans="13:16">
      <c r="M2752">
        <v>0.26832177524830658</v>
      </c>
      <c r="N2752">
        <v>0.19858051574917934</v>
      </c>
      <c r="O2752">
        <v>0.26239627825623346</v>
      </c>
      <c r="P2752">
        <v>0.2707014307462805</v>
      </c>
    </row>
    <row r="2753" spans="13:16">
      <c r="M2753">
        <v>0.29842494285969806</v>
      </c>
      <c r="N2753">
        <v>0.16977421472573639</v>
      </c>
      <c r="O2753">
        <v>0.25613530534231421</v>
      </c>
      <c r="P2753">
        <v>0.27566553707225139</v>
      </c>
    </row>
    <row r="2754" spans="13:16">
      <c r="M2754">
        <v>0.28002236570293459</v>
      </c>
      <c r="N2754">
        <v>0.20316430373011024</v>
      </c>
      <c r="O2754">
        <v>0.24474986070619897</v>
      </c>
      <c r="P2754">
        <v>0.27206346986075619</v>
      </c>
    </row>
    <row r="2755" spans="13:16">
      <c r="M2755">
        <v>0.2728033500703938</v>
      </c>
      <c r="N2755">
        <v>0.18018778635275393</v>
      </c>
      <c r="O2755">
        <v>0.28477191018716952</v>
      </c>
      <c r="P2755">
        <v>0.26223695338968278</v>
      </c>
    </row>
    <row r="2756" spans="13:16">
      <c r="M2756">
        <v>0.30472336290397467</v>
      </c>
      <c r="N2756">
        <v>0.17724894813022254</v>
      </c>
      <c r="O2756">
        <v>0.25023305928669565</v>
      </c>
      <c r="P2756">
        <v>0.26779462967910722</v>
      </c>
    </row>
    <row r="2757" spans="13:16">
      <c r="M2757">
        <v>0.30406412957452328</v>
      </c>
      <c r="N2757">
        <v>0.18777951495126569</v>
      </c>
      <c r="O2757">
        <v>0.24253539927751888</v>
      </c>
      <c r="P2757">
        <v>0.26562095619669207</v>
      </c>
    </row>
    <row r="2758" spans="13:16">
      <c r="M2758">
        <v>0.28908374251719277</v>
      </c>
      <c r="N2758">
        <v>0.18608141001768985</v>
      </c>
      <c r="O2758">
        <v>0.25079754587260517</v>
      </c>
      <c r="P2758">
        <v>0.27403730159251227</v>
      </c>
    </row>
    <row r="2759" spans="13:16">
      <c r="M2759">
        <v>0.29311733085634134</v>
      </c>
      <c r="N2759">
        <v>0.18661502489611795</v>
      </c>
      <c r="O2759">
        <v>0.24331380554327225</v>
      </c>
      <c r="P2759">
        <v>0.27695383870426854</v>
      </c>
    </row>
    <row r="2760" spans="13:16">
      <c r="M2760">
        <v>0.29402979817860803</v>
      </c>
      <c r="N2760">
        <v>0.17092081729080608</v>
      </c>
      <c r="O2760">
        <v>0.26480753251886502</v>
      </c>
      <c r="P2760">
        <v>0.27024185201172091</v>
      </c>
    </row>
    <row r="2761" spans="13:16">
      <c r="M2761">
        <v>0.2747576144388621</v>
      </c>
      <c r="N2761">
        <v>0.19135218900548576</v>
      </c>
      <c r="O2761">
        <v>0.25158740213244585</v>
      </c>
      <c r="P2761">
        <v>0.28230279442320633</v>
      </c>
    </row>
    <row r="2762" spans="13:16">
      <c r="M2762">
        <v>0.27432786740156812</v>
      </c>
      <c r="N2762">
        <v>0.20314372846773299</v>
      </c>
      <c r="O2762">
        <v>0.25743711979715456</v>
      </c>
      <c r="P2762">
        <v>0.26509128433354434</v>
      </c>
    </row>
    <row r="2763" spans="13:16">
      <c r="M2763">
        <v>0.26021273028471714</v>
      </c>
      <c r="N2763">
        <v>0.20873634169898644</v>
      </c>
      <c r="O2763">
        <v>0.26293348829008278</v>
      </c>
      <c r="P2763">
        <v>0.2681174397262136</v>
      </c>
    </row>
    <row r="2764" spans="13:16">
      <c r="M2764">
        <v>0.29722610483592005</v>
      </c>
      <c r="N2764">
        <v>0.20077951521678788</v>
      </c>
      <c r="O2764">
        <v>0.22371863500627645</v>
      </c>
      <c r="P2764">
        <v>0.2782757449410157</v>
      </c>
    </row>
    <row r="2765" spans="13:16">
      <c r="M2765">
        <v>0.3064521701586661</v>
      </c>
      <c r="N2765">
        <v>0.17953697372388816</v>
      </c>
      <c r="O2765">
        <v>0.24738903333590373</v>
      </c>
      <c r="P2765">
        <v>0.26662182278154206</v>
      </c>
    </row>
    <row r="2766" spans="13:16">
      <c r="M2766">
        <v>0.28745403747792825</v>
      </c>
      <c r="N2766">
        <v>0.18212187984335146</v>
      </c>
      <c r="O2766">
        <v>0.27717048491393698</v>
      </c>
      <c r="P2766">
        <v>0.25325359776478329</v>
      </c>
    </row>
    <row r="2767" spans="13:16">
      <c r="M2767">
        <v>0.29673539588230113</v>
      </c>
      <c r="N2767">
        <v>0.17652003472863692</v>
      </c>
      <c r="O2767">
        <v>0.27454487004490513</v>
      </c>
      <c r="P2767">
        <v>0.25219969934415676</v>
      </c>
    </row>
    <row r="2768" spans="13:16">
      <c r="M2768">
        <v>0.28704614802579032</v>
      </c>
      <c r="N2768">
        <v>0.17366917892113831</v>
      </c>
      <c r="O2768">
        <v>0.26420607573052979</v>
      </c>
      <c r="P2768">
        <v>0.27507859732254158</v>
      </c>
    </row>
    <row r="2769" spans="13:16">
      <c r="M2769">
        <v>0.27168115689402267</v>
      </c>
      <c r="N2769">
        <v>0.19519078621047936</v>
      </c>
      <c r="O2769">
        <v>0.25706697912770343</v>
      </c>
      <c r="P2769">
        <v>0.27606107776779437</v>
      </c>
    </row>
    <row r="2770" spans="13:16">
      <c r="M2770">
        <v>0.30188473607756422</v>
      </c>
      <c r="N2770">
        <v>0.18042300813888557</v>
      </c>
      <c r="O2770">
        <v>0.26195585829525297</v>
      </c>
      <c r="P2770">
        <v>0.25573639748829724</v>
      </c>
    </row>
    <row r="2771" spans="13:16">
      <c r="M2771">
        <v>0.28053588139435176</v>
      </c>
      <c r="N2771">
        <v>0.17540131626265307</v>
      </c>
      <c r="O2771">
        <v>0.28081403638710223</v>
      </c>
      <c r="P2771">
        <v>0.26324876595589297</v>
      </c>
    </row>
    <row r="2772" spans="13:16">
      <c r="M2772">
        <v>0.28351543330017714</v>
      </c>
      <c r="N2772">
        <v>0.18991426427553665</v>
      </c>
      <c r="O2772">
        <v>0.27489953932583544</v>
      </c>
      <c r="P2772">
        <v>0.25167076309845077</v>
      </c>
    </row>
    <row r="2773" spans="13:16">
      <c r="M2773">
        <v>0.29241173309786583</v>
      </c>
      <c r="N2773">
        <v>0.19654568997775942</v>
      </c>
      <c r="O2773">
        <v>0.23250296967871997</v>
      </c>
      <c r="P2773">
        <v>0.27853960724565474</v>
      </c>
    </row>
    <row r="2774" spans="13:16">
      <c r="M2774">
        <v>0.27194584197931942</v>
      </c>
      <c r="N2774">
        <v>0.1944684292597646</v>
      </c>
      <c r="O2774">
        <v>0.26850221122640816</v>
      </c>
      <c r="P2774">
        <v>0.26508351753450776</v>
      </c>
    </row>
    <row r="2775" spans="13:16">
      <c r="M2775">
        <v>0.27048295435665926</v>
      </c>
      <c r="N2775">
        <v>0.19822166365655167</v>
      </c>
      <c r="O2775">
        <v>0.25177218733571577</v>
      </c>
      <c r="P2775">
        <v>0.27952319465107334</v>
      </c>
    </row>
    <row r="2776" spans="13:16">
      <c r="M2776">
        <v>0.2763638835610554</v>
      </c>
      <c r="N2776">
        <v>0.20456168739958319</v>
      </c>
      <c r="O2776">
        <v>0.24466863467733332</v>
      </c>
      <c r="P2776">
        <v>0.27440579436202817</v>
      </c>
    </row>
    <row r="2777" spans="13:16">
      <c r="M2777">
        <v>0.31369269818530815</v>
      </c>
      <c r="N2777">
        <v>0.16575741295402621</v>
      </c>
      <c r="O2777">
        <v>0.26300534204932219</v>
      </c>
      <c r="P2777">
        <v>0.25754454681134342</v>
      </c>
    </row>
    <row r="2778" spans="13:16">
      <c r="M2778">
        <v>0.26852837449486061</v>
      </c>
      <c r="N2778">
        <v>0.1746283142888907</v>
      </c>
      <c r="O2778">
        <v>0.29696289274571458</v>
      </c>
      <c r="P2778">
        <v>0.259880418470534</v>
      </c>
    </row>
    <row r="2779" spans="13:16">
      <c r="M2779">
        <v>0.30287924148202061</v>
      </c>
      <c r="N2779">
        <v>0.17959543694823596</v>
      </c>
      <c r="O2779">
        <v>0.25926643127194016</v>
      </c>
      <c r="P2779">
        <v>0.25825889029780319</v>
      </c>
    </row>
    <row r="2780" spans="13:16">
      <c r="M2780">
        <v>0.26560112958931498</v>
      </c>
      <c r="N2780">
        <v>0.18736308483182734</v>
      </c>
      <c r="O2780">
        <v>0.28278158678227666</v>
      </c>
      <c r="P2780">
        <v>0.26425419879658091</v>
      </c>
    </row>
    <row r="2781" spans="13:16">
      <c r="M2781">
        <v>0.30432752855297512</v>
      </c>
      <c r="N2781">
        <v>0.17586275152379913</v>
      </c>
      <c r="O2781">
        <v>0.26933565785868174</v>
      </c>
      <c r="P2781">
        <v>0.25047406206454387</v>
      </c>
    </row>
    <row r="2782" spans="13:16">
      <c r="M2782">
        <v>0.27811421662325775</v>
      </c>
      <c r="N2782">
        <v>0.1807371143187215</v>
      </c>
      <c r="O2782">
        <v>0.28472536984115326</v>
      </c>
      <c r="P2782">
        <v>0.25642329921686752</v>
      </c>
    </row>
    <row r="2783" spans="13:16">
      <c r="M2783">
        <v>0.3018839929517394</v>
      </c>
      <c r="N2783">
        <v>0.18403515817131275</v>
      </c>
      <c r="O2783">
        <v>0.22324716343078899</v>
      </c>
      <c r="P2783">
        <v>0.29083368544615884</v>
      </c>
    </row>
    <row r="2784" spans="13:16">
      <c r="M2784">
        <v>0.32013120635555448</v>
      </c>
      <c r="N2784">
        <v>0.17461593157717031</v>
      </c>
      <c r="O2784">
        <v>0.24175227977576669</v>
      </c>
      <c r="P2784">
        <v>0.26350058229150858</v>
      </c>
    </row>
    <row r="2785" spans="13:16">
      <c r="M2785">
        <v>0.28885765374839573</v>
      </c>
      <c r="N2785">
        <v>0.18427600045047179</v>
      </c>
      <c r="O2785">
        <v>0.28005331472816197</v>
      </c>
      <c r="P2785">
        <v>0.24681303107297051</v>
      </c>
    </row>
    <row r="2786" spans="13:16">
      <c r="M2786">
        <v>0.28869123519820239</v>
      </c>
      <c r="N2786">
        <v>0.17400557033600406</v>
      </c>
      <c r="O2786">
        <v>0.27815932891482115</v>
      </c>
      <c r="P2786">
        <v>0.25914386555097252</v>
      </c>
    </row>
    <row r="2787" spans="13:16">
      <c r="M2787">
        <v>0.30057452986476746</v>
      </c>
      <c r="N2787">
        <v>0.19895766184460334</v>
      </c>
      <c r="O2787">
        <v>0.22603459597193651</v>
      </c>
      <c r="P2787">
        <v>0.27443321231869272</v>
      </c>
    </row>
    <row r="2788" spans="13:16">
      <c r="M2788">
        <v>0.29026536270427616</v>
      </c>
      <c r="N2788">
        <v>0.16752469269440748</v>
      </c>
      <c r="O2788">
        <v>0.29458462727974988</v>
      </c>
      <c r="P2788">
        <v>0.24762531732156642</v>
      </c>
    </row>
    <row r="2789" spans="13:16">
      <c r="M2789">
        <v>0.29590547215751284</v>
      </c>
      <c r="N2789">
        <v>0.18254852904835372</v>
      </c>
      <c r="O2789">
        <v>0.25347580704164457</v>
      </c>
      <c r="P2789">
        <v>0.26807019175248881</v>
      </c>
    </row>
    <row r="2790" spans="13:16">
      <c r="M2790">
        <v>0.31985275616390824</v>
      </c>
      <c r="N2790">
        <v>0.18643246109717665</v>
      </c>
      <c r="O2790">
        <v>0.24573075427015609</v>
      </c>
      <c r="P2790">
        <v>0.24798402846875903</v>
      </c>
    </row>
    <row r="2791" spans="13:16">
      <c r="M2791">
        <v>0.32195195072575433</v>
      </c>
      <c r="N2791">
        <v>0.18862633326353923</v>
      </c>
      <c r="O2791">
        <v>0.22917875476252261</v>
      </c>
      <c r="P2791">
        <v>0.2602429612481838</v>
      </c>
    </row>
    <row r="2792" spans="13:16">
      <c r="M2792">
        <v>0.28057518115615715</v>
      </c>
      <c r="N2792">
        <v>0.16466615309602781</v>
      </c>
      <c r="O2792">
        <v>0.30612291753061938</v>
      </c>
      <c r="P2792">
        <v>0.24863574821719558</v>
      </c>
    </row>
    <row r="2793" spans="13:16">
      <c r="M2793">
        <v>0.2922550785667532</v>
      </c>
      <c r="N2793">
        <v>0.17286979805167957</v>
      </c>
      <c r="O2793">
        <v>0.28699020251266077</v>
      </c>
      <c r="P2793">
        <v>0.24788492086890651</v>
      </c>
    </row>
    <row r="2794" spans="13:16">
      <c r="M2794">
        <v>0.28160634765559167</v>
      </c>
      <c r="N2794">
        <v>0.19999958045669911</v>
      </c>
      <c r="O2794">
        <v>0.2638684459497751</v>
      </c>
      <c r="P2794">
        <v>0.2545256259379341</v>
      </c>
    </row>
    <row r="2795" spans="13:16">
      <c r="M2795">
        <v>0.27811248372891928</v>
      </c>
      <c r="N2795">
        <v>0.19972104763718365</v>
      </c>
      <c r="O2795">
        <v>0.25334761458254568</v>
      </c>
      <c r="P2795">
        <v>0.26881885405135153</v>
      </c>
    </row>
    <row r="2796" spans="13:16">
      <c r="M2796">
        <v>0.2591376373578762</v>
      </c>
      <c r="N2796">
        <v>0.1858222483910098</v>
      </c>
      <c r="O2796">
        <v>0.28622616571526321</v>
      </c>
      <c r="P2796">
        <v>0.26881394853585072</v>
      </c>
    </row>
    <row r="2797" spans="13:16">
      <c r="M2797">
        <v>0.30616502172509119</v>
      </c>
      <c r="N2797">
        <v>0.18496033957241209</v>
      </c>
      <c r="O2797">
        <v>0.25649764796299063</v>
      </c>
      <c r="P2797">
        <v>0.25237699073950604</v>
      </c>
    </row>
    <row r="2798" spans="13:16">
      <c r="M2798">
        <v>0.27897379118524818</v>
      </c>
      <c r="N2798">
        <v>0.19698359575121738</v>
      </c>
      <c r="O2798">
        <v>0.24540683303046382</v>
      </c>
      <c r="P2798">
        <v>0.27863578003307071</v>
      </c>
    </row>
    <row r="2799" spans="13:16">
      <c r="M2799">
        <v>0.29271769305760281</v>
      </c>
      <c r="N2799">
        <v>0.17942308739360757</v>
      </c>
      <c r="O2799">
        <v>0.25232133510882537</v>
      </c>
      <c r="P2799">
        <v>0.2755378844399643</v>
      </c>
    </row>
    <row r="2800" spans="13:16">
      <c r="M2800">
        <v>0.28628241786206082</v>
      </c>
      <c r="N2800">
        <v>0.17054461604091614</v>
      </c>
      <c r="O2800">
        <v>0.29337592585541905</v>
      </c>
      <c r="P2800">
        <v>0.24979704024160398</v>
      </c>
    </row>
    <row r="2801" spans="13:16">
      <c r="M2801">
        <v>0.29542975204603633</v>
      </c>
      <c r="N2801">
        <v>0.16887620264314498</v>
      </c>
      <c r="O2801">
        <v>0.28774925574433818</v>
      </c>
      <c r="P2801">
        <v>0.24794478956648047</v>
      </c>
    </row>
    <row r="2802" spans="13:16">
      <c r="M2802">
        <v>0.2920214186609485</v>
      </c>
      <c r="N2802">
        <v>0.19422368304456133</v>
      </c>
      <c r="O2802">
        <v>0.24155531873935146</v>
      </c>
      <c r="P2802">
        <v>0.27219957955513863</v>
      </c>
    </row>
    <row r="2803" spans="13:16">
      <c r="M2803">
        <v>0.2744180878780304</v>
      </c>
      <c r="N2803">
        <v>0.18120115775550008</v>
      </c>
      <c r="O2803">
        <v>0.26835578219794931</v>
      </c>
      <c r="P2803">
        <v>0.27602497216852018</v>
      </c>
    </row>
    <row r="2804" spans="13:16">
      <c r="M2804">
        <v>0.28828464085441274</v>
      </c>
      <c r="N2804">
        <v>0.18263391955051439</v>
      </c>
      <c r="O2804">
        <v>0.27326060937729946</v>
      </c>
      <c r="P2804">
        <v>0.25582083021777346</v>
      </c>
    </row>
    <row r="2805" spans="13:16">
      <c r="M2805">
        <v>0.26686101279918928</v>
      </c>
      <c r="N2805">
        <v>0.18773744794564021</v>
      </c>
      <c r="O2805">
        <v>0.28198729193133432</v>
      </c>
      <c r="P2805">
        <v>0.26341424732383611</v>
      </c>
    </row>
    <row r="2806" spans="13:16">
      <c r="M2806">
        <v>0.30033875812191291</v>
      </c>
      <c r="N2806">
        <v>0.1768228411291482</v>
      </c>
      <c r="O2806">
        <v>0.26996299057709794</v>
      </c>
      <c r="P2806">
        <v>0.2528754101718409</v>
      </c>
    </row>
    <row r="2807" spans="13:16">
      <c r="M2807">
        <v>0.26564828427314152</v>
      </c>
      <c r="N2807">
        <v>0.19157605627122909</v>
      </c>
      <c r="O2807">
        <v>0.29090913158763687</v>
      </c>
      <c r="P2807">
        <v>0.25186652786799252</v>
      </c>
    </row>
    <row r="2808" spans="13:16">
      <c r="M2808">
        <v>0.30316633472305443</v>
      </c>
      <c r="N2808">
        <v>0.17080086992654095</v>
      </c>
      <c r="O2808">
        <v>0.25191264200301466</v>
      </c>
      <c r="P2808">
        <v>0.27412015334739004</v>
      </c>
    </row>
    <row r="2809" spans="13:16">
      <c r="M2809">
        <v>0.3036894068592258</v>
      </c>
      <c r="N2809">
        <v>0.19188261614274993</v>
      </c>
      <c r="O2809">
        <v>0.2463204848797548</v>
      </c>
      <c r="P2809">
        <v>0.25810749211826944</v>
      </c>
    </row>
    <row r="2810" spans="13:16">
      <c r="M2810">
        <v>0.28734170276591176</v>
      </c>
      <c r="N2810">
        <v>0.20273968218773242</v>
      </c>
      <c r="O2810">
        <v>0.23002250991202347</v>
      </c>
      <c r="P2810">
        <v>0.27989610513433233</v>
      </c>
    </row>
    <row r="2811" spans="13:16">
      <c r="M2811">
        <v>0.28927488564335024</v>
      </c>
      <c r="N2811">
        <v>0.19878168692817669</v>
      </c>
      <c r="O2811">
        <v>0.23797321086804757</v>
      </c>
      <c r="P2811">
        <v>0.27397021656042547</v>
      </c>
    </row>
    <row r="2812" spans="13:16">
      <c r="M2812">
        <v>0.28242874618960168</v>
      </c>
      <c r="N2812">
        <v>0.18398341032675261</v>
      </c>
      <c r="O2812">
        <v>0.2803098992607887</v>
      </c>
      <c r="P2812">
        <v>0.2532779442228571</v>
      </c>
    </row>
    <row r="2813" spans="13:16">
      <c r="M2813">
        <v>0.27728800268781978</v>
      </c>
      <c r="N2813">
        <v>0.2020876037010689</v>
      </c>
      <c r="O2813">
        <v>0.242464848392798</v>
      </c>
      <c r="P2813">
        <v>0.27815954521831338</v>
      </c>
    </row>
    <row r="2814" spans="13:16">
      <c r="M2814">
        <v>0.26930978191415067</v>
      </c>
      <c r="N2814">
        <v>0.20063752554610864</v>
      </c>
      <c r="O2814">
        <v>0.25827434704004049</v>
      </c>
      <c r="P2814">
        <v>0.2717783454997002</v>
      </c>
    </row>
    <row r="2815" spans="13:16">
      <c r="M2815">
        <v>0.29102296794808269</v>
      </c>
      <c r="N2815">
        <v>0.18858172608277493</v>
      </c>
      <c r="O2815">
        <v>0.22869309346993164</v>
      </c>
      <c r="P2815">
        <v>0.29170221249921069</v>
      </c>
    </row>
    <row r="2816" spans="13:16">
      <c r="M2816">
        <v>0.29889403710380497</v>
      </c>
      <c r="N2816">
        <v>0.18093747712376157</v>
      </c>
      <c r="O2816">
        <v>0.25678463077590047</v>
      </c>
      <c r="P2816">
        <v>0.26338385499653283</v>
      </c>
    </row>
    <row r="2817" spans="13:16">
      <c r="M2817">
        <v>0.29199105384854662</v>
      </c>
      <c r="N2817">
        <v>0.17607324860240542</v>
      </c>
      <c r="O2817">
        <v>0.27977415585081661</v>
      </c>
      <c r="P2817">
        <v>0.25216154169823146</v>
      </c>
    </row>
    <row r="2818" spans="13:16">
      <c r="M2818">
        <v>0.28947072447726924</v>
      </c>
      <c r="N2818">
        <v>0.16962630205559345</v>
      </c>
      <c r="O2818">
        <v>0.28050745079293676</v>
      </c>
      <c r="P2818">
        <v>0.26039552267420052</v>
      </c>
    </row>
    <row r="2819" spans="13:16">
      <c r="M2819">
        <v>0.28817014389029622</v>
      </c>
      <c r="N2819">
        <v>0.19789010263414072</v>
      </c>
      <c r="O2819">
        <v>0.24510121295430454</v>
      </c>
      <c r="P2819">
        <v>0.26883854052125866</v>
      </c>
    </row>
    <row r="2820" spans="13:16">
      <c r="M2820">
        <v>0.27361838987225046</v>
      </c>
      <c r="N2820">
        <v>0.20130565360786246</v>
      </c>
      <c r="O2820">
        <v>0.25475537200027631</v>
      </c>
      <c r="P2820">
        <v>0.27032058451961083</v>
      </c>
    </row>
    <row r="2821" spans="13:16">
      <c r="M2821">
        <v>0.28631589794835077</v>
      </c>
      <c r="N2821">
        <v>0.19687698537760265</v>
      </c>
      <c r="O2821">
        <v>0.23969342654580569</v>
      </c>
      <c r="P2821">
        <v>0.27711369012824083</v>
      </c>
    </row>
    <row r="2822" spans="13:16">
      <c r="M2822">
        <v>0.31910969035817366</v>
      </c>
      <c r="N2822">
        <v>0.19758169992720104</v>
      </c>
      <c r="O2822">
        <v>0.21812211169121787</v>
      </c>
      <c r="P2822">
        <v>0.26518649802340732</v>
      </c>
    </row>
    <row r="2823" spans="13:16">
      <c r="M2823">
        <v>0.28182043412111335</v>
      </c>
      <c r="N2823">
        <v>0.19799437257052385</v>
      </c>
      <c r="O2823">
        <v>0.24093106307866177</v>
      </c>
      <c r="P2823">
        <v>0.27925413022970103</v>
      </c>
    </row>
    <row r="2824" spans="13:16">
      <c r="M2824">
        <v>0.29460469240557019</v>
      </c>
      <c r="N2824">
        <v>0.17975345829508113</v>
      </c>
      <c r="O2824">
        <v>0.2514857535429707</v>
      </c>
      <c r="P2824">
        <v>0.27415609575637806</v>
      </c>
    </row>
    <row r="2825" spans="13:16">
      <c r="M2825">
        <v>0.27930676910455499</v>
      </c>
      <c r="N2825">
        <v>0.1891658838752957</v>
      </c>
      <c r="O2825">
        <v>0.25385779210017201</v>
      </c>
      <c r="P2825">
        <v>0.27766955491997725</v>
      </c>
    </row>
    <row r="2826" spans="13:16">
      <c r="M2826">
        <v>0.29988235449461431</v>
      </c>
      <c r="N2826">
        <v>0.17837395205975759</v>
      </c>
      <c r="O2826">
        <v>0.25235968743826731</v>
      </c>
      <c r="P2826">
        <v>0.26938400600736084</v>
      </c>
    </row>
    <row r="2827" spans="13:16">
      <c r="M2827">
        <v>0.29519075174493531</v>
      </c>
      <c r="N2827">
        <v>0.18396014821011433</v>
      </c>
      <c r="O2827">
        <v>0.26503765535590035</v>
      </c>
      <c r="P2827">
        <v>0.25581144468904998</v>
      </c>
    </row>
    <row r="2828" spans="13:16">
      <c r="M2828">
        <v>0.32244615211322469</v>
      </c>
      <c r="N2828">
        <v>0.1949508333739578</v>
      </c>
      <c r="O2828">
        <v>0.21924879016397558</v>
      </c>
      <c r="P2828">
        <v>0.26335422434884193</v>
      </c>
    </row>
    <row r="2829" spans="13:16">
      <c r="M2829">
        <v>0.27466440087230243</v>
      </c>
      <c r="N2829">
        <v>0.20276194358575544</v>
      </c>
      <c r="O2829">
        <v>0.24682245507861053</v>
      </c>
      <c r="P2829">
        <v>0.27575120046333157</v>
      </c>
    </row>
    <row r="2830" spans="13:16">
      <c r="M2830">
        <v>0.29921416088438446</v>
      </c>
      <c r="N2830">
        <v>0.1773590024082394</v>
      </c>
      <c r="O2830">
        <v>0.27019024277980819</v>
      </c>
      <c r="P2830">
        <v>0.25323659392756803</v>
      </c>
    </row>
    <row r="2831" spans="13:16">
      <c r="M2831">
        <v>0.2667743494378117</v>
      </c>
      <c r="N2831">
        <v>0.19020864532052859</v>
      </c>
      <c r="O2831">
        <v>0.26953339779485408</v>
      </c>
      <c r="P2831">
        <v>0.27348360744680578</v>
      </c>
    </row>
    <row r="2832" spans="13:16">
      <c r="M2832">
        <v>0.30094284035961649</v>
      </c>
      <c r="N2832">
        <v>0.18496513194602499</v>
      </c>
      <c r="O2832">
        <v>0.257003815219223</v>
      </c>
      <c r="P2832">
        <v>0.25708821247513541</v>
      </c>
    </row>
    <row r="2833" spans="13:16">
      <c r="M2833">
        <v>0.26978884541389225</v>
      </c>
      <c r="N2833">
        <v>0.19164628232149136</v>
      </c>
      <c r="O2833">
        <v>0.26277507968506963</v>
      </c>
      <c r="P2833">
        <v>0.27578979257954672</v>
      </c>
    </row>
    <row r="2834" spans="13:16">
      <c r="M2834">
        <v>0.30288187420770857</v>
      </c>
      <c r="N2834">
        <v>0.19406523820155036</v>
      </c>
      <c r="O2834">
        <v>0.23565819810911132</v>
      </c>
      <c r="P2834">
        <v>0.26739468948162975</v>
      </c>
    </row>
    <row r="2835" spans="13:16">
      <c r="M2835">
        <v>0.29505631802427046</v>
      </c>
      <c r="N2835">
        <v>0.19729602536682928</v>
      </c>
      <c r="O2835">
        <v>0.2566766421804984</v>
      </c>
      <c r="P2835">
        <v>0.25097101442840186</v>
      </c>
    </row>
    <row r="2836" spans="13:16">
      <c r="M2836">
        <v>0.2651154449958309</v>
      </c>
      <c r="N2836">
        <v>0.21017109632101549</v>
      </c>
      <c r="O2836">
        <v>0.2533098262009788</v>
      </c>
      <c r="P2836">
        <v>0.27140363248217486</v>
      </c>
    </row>
    <row r="2837" spans="13:16">
      <c r="M2837">
        <v>0.29574247949180388</v>
      </c>
      <c r="N2837">
        <v>0.18466355718149272</v>
      </c>
      <c r="O2837">
        <v>0.26291099631884068</v>
      </c>
      <c r="P2837">
        <v>0.25668296700786269</v>
      </c>
    </row>
    <row r="2838" spans="13:16">
      <c r="M2838">
        <v>0.26474919864575613</v>
      </c>
      <c r="N2838">
        <v>0.21555453444325798</v>
      </c>
      <c r="O2838">
        <v>0.24986387935258234</v>
      </c>
      <c r="P2838">
        <v>0.2698323875584035</v>
      </c>
    </row>
    <row r="2839" spans="13:16">
      <c r="M2839">
        <v>0.29656275340537136</v>
      </c>
      <c r="N2839">
        <v>0.19385693401680601</v>
      </c>
      <c r="O2839">
        <v>0.25357543273901639</v>
      </c>
      <c r="P2839">
        <v>0.25600487983880615</v>
      </c>
    </row>
    <row r="2840" spans="13:16">
      <c r="M2840">
        <v>0.30982531903667498</v>
      </c>
      <c r="N2840">
        <v>0.17767622443349793</v>
      </c>
      <c r="O2840">
        <v>0.27304430243582006</v>
      </c>
      <c r="P2840">
        <v>0.23945415409400694</v>
      </c>
    </row>
    <row r="2841" spans="13:16">
      <c r="M2841">
        <v>0.27982054882640156</v>
      </c>
      <c r="N2841">
        <v>0.17882290221744743</v>
      </c>
      <c r="O2841">
        <v>0.26884091299057905</v>
      </c>
      <c r="P2841">
        <v>0.27251563596557188</v>
      </c>
    </row>
    <row r="2842" spans="13:16">
      <c r="M2842">
        <v>0.29857846217505374</v>
      </c>
      <c r="N2842">
        <v>0.18285408953660434</v>
      </c>
      <c r="O2842">
        <v>0.25792395199343909</v>
      </c>
      <c r="P2842">
        <v>0.2606434962949028</v>
      </c>
    </row>
    <row r="2843" spans="13:16">
      <c r="M2843">
        <v>0.31697910883882502</v>
      </c>
      <c r="N2843">
        <v>0.17919962005128307</v>
      </c>
      <c r="O2843">
        <v>0.23443070296469587</v>
      </c>
      <c r="P2843">
        <v>0.26939056814519602</v>
      </c>
    </row>
    <row r="2844" spans="13:16">
      <c r="M2844">
        <v>0.26784256627599373</v>
      </c>
      <c r="N2844">
        <v>0.17062257596533367</v>
      </c>
      <c r="O2844">
        <v>0.30505447491469573</v>
      </c>
      <c r="P2844">
        <v>0.25648038284397695</v>
      </c>
    </row>
    <row r="2845" spans="13:16">
      <c r="M2845">
        <v>0.28133235220581576</v>
      </c>
      <c r="N2845">
        <v>0.17447069577540272</v>
      </c>
      <c r="O2845">
        <v>0.29237701731632953</v>
      </c>
      <c r="P2845">
        <v>0.25181993470245195</v>
      </c>
    </row>
    <row r="2846" spans="13:16">
      <c r="M2846">
        <v>0.27997650139885238</v>
      </c>
      <c r="N2846">
        <v>0.18367105946431056</v>
      </c>
      <c r="O2846">
        <v>0.2637972580795398</v>
      </c>
      <c r="P2846">
        <v>0.27255518105729731</v>
      </c>
    </row>
    <row r="2847" spans="13:16">
      <c r="M2847">
        <v>0.30607641615882936</v>
      </c>
      <c r="N2847">
        <v>0.17895848590691804</v>
      </c>
      <c r="O2847">
        <v>0.26841119059902352</v>
      </c>
      <c r="P2847">
        <v>0.24655390733522911</v>
      </c>
    </row>
    <row r="2848" spans="13:16">
      <c r="M2848">
        <v>0.33021109569417434</v>
      </c>
      <c r="N2848">
        <v>0.16606391963474473</v>
      </c>
      <c r="O2848">
        <v>0.25687653950436973</v>
      </c>
      <c r="P2848">
        <v>0.24684844516671126</v>
      </c>
    </row>
    <row r="2849" spans="13:16">
      <c r="M2849">
        <v>0.31157191524436595</v>
      </c>
      <c r="N2849">
        <v>0.16496694843971527</v>
      </c>
      <c r="O2849">
        <v>0.27443962283903672</v>
      </c>
      <c r="P2849">
        <v>0.24902151347688217</v>
      </c>
    </row>
    <row r="2850" spans="13:16">
      <c r="M2850">
        <v>0.29999125228424617</v>
      </c>
      <c r="N2850">
        <v>0.17905630894654126</v>
      </c>
      <c r="O2850">
        <v>0.26916126752817993</v>
      </c>
      <c r="P2850">
        <v>0.25179117124103262</v>
      </c>
    </row>
    <row r="2851" spans="13:16">
      <c r="M2851">
        <v>0.28756152882284369</v>
      </c>
      <c r="N2851">
        <v>0.19790443775334468</v>
      </c>
      <c r="O2851">
        <v>0.23884483145595561</v>
      </c>
      <c r="P2851">
        <v>0.27568920196785601</v>
      </c>
    </row>
    <row r="2852" spans="13:16">
      <c r="M2852">
        <v>0.33477557285096543</v>
      </c>
      <c r="N2852">
        <v>0.17932266162044108</v>
      </c>
      <c r="O2852">
        <v>0.21327160744366755</v>
      </c>
      <c r="P2852">
        <v>0.27263015808492597</v>
      </c>
    </row>
    <row r="2853" spans="13:16">
      <c r="M2853">
        <v>0.29930603149866108</v>
      </c>
      <c r="N2853">
        <v>0.18726747244067107</v>
      </c>
      <c r="O2853">
        <v>0.25696404098114217</v>
      </c>
      <c r="P2853">
        <v>0.25646245507952564</v>
      </c>
    </row>
    <row r="2854" spans="13:16">
      <c r="M2854">
        <v>0.26877358134540419</v>
      </c>
      <c r="N2854">
        <v>0.19814764140508551</v>
      </c>
      <c r="O2854">
        <v>0.26636139961145333</v>
      </c>
      <c r="P2854">
        <v>0.26671737763805692</v>
      </c>
    </row>
    <row r="2855" spans="13:16">
      <c r="M2855">
        <v>0.29792243092058196</v>
      </c>
      <c r="N2855">
        <v>0.18565400755100706</v>
      </c>
      <c r="O2855">
        <v>0.22179321018092446</v>
      </c>
      <c r="P2855">
        <v>0.29463035134748655</v>
      </c>
    </row>
    <row r="2856" spans="13:16">
      <c r="M2856">
        <v>0.29906407623541492</v>
      </c>
      <c r="N2856">
        <v>0.18464589339863965</v>
      </c>
      <c r="O2856">
        <v>0.25613816106821946</v>
      </c>
      <c r="P2856">
        <v>0.2601518692977261</v>
      </c>
    </row>
    <row r="2857" spans="13:16">
      <c r="M2857">
        <v>0.29815010331344599</v>
      </c>
      <c r="N2857">
        <v>0.19287937862104182</v>
      </c>
      <c r="O2857">
        <v>0.25519047257573529</v>
      </c>
      <c r="P2857">
        <v>0.25378004548977706</v>
      </c>
    </row>
    <row r="2858" spans="13:16">
      <c r="M2858">
        <v>0.29532952139239987</v>
      </c>
      <c r="N2858">
        <v>0.17735459990881083</v>
      </c>
      <c r="O2858">
        <v>0.25600149676226597</v>
      </c>
      <c r="P2858">
        <v>0.27131438193652335</v>
      </c>
    </row>
    <row r="2859" spans="13:16">
      <c r="M2859">
        <v>0.28231755546677068</v>
      </c>
      <c r="N2859">
        <v>0.1932093847451164</v>
      </c>
      <c r="O2859">
        <v>0.2373183009112351</v>
      </c>
      <c r="P2859">
        <v>0.2871547588768778</v>
      </c>
    </row>
    <row r="2860" spans="13:16">
      <c r="M2860">
        <v>0.30014682145537508</v>
      </c>
      <c r="N2860">
        <v>0.1844209254484459</v>
      </c>
      <c r="O2860">
        <v>0.24408845304651461</v>
      </c>
      <c r="P2860">
        <v>0.27134380004966441</v>
      </c>
    </row>
    <row r="2861" spans="13:16">
      <c r="M2861">
        <v>0.28868077904658179</v>
      </c>
      <c r="N2861">
        <v>0.17532986945422521</v>
      </c>
      <c r="O2861">
        <v>0.28612907999432929</v>
      </c>
      <c r="P2861">
        <v>0.2498602715048637</v>
      </c>
    </row>
    <row r="2862" spans="13:16">
      <c r="M2862">
        <v>0.30542375665343463</v>
      </c>
      <c r="N2862">
        <v>0.20038937746434635</v>
      </c>
      <c r="O2862">
        <v>0.23953117554821382</v>
      </c>
      <c r="P2862">
        <v>0.25465569033400509</v>
      </c>
    </row>
    <row r="2863" spans="13:16">
      <c r="M2863">
        <v>0.31773132611466237</v>
      </c>
      <c r="N2863">
        <v>0.1849171056019302</v>
      </c>
      <c r="O2863">
        <v>0.2159774303560496</v>
      </c>
      <c r="P2863">
        <v>0.28137413792735777</v>
      </c>
    </row>
    <row r="2864" spans="13:16">
      <c r="M2864">
        <v>0.32446754692815116</v>
      </c>
      <c r="N2864">
        <v>0.19249915836643486</v>
      </c>
      <c r="O2864">
        <v>0.2309839645101808</v>
      </c>
      <c r="P2864">
        <v>0.25204933019523323</v>
      </c>
    </row>
    <row r="2865" spans="13:16">
      <c r="M2865">
        <v>0.3324059781238215</v>
      </c>
      <c r="N2865">
        <v>0.16501003920357607</v>
      </c>
      <c r="O2865">
        <v>0.2467827384509719</v>
      </c>
      <c r="P2865">
        <v>0.25580124422163053</v>
      </c>
    </row>
    <row r="2866" spans="13:16">
      <c r="M2866">
        <v>0.29539950140246063</v>
      </c>
      <c r="N2866">
        <v>0.17252441739141708</v>
      </c>
      <c r="O2866">
        <v>0.28147170868999843</v>
      </c>
      <c r="P2866">
        <v>0.25060437251612389</v>
      </c>
    </row>
    <row r="2867" spans="13:16">
      <c r="M2867">
        <v>0.29879571521363241</v>
      </c>
      <c r="N2867">
        <v>0.17835943706274482</v>
      </c>
      <c r="O2867">
        <v>0.25866084242045639</v>
      </c>
      <c r="P2867">
        <v>0.26418400530316655</v>
      </c>
    </row>
    <row r="2868" spans="13:16">
      <c r="M2868">
        <v>0.2697418261700571</v>
      </c>
      <c r="N2868">
        <v>0.18551941704878502</v>
      </c>
      <c r="O2868">
        <v>0.27591470450575006</v>
      </c>
      <c r="P2868">
        <v>0.26882405227540784</v>
      </c>
    </row>
    <row r="2869" spans="13:16">
      <c r="M2869">
        <v>0.29543505492192229</v>
      </c>
      <c r="N2869">
        <v>0.16567232983402086</v>
      </c>
      <c r="O2869">
        <v>0.29061864127165848</v>
      </c>
      <c r="P2869">
        <v>0.24827397397239834</v>
      </c>
    </row>
    <row r="2870" spans="13:16">
      <c r="M2870">
        <v>0.30136956628094574</v>
      </c>
      <c r="N2870">
        <v>0.1757467407638531</v>
      </c>
      <c r="O2870">
        <v>0.27498124081851155</v>
      </c>
      <c r="P2870">
        <v>0.24790245213668957</v>
      </c>
    </row>
    <row r="2871" spans="13:16">
      <c r="M2871">
        <v>0.31808219506350116</v>
      </c>
      <c r="N2871">
        <v>0.1843439449392722</v>
      </c>
      <c r="O2871">
        <v>0.23967510529162739</v>
      </c>
      <c r="P2871">
        <v>0.2578987547055992</v>
      </c>
    </row>
    <row r="2872" spans="13:16">
      <c r="M2872">
        <v>0.26434133738094329</v>
      </c>
      <c r="N2872">
        <v>0.19725533394339231</v>
      </c>
      <c r="O2872">
        <v>0.26959752582156704</v>
      </c>
      <c r="P2872">
        <v>0.26880580285409733</v>
      </c>
    </row>
    <row r="2873" spans="13:16">
      <c r="M2873">
        <v>0.2809344341222102</v>
      </c>
      <c r="N2873">
        <v>0.19674319329451714</v>
      </c>
      <c r="O2873">
        <v>0.24953288503454149</v>
      </c>
      <c r="P2873">
        <v>0.27278948754873122</v>
      </c>
    </row>
    <row r="2874" spans="13:16">
      <c r="M2874">
        <v>0.29532644596837787</v>
      </c>
      <c r="N2874">
        <v>0.17704693666803789</v>
      </c>
      <c r="O2874">
        <v>0.26547297147804855</v>
      </c>
      <c r="P2874">
        <v>0.26215364588553558</v>
      </c>
    </row>
    <row r="2875" spans="13:16">
      <c r="M2875">
        <v>0.31454497589036601</v>
      </c>
      <c r="N2875">
        <v>0.19648456698765895</v>
      </c>
      <c r="O2875">
        <v>0.22483698998992446</v>
      </c>
      <c r="P2875">
        <v>0.26413346713205066</v>
      </c>
    </row>
    <row r="2876" spans="13:16">
      <c r="M2876">
        <v>0.29213557990888062</v>
      </c>
      <c r="N2876">
        <v>0.17107084834812092</v>
      </c>
      <c r="O2876">
        <v>0.27998211845178156</v>
      </c>
      <c r="P2876">
        <v>0.25681145329121702</v>
      </c>
    </row>
    <row r="2877" spans="13:16">
      <c r="M2877">
        <v>0.28611438439595827</v>
      </c>
      <c r="N2877">
        <v>0.20134576124281173</v>
      </c>
      <c r="O2877">
        <v>0.23652809440457548</v>
      </c>
      <c r="P2877">
        <v>0.27601175995665461</v>
      </c>
    </row>
    <row r="2878" spans="13:16">
      <c r="M2878">
        <v>0.28336971160152841</v>
      </c>
      <c r="N2878">
        <v>0.19130002043922095</v>
      </c>
      <c r="O2878">
        <v>0.24437244115325113</v>
      </c>
      <c r="P2878">
        <v>0.28095782680599951</v>
      </c>
    </row>
    <row r="2879" spans="13:16">
      <c r="M2879">
        <v>0.28506687919939983</v>
      </c>
      <c r="N2879">
        <v>0.19173720299346261</v>
      </c>
      <c r="O2879">
        <v>0.25182858624662707</v>
      </c>
      <c r="P2879">
        <v>0.27136733156051035</v>
      </c>
    </row>
    <row r="2880" spans="13:16">
      <c r="M2880">
        <v>0.28458211203094547</v>
      </c>
      <c r="N2880">
        <v>0.19579088438290032</v>
      </c>
      <c r="O2880">
        <v>0.27168170157910099</v>
      </c>
      <c r="P2880">
        <v>0.24794530200705334</v>
      </c>
    </row>
    <row r="2881" spans="13:16">
      <c r="M2881">
        <v>0.33455880531117649</v>
      </c>
      <c r="N2881">
        <v>0.17168067340081403</v>
      </c>
      <c r="O2881">
        <v>0.24454665796242728</v>
      </c>
      <c r="P2881">
        <v>0.24921386332558215</v>
      </c>
    </row>
    <row r="2882" spans="13:16">
      <c r="M2882">
        <v>0.2611620398011788</v>
      </c>
      <c r="N2882">
        <v>0.17996406992758082</v>
      </c>
      <c r="O2882">
        <v>0.30093032086685273</v>
      </c>
      <c r="P2882">
        <v>0.25794356940438767</v>
      </c>
    </row>
    <row r="2883" spans="13:16">
      <c r="M2883">
        <v>0.26055813589746629</v>
      </c>
      <c r="N2883">
        <v>0.2036401349834599</v>
      </c>
      <c r="O2883">
        <v>0.27447778628898323</v>
      </c>
      <c r="P2883">
        <v>0.26132394283009064</v>
      </c>
    </row>
    <row r="2884" spans="13:16">
      <c r="M2884">
        <v>0.32404096246259284</v>
      </c>
      <c r="N2884">
        <v>0.16976268126726024</v>
      </c>
      <c r="O2884">
        <v>0.24767133015873599</v>
      </c>
      <c r="P2884">
        <v>0.25852502611141076</v>
      </c>
    </row>
    <row r="2885" spans="13:16">
      <c r="M2885">
        <v>0.26455199842151861</v>
      </c>
      <c r="N2885">
        <v>0.1841887329374278</v>
      </c>
      <c r="O2885">
        <v>0.28189633764141264</v>
      </c>
      <c r="P2885">
        <v>0.26936293099964098</v>
      </c>
    </row>
    <row r="2886" spans="13:16">
      <c r="M2886">
        <v>0.29729374302739742</v>
      </c>
      <c r="N2886">
        <v>0.18206763471058299</v>
      </c>
      <c r="O2886">
        <v>0.23663106682856341</v>
      </c>
      <c r="P2886">
        <v>0.28400755543345613</v>
      </c>
    </row>
    <row r="2887" spans="13:16">
      <c r="M2887">
        <v>0.29070890662518545</v>
      </c>
      <c r="N2887">
        <v>0.18985961619404795</v>
      </c>
      <c r="O2887">
        <v>0.25222468217400135</v>
      </c>
      <c r="P2887">
        <v>0.26720679500676525</v>
      </c>
    </row>
    <row r="2888" spans="13:16">
      <c r="M2888">
        <v>0.31014326633430983</v>
      </c>
      <c r="N2888">
        <v>0.16728164057846234</v>
      </c>
      <c r="O2888">
        <v>0.26763923953786012</v>
      </c>
      <c r="P2888">
        <v>0.25493585354936782</v>
      </c>
    </row>
    <row r="2889" spans="13:16">
      <c r="M2889">
        <v>0.32784933188884702</v>
      </c>
      <c r="N2889">
        <v>0.16661021944377413</v>
      </c>
      <c r="O2889">
        <v>0.24864879844994112</v>
      </c>
      <c r="P2889">
        <v>0.25689165021743787</v>
      </c>
    </row>
    <row r="2890" spans="13:16">
      <c r="M2890">
        <v>0.28523333923944849</v>
      </c>
      <c r="N2890">
        <v>0.1713087860687818</v>
      </c>
      <c r="O2890">
        <v>0.28331015935916609</v>
      </c>
      <c r="P2890">
        <v>0.26014771533260367</v>
      </c>
    </row>
    <row r="2891" spans="13:16">
      <c r="M2891">
        <v>0.27090268819065161</v>
      </c>
      <c r="N2891">
        <v>0.20803315191698676</v>
      </c>
      <c r="O2891">
        <v>0.24318129434403973</v>
      </c>
      <c r="P2891">
        <v>0.27788286554832192</v>
      </c>
    </row>
    <row r="2892" spans="13:16">
      <c r="M2892">
        <v>0.29905726503647129</v>
      </c>
      <c r="N2892">
        <v>0.17394717175157737</v>
      </c>
      <c r="O2892">
        <v>0.26635293778870195</v>
      </c>
      <c r="P2892">
        <v>0.26064262542324934</v>
      </c>
    </row>
    <row r="2893" spans="13:16">
      <c r="M2893">
        <v>0.30696815720118054</v>
      </c>
      <c r="N2893">
        <v>0.19403156257348433</v>
      </c>
      <c r="O2893">
        <v>0.24171434058460897</v>
      </c>
      <c r="P2893">
        <v>0.25728593964072616</v>
      </c>
    </row>
    <row r="2894" spans="13:16">
      <c r="M2894">
        <v>0.30247865486381798</v>
      </c>
      <c r="N2894">
        <v>0.17900351891536828</v>
      </c>
      <c r="O2894">
        <v>0.26313657140514446</v>
      </c>
      <c r="P2894">
        <v>0.2553812548156692</v>
      </c>
    </row>
    <row r="2895" spans="13:16">
      <c r="M2895">
        <v>0.27751223683728932</v>
      </c>
      <c r="N2895">
        <v>0.17162698853463293</v>
      </c>
      <c r="O2895">
        <v>0.30159460893307705</v>
      </c>
      <c r="P2895">
        <v>0.24926616569500065</v>
      </c>
    </row>
    <row r="2896" spans="13:16">
      <c r="M2896">
        <v>0.30955312513747191</v>
      </c>
      <c r="N2896">
        <v>0.17345845910517824</v>
      </c>
      <c r="O2896">
        <v>0.25248666917553914</v>
      </c>
      <c r="P2896">
        <v>0.26450174658181075</v>
      </c>
    </row>
    <row r="2897" spans="13:16">
      <c r="M2897">
        <v>0.30148235225201053</v>
      </c>
      <c r="N2897">
        <v>0.17159561158576883</v>
      </c>
      <c r="O2897">
        <v>0.2717350272719109</v>
      </c>
      <c r="P2897">
        <v>0.25518700889030971</v>
      </c>
    </row>
    <row r="2898" spans="13:16">
      <c r="M2898">
        <v>0.31214903550402234</v>
      </c>
      <c r="N2898">
        <v>0.17721181095421287</v>
      </c>
      <c r="O2898">
        <v>0.25739038416356935</v>
      </c>
      <c r="P2898">
        <v>0.25324876937819546</v>
      </c>
    </row>
    <row r="2899" spans="13:16">
      <c r="M2899">
        <v>0.28473967112942128</v>
      </c>
      <c r="N2899">
        <v>0.20424843769347109</v>
      </c>
      <c r="O2899">
        <v>0.25157919411047197</v>
      </c>
      <c r="P2899">
        <v>0.25943269706663574</v>
      </c>
    </row>
    <row r="2900" spans="13:16">
      <c r="M2900">
        <v>0.29320276009412533</v>
      </c>
      <c r="N2900">
        <v>0.18684628259103986</v>
      </c>
      <c r="O2900">
        <v>0.24736704629567952</v>
      </c>
      <c r="P2900">
        <v>0.27258391101915519</v>
      </c>
    </row>
    <row r="2901" spans="13:16">
      <c r="M2901">
        <v>0.29948403829571957</v>
      </c>
      <c r="N2901">
        <v>0.2020523861834172</v>
      </c>
      <c r="O2901">
        <v>0.2225515147974334</v>
      </c>
      <c r="P2901">
        <v>0.27591206072342983</v>
      </c>
    </row>
    <row r="2902" spans="13:16">
      <c r="M2902">
        <v>0.27421279887763145</v>
      </c>
      <c r="N2902">
        <v>0.19172578930139675</v>
      </c>
      <c r="O2902">
        <v>0.26454228242914785</v>
      </c>
      <c r="P2902">
        <v>0.26951912939182399</v>
      </c>
    </row>
    <row r="2903" spans="13:16">
      <c r="M2903">
        <v>0.27142412754620981</v>
      </c>
      <c r="N2903">
        <v>0.19105044634791776</v>
      </c>
      <c r="O2903">
        <v>0.27585350549295484</v>
      </c>
      <c r="P2903">
        <v>0.26167192061291761</v>
      </c>
    </row>
    <row r="2904" spans="13:16">
      <c r="M2904">
        <v>0.31745359871159817</v>
      </c>
      <c r="N2904">
        <v>0.17534286467450735</v>
      </c>
      <c r="O2904">
        <v>0.23720312618173711</v>
      </c>
      <c r="P2904">
        <v>0.27000041043215739</v>
      </c>
    </row>
    <row r="2905" spans="13:16">
      <c r="M2905">
        <v>0.29118706003836781</v>
      </c>
      <c r="N2905">
        <v>0.17631646791567501</v>
      </c>
      <c r="O2905">
        <v>0.26852315544687594</v>
      </c>
      <c r="P2905">
        <v>0.2639733165990813</v>
      </c>
    </row>
    <row r="2906" spans="13:16">
      <c r="M2906">
        <v>0.28177037062472948</v>
      </c>
      <c r="N2906">
        <v>0.18452795008461584</v>
      </c>
      <c r="O2906">
        <v>0.25012397575777712</v>
      </c>
      <c r="P2906">
        <v>0.28357770353287748</v>
      </c>
    </row>
    <row r="2907" spans="13:16">
      <c r="M2907">
        <v>0.29713398811314046</v>
      </c>
      <c r="N2907">
        <v>0.19220111690751959</v>
      </c>
      <c r="O2907">
        <v>0.21768789373811676</v>
      </c>
      <c r="P2907">
        <v>0.29297700124122322</v>
      </c>
    </row>
    <row r="2908" spans="13:16">
      <c r="M2908">
        <v>0.31145451919411454</v>
      </c>
      <c r="N2908">
        <v>0.18918793392397712</v>
      </c>
      <c r="O2908">
        <v>0.24449075488965005</v>
      </c>
      <c r="P2908">
        <v>0.25486679199225826</v>
      </c>
    </row>
    <row r="2909" spans="13:16">
      <c r="M2909">
        <v>0.29919026340488952</v>
      </c>
      <c r="N2909">
        <v>0.19796339072313035</v>
      </c>
      <c r="O2909">
        <v>0.21340865615432394</v>
      </c>
      <c r="P2909">
        <v>0.2894376897176561</v>
      </c>
    </row>
    <row r="2910" spans="13:16">
      <c r="M2910">
        <v>0.26715321031093026</v>
      </c>
      <c r="N2910">
        <v>0.19286941424437562</v>
      </c>
      <c r="O2910">
        <v>0.26786361100072775</v>
      </c>
      <c r="P2910">
        <v>0.27211376444396634</v>
      </c>
    </row>
    <row r="2911" spans="13:16">
      <c r="M2911">
        <v>0.28145506447883972</v>
      </c>
      <c r="N2911">
        <v>0.17123158096205238</v>
      </c>
      <c r="O2911">
        <v>0.29437589956822252</v>
      </c>
      <c r="P2911">
        <v>0.25293745499088532</v>
      </c>
    </row>
    <row r="2912" spans="13:16">
      <c r="M2912">
        <v>0.31332558686117662</v>
      </c>
      <c r="N2912">
        <v>0.17381387564007564</v>
      </c>
      <c r="O2912">
        <v>0.24343084453881469</v>
      </c>
      <c r="P2912">
        <v>0.26942969295993291</v>
      </c>
    </row>
    <row r="2913" spans="13:16">
      <c r="M2913">
        <v>0.27981844545238288</v>
      </c>
      <c r="N2913">
        <v>0.20430354585670382</v>
      </c>
      <c r="O2913">
        <v>0.23556361963464234</v>
      </c>
      <c r="P2913">
        <v>0.28031438905627104</v>
      </c>
    </row>
    <row r="2914" spans="13:16">
      <c r="M2914">
        <v>0.30098619188615489</v>
      </c>
      <c r="N2914">
        <v>0.18726764043171618</v>
      </c>
      <c r="O2914">
        <v>0.22474850834469173</v>
      </c>
      <c r="P2914">
        <v>0.28699765933743721</v>
      </c>
    </row>
    <row r="2915" spans="13:16">
      <c r="M2915">
        <v>0.28312135141982547</v>
      </c>
      <c r="N2915">
        <v>0.18327647433929081</v>
      </c>
      <c r="O2915">
        <v>0.27762650295691621</v>
      </c>
      <c r="P2915">
        <v>0.25597567128396753</v>
      </c>
    </row>
    <row r="2916" spans="13:16">
      <c r="M2916">
        <v>0.28070379146502011</v>
      </c>
      <c r="N2916">
        <v>0.18083766993012754</v>
      </c>
      <c r="O2916">
        <v>0.28263370787278719</v>
      </c>
      <c r="P2916">
        <v>0.25582483073206513</v>
      </c>
    </row>
    <row r="2917" spans="13:16">
      <c r="M2917">
        <v>0.27243134147891612</v>
      </c>
      <c r="N2917">
        <v>0.18647836744991036</v>
      </c>
      <c r="O2917">
        <v>0.27216491700300377</v>
      </c>
      <c r="P2917">
        <v>0.26892537406816963</v>
      </c>
    </row>
    <row r="2918" spans="13:16">
      <c r="M2918">
        <v>0.31731172107415506</v>
      </c>
      <c r="N2918">
        <v>0.1761597782020283</v>
      </c>
      <c r="O2918">
        <v>0.2534910241904369</v>
      </c>
      <c r="P2918">
        <v>0.25303747653337977</v>
      </c>
    </row>
    <row r="2919" spans="13:16">
      <c r="M2919">
        <v>0.29206534179465565</v>
      </c>
      <c r="N2919">
        <v>0.17261228332153486</v>
      </c>
      <c r="O2919">
        <v>0.27866734507353447</v>
      </c>
      <c r="P2919">
        <v>0.2566550298102751</v>
      </c>
    </row>
    <row r="2920" spans="13:16">
      <c r="M2920">
        <v>0.29973932564335148</v>
      </c>
      <c r="N2920">
        <v>0.18193636972865676</v>
      </c>
      <c r="O2920">
        <v>0.26595968589055108</v>
      </c>
      <c r="P2920">
        <v>0.25236461873744076</v>
      </c>
    </row>
    <row r="2921" spans="13:16">
      <c r="M2921">
        <v>0.27566648932470567</v>
      </c>
      <c r="N2921">
        <v>0.19716334435459459</v>
      </c>
      <c r="O2921">
        <v>0.2540196381629537</v>
      </c>
      <c r="P2921">
        <v>0.2731505281577461</v>
      </c>
    </row>
    <row r="2922" spans="13:16">
      <c r="M2922">
        <v>0.31457332411417394</v>
      </c>
      <c r="N2922">
        <v>0.18563972084185629</v>
      </c>
      <c r="O2922">
        <v>0.22801934216813693</v>
      </c>
      <c r="P2922">
        <v>0.27176761287583284</v>
      </c>
    </row>
    <row r="2923" spans="13:16">
      <c r="M2923">
        <v>0.27844447170325293</v>
      </c>
      <c r="N2923">
        <v>0.17763210503827612</v>
      </c>
      <c r="O2923">
        <v>0.2749482152703781</v>
      </c>
      <c r="P2923">
        <v>0.26897520798809266</v>
      </c>
    </row>
    <row r="2924" spans="13:16">
      <c r="M2924">
        <v>0.28391035138147125</v>
      </c>
      <c r="N2924">
        <v>0.18670729159646851</v>
      </c>
      <c r="O2924">
        <v>0.24171878968216462</v>
      </c>
      <c r="P2924">
        <v>0.28766356733989562</v>
      </c>
    </row>
    <row r="2925" spans="13:16">
      <c r="M2925">
        <v>0.28548758855933026</v>
      </c>
      <c r="N2925">
        <v>0.20564420508027625</v>
      </c>
      <c r="O2925">
        <v>0.23008280460440711</v>
      </c>
      <c r="P2925">
        <v>0.27878540175598637</v>
      </c>
    </row>
    <row r="2926" spans="13:16">
      <c r="M2926">
        <v>0.27937355129648639</v>
      </c>
      <c r="N2926">
        <v>0.19816857840452998</v>
      </c>
      <c r="O2926">
        <v>0.26002678214684682</v>
      </c>
      <c r="P2926">
        <v>0.26243108815213667</v>
      </c>
    </row>
    <row r="2927" spans="13:16">
      <c r="M2927">
        <v>0.28213873984767462</v>
      </c>
      <c r="N2927">
        <v>0.19533444372955308</v>
      </c>
      <c r="O2927">
        <v>0.23861155982714535</v>
      </c>
      <c r="P2927">
        <v>0.28391525659562705</v>
      </c>
    </row>
    <row r="2928" spans="13:16">
      <c r="M2928">
        <v>0.3023230352420011</v>
      </c>
      <c r="N2928">
        <v>0.19894607229645014</v>
      </c>
      <c r="O2928">
        <v>0.22102573882158058</v>
      </c>
      <c r="P2928">
        <v>0.27770515363996817</v>
      </c>
    </row>
    <row r="2929" spans="13:16">
      <c r="M2929">
        <v>0.30586575757870127</v>
      </c>
      <c r="N2929">
        <v>0.20022896459133124</v>
      </c>
      <c r="O2929">
        <v>0.21410729567173703</v>
      </c>
      <c r="P2929">
        <v>0.27979798215823054</v>
      </c>
    </row>
    <row r="2930" spans="13:16">
      <c r="M2930">
        <v>0.29219791947151791</v>
      </c>
      <c r="N2930">
        <v>0.20430845741377998</v>
      </c>
      <c r="O2930">
        <v>0.23344732937445581</v>
      </c>
      <c r="P2930">
        <v>0.27004629374024619</v>
      </c>
    </row>
    <row r="2931" spans="13:16">
      <c r="M2931">
        <v>0.32885035959223063</v>
      </c>
      <c r="N2931">
        <v>0.17352039208266362</v>
      </c>
      <c r="O2931">
        <v>0.23313609644410874</v>
      </c>
      <c r="P2931">
        <v>0.26449315188099692</v>
      </c>
    </row>
    <row r="2932" spans="13:16">
      <c r="M2932">
        <v>0.2647411547717487</v>
      </c>
      <c r="N2932">
        <v>0.202007175012441</v>
      </c>
      <c r="O2932">
        <v>0.27758527368028418</v>
      </c>
      <c r="P2932">
        <v>0.25566639653552614</v>
      </c>
    </row>
    <row r="2933" spans="13:16">
      <c r="M2933">
        <v>0.2898877485898993</v>
      </c>
      <c r="N2933">
        <v>0.18356753608529142</v>
      </c>
      <c r="O2933">
        <v>0.24353409810377119</v>
      </c>
      <c r="P2933">
        <v>0.28301061722103804</v>
      </c>
    </row>
    <row r="2934" spans="13:16">
      <c r="M2934">
        <v>0.27470539370804103</v>
      </c>
      <c r="N2934">
        <v>0.19130556406816523</v>
      </c>
      <c r="O2934">
        <v>0.25806416239840629</v>
      </c>
      <c r="P2934">
        <v>0.27592487982538744</v>
      </c>
    </row>
    <row r="2935" spans="13:16">
      <c r="M2935">
        <v>0.30446081721654072</v>
      </c>
      <c r="N2935">
        <v>0.17939977902358256</v>
      </c>
      <c r="O2935">
        <v>0.24900787988324766</v>
      </c>
      <c r="P2935">
        <v>0.26713152387662903</v>
      </c>
    </row>
    <row r="2936" spans="13:16">
      <c r="M2936">
        <v>0.28612644200345311</v>
      </c>
      <c r="N2936">
        <v>0.2087633310895706</v>
      </c>
      <c r="O2936">
        <v>0.23528811873831901</v>
      </c>
      <c r="P2936">
        <v>0.26982210816865732</v>
      </c>
    </row>
    <row r="2937" spans="13:16">
      <c r="M2937">
        <v>0.28503739670418643</v>
      </c>
      <c r="N2937">
        <v>0.18106798842335922</v>
      </c>
      <c r="O2937">
        <v>0.2769345236198027</v>
      </c>
      <c r="P2937">
        <v>0.25696009125265168</v>
      </c>
    </row>
    <row r="2938" spans="13:16">
      <c r="M2938">
        <v>0.31842620522366433</v>
      </c>
      <c r="N2938">
        <v>0.18200696395488627</v>
      </c>
      <c r="O2938">
        <v>0.23475815340320821</v>
      </c>
      <c r="P2938">
        <v>0.2648086774182411</v>
      </c>
    </row>
    <row r="2939" spans="13:16">
      <c r="M2939">
        <v>0.29138425963623132</v>
      </c>
      <c r="N2939">
        <v>0.17991059960950898</v>
      </c>
      <c r="O2939">
        <v>0.26884605222446356</v>
      </c>
      <c r="P2939">
        <v>0.25985908852979622</v>
      </c>
    </row>
    <row r="2940" spans="13:16">
      <c r="M2940">
        <v>0.31081949747575133</v>
      </c>
      <c r="N2940">
        <v>0.18087596702247233</v>
      </c>
      <c r="O2940">
        <v>0.25777527932449762</v>
      </c>
      <c r="P2940">
        <v>0.25052925617727873</v>
      </c>
    </row>
    <row r="2941" spans="13:16">
      <c r="M2941">
        <v>0.27806861175459358</v>
      </c>
      <c r="N2941">
        <v>0.19035886593877618</v>
      </c>
      <c r="O2941">
        <v>0.24739506993946933</v>
      </c>
      <c r="P2941">
        <v>0.28417745236716097</v>
      </c>
    </row>
    <row r="2942" spans="13:16">
      <c r="M2942">
        <v>0.30669956756972694</v>
      </c>
      <c r="N2942">
        <v>0.17488712664121694</v>
      </c>
      <c r="O2942">
        <v>0.25708252313071361</v>
      </c>
      <c r="P2942">
        <v>0.26133078265834248</v>
      </c>
    </row>
    <row r="2943" spans="13:16">
      <c r="M2943">
        <v>0.26062744979756303</v>
      </c>
      <c r="N2943">
        <v>0.1905435341723182</v>
      </c>
      <c r="O2943">
        <v>0.28738584602746986</v>
      </c>
      <c r="P2943">
        <v>0.26144317000264894</v>
      </c>
    </row>
    <row r="2944" spans="13:16">
      <c r="M2944">
        <v>0.31727438435640237</v>
      </c>
      <c r="N2944">
        <v>0.19437413941689613</v>
      </c>
      <c r="O2944">
        <v>0.21556349711756839</v>
      </c>
      <c r="P2944">
        <v>0.27278797910913299</v>
      </c>
    </row>
    <row r="2945" spans="13:16">
      <c r="M2945">
        <v>0.27231430133210838</v>
      </c>
      <c r="N2945">
        <v>0.20137156935763431</v>
      </c>
      <c r="O2945">
        <v>0.25626046031697619</v>
      </c>
      <c r="P2945">
        <v>0.27005366899328115</v>
      </c>
    </row>
    <row r="2946" spans="13:16">
      <c r="M2946">
        <v>0.26651460225155188</v>
      </c>
      <c r="N2946">
        <v>0.19520164840082102</v>
      </c>
      <c r="O2946">
        <v>0.26724160955951287</v>
      </c>
      <c r="P2946">
        <v>0.2710421397881142</v>
      </c>
    </row>
    <row r="2947" spans="13:16">
      <c r="M2947">
        <v>0.28806755502693698</v>
      </c>
      <c r="N2947">
        <v>0.17837328497310437</v>
      </c>
      <c r="O2947">
        <v>0.28144658116029403</v>
      </c>
      <c r="P2947">
        <v>0.25211257883966465</v>
      </c>
    </row>
    <row r="2948" spans="13:16">
      <c r="M2948">
        <v>0.26979388034976287</v>
      </c>
      <c r="N2948">
        <v>0.19396135919661039</v>
      </c>
      <c r="O2948">
        <v>0.27818488322570345</v>
      </c>
      <c r="P2948">
        <v>0.25805987722792334</v>
      </c>
    </row>
    <row r="2949" spans="13:16">
      <c r="M2949">
        <v>0.29107266822504912</v>
      </c>
      <c r="N2949">
        <v>0.18836730251943393</v>
      </c>
      <c r="O2949">
        <v>0.23857827529113718</v>
      </c>
      <c r="P2949">
        <v>0.2819817539643798</v>
      </c>
    </row>
    <row r="2950" spans="13:16">
      <c r="M2950">
        <v>0.29353905638246303</v>
      </c>
      <c r="N2950">
        <v>0.17180719371033396</v>
      </c>
      <c r="O2950">
        <v>0.2789409777327676</v>
      </c>
      <c r="P2950">
        <v>0.2557127721744355</v>
      </c>
    </row>
    <row r="2951" spans="13:16">
      <c r="M2951">
        <v>0.28130487876617283</v>
      </c>
      <c r="N2951">
        <v>0.19504850891506709</v>
      </c>
      <c r="O2951">
        <v>0.24610694318670931</v>
      </c>
      <c r="P2951">
        <v>0.27753966913205069</v>
      </c>
    </row>
    <row r="2952" spans="13:16">
      <c r="M2952">
        <v>0.26932673113233979</v>
      </c>
      <c r="N2952">
        <v>0.19077638661683674</v>
      </c>
      <c r="O2952">
        <v>0.27316960679670949</v>
      </c>
      <c r="P2952">
        <v>0.26672727545411401</v>
      </c>
    </row>
    <row r="2953" spans="13:16">
      <c r="M2953">
        <v>0.29546562922904224</v>
      </c>
      <c r="N2953">
        <v>0.19587658383065013</v>
      </c>
      <c r="O2953">
        <v>0.23170378077419004</v>
      </c>
      <c r="P2953">
        <v>0.27695400616611759</v>
      </c>
    </row>
    <row r="2954" spans="13:16">
      <c r="M2954">
        <v>0.29245381071056598</v>
      </c>
      <c r="N2954">
        <v>0.19077296696419294</v>
      </c>
      <c r="O2954">
        <v>0.24830307843678151</v>
      </c>
      <c r="P2954">
        <v>0.26847014388845952</v>
      </c>
    </row>
    <row r="2955" spans="13:16">
      <c r="M2955">
        <v>0.30360302911982351</v>
      </c>
      <c r="N2955">
        <v>0.19065126786463768</v>
      </c>
      <c r="O2955">
        <v>0.25833325779332256</v>
      </c>
      <c r="P2955">
        <v>0.24741244522221625</v>
      </c>
    </row>
    <row r="2956" spans="13:16">
      <c r="M2956">
        <v>0.30830805743635831</v>
      </c>
      <c r="N2956">
        <v>0.19775225421437723</v>
      </c>
      <c r="O2956">
        <v>0.22874491710712674</v>
      </c>
      <c r="P2956">
        <v>0.26519477124213775</v>
      </c>
    </row>
    <row r="2957" spans="13:16">
      <c r="M2957">
        <v>0.27582935201266523</v>
      </c>
      <c r="N2957">
        <v>0.18755077598787523</v>
      </c>
      <c r="O2957">
        <v>0.28478861381243165</v>
      </c>
      <c r="P2957">
        <v>0.2518312581870279</v>
      </c>
    </row>
    <row r="2958" spans="13:16">
      <c r="M2958">
        <v>0.30796911323094583</v>
      </c>
      <c r="N2958">
        <v>0.18456777809770558</v>
      </c>
      <c r="O2958">
        <v>0.24429955056437017</v>
      </c>
      <c r="P2958">
        <v>0.26316355810697845</v>
      </c>
    </row>
    <row r="2959" spans="13:16">
      <c r="M2959">
        <v>0.30713014944711176</v>
      </c>
      <c r="N2959">
        <v>0.19005920090839801</v>
      </c>
      <c r="O2959">
        <v>0.2351583750594787</v>
      </c>
      <c r="P2959">
        <v>0.26765227458501156</v>
      </c>
    </row>
    <row r="2960" spans="13:16">
      <c r="M2960">
        <v>0.28238109025301111</v>
      </c>
      <c r="N2960">
        <v>0.2096549558046511</v>
      </c>
      <c r="O2960">
        <v>0.23652967997096269</v>
      </c>
      <c r="P2960">
        <v>0.27143427397137504</v>
      </c>
    </row>
    <row r="2961" spans="13:16">
      <c r="M2961">
        <v>0.28835688086447636</v>
      </c>
      <c r="N2961">
        <v>0.18510867875605452</v>
      </c>
      <c r="O2961">
        <v>0.26419642664826526</v>
      </c>
      <c r="P2961">
        <v>0.26233801373120386</v>
      </c>
    </row>
    <row r="2962" spans="13:16">
      <c r="M2962">
        <v>0.28509708843454917</v>
      </c>
      <c r="N2962">
        <v>0.18535104607620623</v>
      </c>
      <c r="O2962">
        <v>0.26325106151921468</v>
      </c>
      <c r="P2962">
        <v>0.26630080397002986</v>
      </c>
    </row>
    <row r="2963" spans="13:16">
      <c r="M2963">
        <v>0.30230512570437479</v>
      </c>
      <c r="N2963">
        <v>0.17941396979487545</v>
      </c>
      <c r="O2963">
        <v>0.23932163678917273</v>
      </c>
      <c r="P2963">
        <v>0.27895926771157697</v>
      </c>
    </row>
    <row r="2964" spans="13:16">
      <c r="M2964">
        <v>0.29491914085865178</v>
      </c>
      <c r="N2964">
        <v>0.21027351658811855</v>
      </c>
      <c r="O2964">
        <v>0.2202876534622859</v>
      </c>
      <c r="P2964">
        <v>0.27451968909094382</v>
      </c>
    </row>
    <row r="2965" spans="13:16">
      <c r="M2965">
        <v>0.2808086835520513</v>
      </c>
      <c r="N2965">
        <v>0.20028543164905654</v>
      </c>
      <c r="O2965">
        <v>0.24256385791505933</v>
      </c>
      <c r="P2965">
        <v>0.27634202688383286</v>
      </c>
    </row>
    <row r="2966" spans="13:16">
      <c r="M2966">
        <v>0.3274235691379167</v>
      </c>
      <c r="N2966">
        <v>0.19097649919408813</v>
      </c>
      <c r="O2966">
        <v>0.21688108970570763</v>
      </c>
      <c r="P2966">
        <v>0.26471884196228768</v>
      </c>
    </row>
    <row r="2967" spans="13:16">
      <c r="M2967">
        <v>0.31802681841550651</v>
      </c>
      <c r="N2967">
        <v>0.17880280331726553</v>
      </c>
      <c r="O2967">
        <v>0.2317758773554679</v>
      </c>
      <c r="P2967">
        <v>0.27139450091176004</v>
      </c>
    </row>
    <row r="2968" spans="13:16">
      <c r="M2968">
        <v>0.29427539200079128</v>
      </c>
      <c r="N2968">
        <v>0.19198495537819399</v>
      </c>
      <c r="O2968">
        <v>0.25198394861400147</v>
      </c>
      <c r="P2968">
        <v>0.26175570400701326</v>
      </c>
    </row>
    <row r="2969" spans="13:16">
      <c r="M2969">
        <v>0.27647115687443147</v>
      </c>
      <c r="N2969">
        <v>0.18034887208087913</v>
      </c>
      <c r="O2969">
        <v>0.2701553432955856</v>
      </c>
      <c r="P2969">
        <v>0.27302462774910374</v>
      </c>
    </row>
    <row r="2970" spans="13:16">
      <c r="M2970">
        <v>0.29901316768309399</v>
      </c>
      <c r="N2970">
        <v>0.16862284434589453</v>
      </c>
      <c r="O2970">
        <v>0.27884671801097088</v>
      </c>
      <c r="P2970">
        <v>0.25351726996004043</v>
      </c>
    </row>
    <row r="2971" spans="13:16">
      <c r="M2971">
        <v>0.28231020814784896</v>
      </c>
      <c r="N2971">
        <v>0.18982512367857196</v>
      </c>
      <c r="O2971">
        <v>0.26917057205260486</v>
      </c>
      <c r="P2971">
        <v>0.25869409612097427</v>
      </c>
    </row>
    <row r="2972" spans="13:16">
      <c r="M2972">
        <v>0.273450523842662</v>
      </c>
      <c r="N2972">
        <v>0.18145673512296837</v>
      </c>
      <c r="O2972">
        <v>0.27015327341123252</v>
      </c>
      <c r="P2972">
        <v>0.27493946762313709</v>
      </c>
    </row>
    <row r="2973" spans="13:16">
      <c r="M2973">
        <v>0.28845912834649606</v>
      </c>
      <c r="N2973">
        <v>0.1867498661117894</v>
      </c>
      <c r="O2973">
        <v>0.2559863199203104</v>
      </c>
      <c r="P2973">
        <v>0.26880468562140414</v>
      </c>
    </row>
    <row r="2974" spans="13:16">
      <c r="M2974">
        <v>0.27658760773591395</v>
      </c>
      <c r="N2974">
        <v>0.1872841554620237</v>
      </c>
      <c r="O2974">
        <v>0.27113738335503668</v>
      </c>
      <c r="P2974">
        <v>0.26499085344702572</v>
      </c>
    </row>
    <row r="2975" spans="13:16">
      <c r="M2975">
        <v>0.28985177349227043</v>
      </c>
      <c r="N2975">
        <v>0.18563015097241978</v>
      </c>
      <c r="O2975">
        <v>0.26431455804956977</v>
      </c>
      <c r="P2975">
        <v>0.26020351748574</v>
      </c>
    </row>
    <row r="2976" spans="13:16">
      <c r="M2976">
        <v>0.26997564256900847</v>
      </c>
      <c r="N2976">
        <v>0.18431264642368825</v>
      </c>
      <c r="O2976">
        <v>0.27091184743192898</v>
      </c>
      <c r="P2976">
        <v>0.27479986357537439</v>
      </c>
    </row>
    <row r="2977" spans="13:16">
      <c r="M2977">
        <v>0.31680019753788718</v>
      </c>
      <c r="N2977">
        <v>0.1951505810145753</v>
      </c>
      <c r="O2977">
        <v>0.22917454127803238</v>
      </c>
      <c r="P2977">
        <v>0.25887468016950532</v>
      </c>
    </row>
    <row r="2978" spans="13:16">
      <c r="M2978">
        <v>0.30185638282545685</v>
      </c>
      <c r="N2978">
        <v>0.17842046849994095</v>
      </c>
      <c r="O2978">
        <v>0.25993121753913206</v>
      </c>
      <c r="P2978">
        <v>0.25979193113547006</v>
      </c>
    </row>
    <row r="2979" spans="13:16">
      <c r="M2979">
        <v>0.28283065690298986</v>
      </c>
      <c r="N2979">
        <v>0.19205645546609471</v>
      </c>
      <c r="O2979">
        <v>0.25807070666074433</v>
      </c>
      <c r="P2979">
        <v>0.26704218097017113</v>
      </c>
    </row>
    <row r="2980" spans="13:16">
      <c r="M2980">
        <v>0.31019250962559375</v>
      </c>
      <c r="N2980">
        <v>0.16694614115880935</v>
      </c>
      <c r="O2980">
        <v>0.27167890088985014</v>
      </c>
      <c r="P2980">
        <v>0.25118244832574671</v>
      </c>
    </row>
    <row r="2981" spans="13:16">
      <c r="M2981">
        <v>0.33905951443336552</v>
      </c>
      <c r="N2981">
        <v>0.16287859667779042</v>
      </c>
      <c r="O2981">
        <v>0.23973938931786742</v>
      </c>
      <c r="P2981">
        <v>0.25832249957097669</v>
      </c>
    </row>
    <row r="2982" spans="13:16">
      <c r="M2982">
        <v>0.29116821340428706</v>
      </c>
      <c r="N2982">
        <v>0.18553716629718842</v>
      </c>
      <c r="O2982">
        <v>0.2550228275543906</v>
      </c>
      <c r="P2982">
        <v>0.26827179274413387</v>
      </c>
    </row>
    <row r="2983" spans="13:16">
      <c r="M2983">
        <v>0.28804998038110829</v>
      </c>
      <c r="N2983">
        <v>0.19016764558858321</v>
      </c>
      <c r="O2983">
        <v>0.25655897586235404</v>
      </c>
      <c r="P2983">
        <v>0.26522339816795448</v>
      </c>
    </row>
    <row r="2984" spans="13:16">
      <c r="M2984">
        <v>0.27984281339388839</v>
      </c>
      <c r="N2984">
        <v>0.17623656009797165</v>
      </c>
      <c r="O2984">
        <v>0.27696491232424814</v>
      </c>
      <c r="P2984">
        <v>0.26695571418389186</v>
      </c>
    </row>
    <row r="2985" spans="13:16">
      <c r="M2985">
        <v>0.31540050968387923</v>
      </c>
      <c r="N2985">
        <v>0.16677800291789746</v>
      </c>
      <c r="O2985">
        <v>0.25345343723388569</v>
      </c>
      <c r="P2985">
        <v>0.26436805016433768</v>
      </c>
    </row>
    <row r="2986" spans="13:16">
      <c r="M2986">
        <v>0.30631056299219067</v>
      </c>
      <c r="N2986">
        <v>0.16854038295696308</v>
      </c>
      <c r="O2986">
        <v>0.27127176428550187</v>
      </c>
      <c r="P2986">
        <v>0.25387728976534424</v>
      </c>
    </row>
    <row r="2987" spans="13:16">
      <c r="M2987">
        <v>0.28244909931439827</v>
      </c>
      <c r="N2987">
        <v>0.18131531931479186</v>
      </c>
      <c r="O2987">
        <v>0.25675443960091454</v>
      </c>
      <c r="P2987">
        <v>0.27948114176989525</v>
      </c>
    </row>
    <row r="2988" spans="13:16">
      <c r="M2988">
        <v>0.29556491924345946</v>
      </c>
      <c r="N2988">
        <v>0.20353968186664681</v>
      </c>
      <c r="O2988">
        <v>0.24231466185261355</v>
      </c>
      <c r="P2988">
        <v>0.25858073703728013</v>
      </c>
    </row>
    <row r="2989" spans="13:16">
      <c r="M2989">
        <v>0.29456496788675623</v>
      </c>
      <c r="N2989">
        <v>0.19025961050614784</v>
      </c>
      <c r="O2989">
        <v>0.25058805460934352</v>
      </c>
      <c r="P2989">
        <v>0.26458736699775254</v>
      </c>
    </row>
    <row r="2990" spans="13:16">
      <c r="M2990">
        <v>0.30865156597990268</v>
      </c>
      <c r="N2990">
        <v>0.17929507309163298</v>
      </c>
      <c r="O2990">
        <v>0.24056539500068069</v>
      </c>
      <c r="P2990">
        <v>0.27148796592778363</v>
      </c>
    </row>
    <row r="2991" spans="13:16">
      <c r="M2991">
        <v>0.29183536880510447</v>
      </c>
      <c r="N2991">
        <v>0.18531453909774939</v>
      </c>
      <c r="O2991">
        <v>0.25874306178220469</v>
      </c>
      <c r="P2991">
        <v>0.26410703031494148</v>
      </c>
    </row>
    <row r="2992" spans="13:16">
      <c r="M2992">
        <v>0.28474105743457218</v>
      </c>
      <c r="N2992">
        <v>0.20363542060658291</v>
      </c>
      <c r="O2992">
        <v>0.23446670039130266</v>
      </c>
      <c r="P2992">
        <v>0.27715682156754234</v>
      </c>
    </row>
    <row r="2993" spans="13:16">
      <c r="M2993">
        <v>0.27513466744891774</v>
      </c>
      <c r="N2993">
        <v>0.19740063415031908</v>
      </c>
      <c r="O2993">
        <v>0.27162746758756168</v>
      </c>
      <c r="P2993">
        <v>0.25583723081320153</v>
      </c>
    </row>
    <row r="2994" spans="13:16">
      <c r="M2994">
        <v>0.30753402153437176</v>
      </c>
      <c r="N2994">
        <v>0.17204762016533787</v>
      </c>
      <c r="O2994">
        <v>0.25840405103089037</v>
      </c>
      <c r="P2994">
        <v>0.26201430726939989</v>
      </c>
    </row>
    <row r="2995" spans="13:16">
      <c r="M2995">
        <v>0.27617494767253076</v>
      </c>
      <c r="N2995">
        <v>0.1932950324679355</v>
      </c>
      <c r="O2995">
        <v>0.27494334424887856</v>
      </c>
      <c r="P2995">
        <v>0.25558667561065518</v>
      </c>
    </row>
    <row r="2996" spans="13:16">
      <c r="M2996">
        <v>0.29055262383308106</v>
      </c>
      <c r="N2996">
        <v>0.20086523859616881</v>
      </c>
      <c r="O2996">
        <v>0.2479781570275188</v>
      </c>
      <c r="P2996">
        <v>0.26060398054323125</v>
      </c>
    </row>
    <row r="2997" spans="13:16">
      <c r="M2997">
        <v>0.31603821169761409</v>
      </c>
      <c r="N2997">
        <v>0.16727288385760045</v>
      </c>
      <c r="O2997">
        <v>0.27756045150792236</v>
      </c>
      <c r="P2997">
        <v>0.23912845293686311</v>
      </c>
    </row>
    <row r="2998" spans="13:16">
      <c r="M2998">
        <v>0.26773961031140037</v>
      </c>
      <c r="N2998">
        <v>0.18994044838133176</v>
      </c>
      <c r="O2998">
        <v>0.2735192683273463</v>
      </c>
      <c r="P2998">
        <v>0.26880067297992172</v>
      </c>
    </row>
    <row r="2999" spans="13:16">
      <c r="M2999">
        <v>0.2995513645195198</v>
      </c>
      <c r="N2999">
        <v>0.18783328389737525</v>
      </c>
      <c r="O2999">
        <v>0.2279312444635008</v>
      </c>
      <c r="P2999">
        <v>0.28468410711960412</v>
      </c>
    </row>
    <row r="3000" spans="13:16">
      <c r="M3000">
        <v>0.29026037252531789</v>
      </c>
      <c r="N3000">
        <v>0.19920453792211487</v>
      </c>
      <c r="O3000">
        <v>0.24286339999057821</v>
      </c>
      <c r="P3000">
        <v>0.26767168956198906</v>
      </c>
    </row>
    <row r="3001" spans="13:16">
      <c r="M3001">
        <v>0.28447546478722563</v>
      </c>
      <c r="N3001">
        <v>0.179765415467943</v>
      </c>
      <c r="O3001">
        <v>0.27547241982160997</v>
      </c>
      <c r="P3001">
        <v>0.26028669992322145</v>
      </c>
    </row>
    <row r="3002" spans="13:16">
      <c r="M3002">
        <v>0.26874542975881455</v>
      </c>
      <c r="N3002">
        <v>0.20513423914789378</v>
      </c>
      <c r="O3002">
        <v>0.24964224224433018</v>
      </c>
      <c r="P3002">
        <v>0.27647808884896147</v>
      </c>
    </row>
    <row r="3003" spans="13:16">
      <c r="M3003">
        <v>0.30600562147316185</v>
      </c>
      <c r="N3003">
        <v>0.17364079039635</v>
      </c>
      <c r="O3003">
        <v>0.25349464345849237</v>
      </c>
      <c r="P3003">
        <v>0.26685894467199578</v>
      </c>
    </row>
    <row r="3004" spans="13:16">
      <c r="M3004">
        <v>0.31868149275581042</v>
      </c>
      <c r="N3004">
        <v>0.18663682398835216</v>
      </c>
      <c r="O3004">
        <v>0.23126164254941534</v>
      </c>
      <c r="P3004">
        <v>0.26342004070642216</v>
      </c>
    </row>
    <row r="3005" spans="13:16">
      <c r="M3005">
        <v>0.28635174948455455</v>
      </c>
      <c r="N3005">
        <v>0.17712610946960422</v>
      </c>
      <c r="O3005">
        <v>0.28324216374274058</v>
      </c>
      <c r="P3005">
        <v>0.25327997730310065</v>
      </c>
    </row>
    <row r="3006" spans="13:16">
      <c r="M3006">
        <v>0.30321193873154595</v>
      </c>
      <c r="N3006">
        <v>0.16826222650723102</v>
      </c>
      <c r="O3006">
        <v>0.27929958965752089</v>
      </c>
      <c r="P3006">
        <v>0.24922624510370203</v>
      </c>
    </row>
    <row r="3007" spans="13:16">
      <c r="M3007">
        <v>0.29489144096069664</v>
      </c>
      <c r="N3007">
        <v>0.17339154803024073</v>
      </c>
      <c r="O3007">
        <v>0.26612596098898966</v>
      </c>
      <c r="P3007">
        <v>0.26559105002007288</v>
      </c>
    </row>
    <row r="3008" spans="13:16">
      <c r="M3008">
        <v>0.28511651406642802</v>
      </c>
      <c r="N3008">
        <v>0.16787832438345321</v>
      </c>
      <c r="O3008">
        <v>0.29388072864121728</v>
      </c>
      <c r="P3008">
        <v>0.25312443290890141</v>
      </c>
    </row>
    <row r="3009" spans="13:16">
      <c r="M3009">
        <v>0.30497771624260944</v>
      </c>
      <c r="N3009">
        <v>0.19344583107058552</v>
      </c>
      <c r="O3009">
        <v>0.2325852095017861</v>
      </c>
      <c r="P3009">
        <v>0.26899124318501894</v>
      </c>
    </row>
    <row r="3010" spans="13:16">
      <c r="M3010">
        <v>0.32042851615695628</v>
      </c>
      <c r="N3010">
        <v>0.17584949721920246</v>
      </c>
      <c r="O3010">
        <v>0.27476720854848158</v>
      </c>
      <c r="P3010">
        <v>0.22895477807535972</v>
      </c>
    </row>
    <row r="3011" spans="13:16">
      <c r="M3011">
        <v>0.30860487520633728</v>
      </c>
      <c r="N3011">
        <v>0.15816967899083995</v>
      </c>
      <c r="O3011">
        <v>0.29673142076674214</v>
      </c>
      <c r="P3011">
        <v>0.23649402503608061</v>
      </c>
    </row>
    <row r="3012" spans="13:16">
      <c r="M3012">
        <v>0.29054376587035524</v>
      </c>
      <c r="N3012">
        <v>0.1902888333710005</v>
      </c>
      <c r="O3012">
        <v>0.25014130884655367</v>
      </c>
      <c r="P3012">
        <v>0.26902609191209054</v>
      </c>
    </row>
    <row r="3013" spans="13:16">
      <c r="M3013">
        <v>0.31664891296814701</v>
      </c>
      <c r="N3013">
        <v>0.17489025632753483</v>
      </c>
      <c r="O3013">
        <v>0.24772096634918311</v>
      </c>
      <c r="P3013">
        <v>0.26073986435513502</v>
      </c>
    </row>
    <row r="3014" spans="13:16">
      <c r="M3014">
        <v>0.29245828752950903</v>
      </c>
      <c r="N3014">
        <v>0.19227142078959589</v>
      </c>
      <c r="O3014">
        <v>0.24320217241599054</v>
      </c>
      <c r="P3014">
        <v>0.27206811926490448</v>
      </c>
    </row>
    <row r="3015" spans="13:16">
      <c r="M3015">
        <v>0.28756012439267681</v>
      </c>
      <c r="N3015">
        <v>0.18676829291588237</v>
      </c>
      <c r="O3015">
        <v>0.26699982939486888</v>
      </c>
      <c r="P3015">
        <v>0.25867175329657194</v>
      </c>
    </row>
    <row r="3016" spans="13:16">
      <c r="M3016">
        <v>0.26655310073074917</v>
      </c>
      <c r="N3016">
        <v>0.20514979303328545</v>
      </c>
      <c r="O3016">
        <v>0.26465317369738084</v>
      </c>
      <c r="P3016">
        <v>0.26364393253858459</v>
      </c>
    </row>
    <row r="3017" spans="13:16">
      <c r="M3017">
        <v>0.29091399628411174</v>
      </c>
      <c r="N3017">
        <v>0.17469265978487963</v>
      </c>
      <c r="O3017">
        <v>0.29148623904024923</v>
      </c>
      <c r="P3017">
        <v>0.24290710489075931</v>
      </c>
    </row>
    <row r="3018" spans="13:16">
      <c r="M3018">
        <v>0.30495440596947859</v>
      </c>
      <c r="N3018">
        <v>0.18546643612451708</v>
      </c>
      <c r="O3018">
        <v>0.22404534890573871</v>
      </c>
      <c r="P3018">
        <v>0.28553380900026559</v>
      </c>
    </row>
    <row r="3019" spans="13:16">
      <c r="M3019">
        <v>0.28559670920000824</v>
      </c>
      <c r="N3019">
        <v>0.17795825624203473</v>
      </c>
      <c r="O3019">
        <v>0.26116517273228901</v>
      </c>
      <c r="P3019">
        <v>0.27527986182566799</v>
      </c>
    </row>
    <row r="3020" spans="13:16">
      <c r="M3020">
        <v>0.28464088793957254</v>
      </c>
      <c r="N3020">
        <v>0.19710732620078777</v>
      </c>
      <c r="O3020">
        <v>0.24138212585626548</v>
      </c>
      <c r="P3020">
        <v>0.27686966000337415</v>
      </c>
    </row>
    <row r="3021" spans="13:16">
      <c r="M3021">
        <v>0.31011801645554804</v>
      </c>
      <c r="N3021">
        <v>0.17095126881975192</v>
      </c>
      <c r="O3021">
        <v>0.26550207057617625</v>
      </c>
      <c r="P3021">
        <v>0.25342864414852373</v>
      </c>
    </row>
    <row r="3022" spans="13:16">
      <c r="M3022">
        <v>0.32968942528512424</v>
      </c>
      <c r="N3022">
        <v>0.16312191110557639</v>
      </c>
      <c r="O3022">
        <v>0.25560585827275217</v>
      </c>
      <c r="P3022">
        <v>0.25158280533654737</v>
      </c>
    </row>
    <row r="3023" spans="13:16">
      <c r="M3023">
        <v>0.28586135654135381</v>
      </c>
      <c r="N3023">
        <v>0.18427347497398133</v>
      </c>
      <c r="O3023">
        <v>0.27124522926057121</v>
      </c>
      <c r="P3023">
        <v>0.25861993922409365</v>
      </c>
    </row>
    <row r="3024" spans="13:16">
      <c r="M3024">
        <v>0.29837601367187327</v>
      </c>
      <c r="N3024">
        <v>0.19054016868343995</v>
      </c>
      <c r="O3024">
        <v>0.24880900473644069</v>
      </c>
      <c r="P3024">
        <v>0.26227481290824611</v>
      </c>
    </row>
    <row r="3025" spans="13:16">
      <c r="M3025">
        <v>0.29923108806020071</v>
      </c>
      <c r="N3025">
        <v>0.17213363548357841</v>
      </c>
      <c r="O3025">
        <v>0.26158126814568899</v>
      </c>
      <c r="P3025">
        <v>0.26705400831053194</v>
      </c>
    </row>
    <row r="3026" spans="13:16">
      <c r="M3026">
        <v>0.31056736578738375</v>
      </c>
      <c r="N3026">
        <v>0.18354972214124235</v>
      </c>
      <c r="O3026">
        <v>0.23564039750651106</v>
      </c>
      <c r="P3026">
        <v>0.27024251456486298</v>
      </c>
    </row>
    <row r="3027" spans="13:16">
      <c r="M3027">
        <v>0.2641241248259743</v>
      </c>
      <c r="N3027">
        <v>0.19646441086732003</v>
      </c>
      <c r="O3027">
        <v>0.26895300992508109</v>
      </c>
      <c r="P3027">
        <v>0.27045845438162452</v>
      </c>
    </row>
    <row r="3028" spans="13:16">
      <c r="M3028">
        <v>0.27923506055124275</v>
      </c>
      <c r="N3028">
        <v>0.19540799092866706</v>
      </c>
      <c r="O3028">
        <v>0.25904655510252644</v>
      </c>
      <c r="P3028">
        <v>0.26631039341756374</v>
      </c>
    </row>
    <row r="3029" spans="13:16">
      <c r="M3029">
        <v>0.31125353854189336</v>
      </c>
      <c r="N3029">
        <v>0.19096387602223097</v>
      </c>
      <c r="O3029">
        <v>0.22628649006672757</v>
      </c>
      <c r="P3029">
        <v>0.27149609536914809</v>
      </c>
    </row>
    <row r="3030" spans="13:16">
      <c r="M3030">
        <v>0.28883496850344659</v>
      </c>
      <c r="N3030">
        <v>0.18388292561768566</v>
      </c>
      <c r="O3030">
        <v>0.2693402020866727</v>
      </c>
      <c r="P3030">
        <v>0.25794190379219512</v>
      </c>
    </row>
    <row r="3031" spans="13:16">
      <c r="M3031">
        <v>0.27964465205427824</v>
      </c>
      <c r="N3031">
        <v>0.19208188324399889</v>
      </c>
      <c r="O3031">
        <v>0.26326106792654769</v>
      </c>
      <c r="P3031">
        <v>0.26501239677517513</v>
      </c>
    </row>
    <row r="3032" spans="13:16">
      <c r="M3032">
        <v>0.2934335417404938</v>
      </c>
      <c r="N3032">
        <v>0.18883900308767906</v>
      </c>
      <c r="O3032">
        <v>0.24421103944742104</v>
      </c>
      <c r="P3032">
        <v>0.27351641572440605</v>
      </c>
    </row>
    <row r="3033" spans="13:16">
      <c r="M3033">
        <v>0.2950620744234006</v>
      </c>
      <c r="N3033">
        <v>0.1837375879311603</v>
      </c>
      <c r="O3033">
        <v>0.23898791528429486</v>
      </c>
      <c r="P3033">
        <v>0.28221242236114424</v>
      </c>
    </row>
    <row r="3034" spans="13:16">
      <c r="M3034">
        <v>0.31139429050369127</v>
      </c>
      <c r="N3034">
        <v>0.17653660453102951</v>
      </c>
      <c r="O3034">
        <v>0.26809718004018657</v>
      </c>
      <c r="P3034">
        <v>0.24397192492509262</v>
      </c>
    </row>
    <row r="3035" spans="13:16">
      <c r="M3035">
        <v>0.28876677378991544</v>
      </c>
      <c r="N3035">
        <v>0.18756597592090918</v>
      </c>
      <c r="O3035">
        <v>0.26217109193262944</v>
      </c>
      <c r="P3035">
        <v>0.26149615835654599</v>
      </c>
    </row>
    <row r="3036" spans="13:16">
      <c r="M3036">
        <v>0.29322993141042963</v>
      </c>
      <c r="N3036">
        <v>0.16796733878088171</v>
      </c>
      <c r="O3036">
        <v>0.28891788456689022</v>
      </c>
      <c r="P3036">
        <v>0.24988484524179844</v>
      </c>
    </row>
    <row r="3037" spans="13:16">
      <c r="M3037">
        <v>0.30862892881496934</v>
      </c>
      <c r="N3037">
        <v>0.16830507242359452</v>
      </c>
      <c r="O3037">
        <v>0.26287330561633476</v>
      </c>
      <c r="P3037">
        <v>0.26019269314510152</v>
      </c>
    </row>
    <row r="3038" spans="13:16">
      <c r="M3038">
        <v>0.30002496476804719</v>
      </c>
      <c r="N3038">
        <v>0.16014705862288486</v>
      </c>
      <c r="O3038">
        <v>0.28912045611627479</v>
      </c>
      <c r="P3038">
        <v>0.25070752049279316</v>
      </c>
    </row>
    <row r="3039" spans="13:16">
      <c r="M3039">
        <v>0.29054135436617873</v>
      </c>
      <c r="N3039">
        <v>0.20733391118584057</v>
      </c>
      <c r="O3039">
        <v>0.23860306634360134</v>
      </c>
      <c r="P3039">
        <v>0.26352166810437933</v>
      </c>
    </row>
    <row r="3040" spans="13:16">
      <c r="M3040">
        <v>0.31588906232255493</v>
      </c>
      <c r="N3040">
        <v>0.17050930243824475</v>
      </c>
      <c r="O3040">
        <v>0.25619417886841211</v>
      </c>
      <c r="P3040">
        <v>0.25740745637078821</v>
      </c>
    </row>
    <row r="3041" spans="13:16">
      <c r="M3041">
        <v>0.29763088385751457</v>
      </c>
      <c r="N3041">
        <v>0.1950613602119195</v>
      </c>
      <c r="O3041">
        <v>0.23668668915719682</v>
      </c>
      <c r="P3041">
        <v>0.27062106677336917</v>
      </c>
    </row>
    <row r="3042" spans="13:16">
      <c r="M3042">
        <v>0.28391449167001087</v>
      </c>
      <c r="N3042">
        <v>0.18622128821864795</v>
      </c>
      <c r="O3042">
        <v>0.26974939106942603</v>
      </c>
      <c r="P3042">
        <v>0.2601148290419153</v>
      </c>
    </row>
    <row r="3043" spans="13:16">
      <c r="M3043">
        <v>0.28024898145070543</v>
      </c>
      <c r="N3043">
        <v>0.20405209086750806</v>
      </c>
      <c r="O3043">
        <v>0.26068225647939591</v>
      </c>
      <c r="P3043">
        <v>0.25501667120239052</v>
      </c>
    </row>
    <row r="3044" spans="13:16">
      <c r="M3044">
        <v>0.27806141046943345</v>
      </c>
      <c r="N3044">
        <v>0.19024611538385969</v>
      </c>
      <c r="O3044">
        <v>0.25722922812147375</v>
      </c>
      <c r="P3044">
        <v>0.27446324602523314</v>
      </c>
    </row>
    <row r="3045" spans="13:16">
      <c r="M3045">
        <v>0.28692551212002049</v>
      </c>
      <c r="N3045">
        <v>0.19740296418552797</v>
      </c>
      <c r="O3045">
        <v>0.25651601311933281</v>
      </c>
      <c r="P3045">
        <v>0.25915551057511887</v>
      </c>
    </row>
    <row r="3046" spans="13:16">
      <c r="M3046">
        <v>0.27931040790387385</v>
      </c>
      <c r="N3046">
        <v>0.16861892053700597</v>
      </c>
      <c r="O3046">
        <v>0.29078660505811221</v>
      </c>
      <c r="P3046">
        <v>0.26128406650100805</v>
      </c>
    </row>
    <row r="3047" spans="13:16">
      <c r="M3047">
        <v>0.28757722144472975</v>
      </c>
      <c r="N3047">
        <v>0.18197903583717123</v>
      </c>
      <c r="O3047">
        <v>0.28633333979862108</v>
      </c>
      <c r="P3047">
        <v>0.24411040291947783</v>
      </c>
    </row>
    <row r="3048" spans="13:16">
      <c r="M3048">
        <v>0.29966655371824291</v>
      </c>
      <c r="N3048">
        <v>0.1628471201202227</v>
      </c>
      <c r="O3048">
        <v>0.28971813101308352</v>
      </c>
      <c r="P3048">
        <v>0.24776819514845089</v>
      </c>
    </row>
    <row r="3049" spans="13:16">
      <c r="M3049">
        <v>0.27660019922762735</v>
      </c>
      <c r="N3049">
        <v>0.20632583240845884</v>
      </c>
      <c r="O3049">
        <v>0.23430833960387926</v>
      </c>
      <c r="P3049">
        <v>0.28276562876003464</v>
      </c>
    </row>
    <row r="3050" spans="13:16">
      <c r="M3050">
        <v>0.28691248388693169</v>
      </c>
      <c r="N3050">
        <v>0.17590224481240901</v>
      </c>
      <c r="O3050">
        <v>0.28608719832676255</v>
      </c>
      <c r="P3050">
        <v>0.25109807297389675</v>
      </c>
    </row>
    <row r="3051" spans="13:16">
      <c r="M3051">
        <v>0.30157616946136084</v>
      </c>
      <c r="N3051">
        <v>0.19136641464674589</v>
      </c>
      <c r="O3051">
        <v>0.24989522925326407</v>
      </c>
      <c r="P3051">
        <v>0.25716218663862922</v>
      </c>
    </row>
    <row r="3052" spans="13:16">
      <c r="M3052">
        <v>0.31480351485285246</v>
      </c>
      <c r="N3052">
        <v>0.18435596667842588</v>
      </c>
      <c r="O3052">
        <v>0.24077671691190955</v>
      </c>
      <c r="P3052">
        <v>0.26006380155681208</v>
      </c>
    </row>
    <row r="3053" spans="13:16">
      <c r="M3053">
        <v>0.28935913489849591</v>
      </c>
      <c r="N3053">
        <v>0.19666204081152419</v>
      </c>
      <c r="O3053">
        <v>0.24365473351748174</v>
      </c>
      <c r="P3053">
        <v>0.2703240907724983</v>
      </c>
    </row>
    <row r="3054" spans="13:16">
      <c r="M3054">
        <v>0.28912141317405637</v>
      </c>
      <c r="N3054">
        <v>0.17742157226783939</v>
      </c>
      <c r="O3054">
        <v>0.26293176963592468</v>
      </c>
      <c r="P3054">
        <v>0.27052524492217955</v>
      </c>
    </row>
    <row r="3055" spans="13:16">
      <c r="M3055">
        <v>0.29938380319523872</v>
      </c>
      <c r="N3055">
        <v>0.20184285651837977</v>
      </c>
      <c r="O3055">
        <v>0.23664430978370082</v>
      </c>
      <c r="P3055">
        <v>0.26212903050268072</v>
      </c>
    </row>
    <row r="3056" spans="13:16">
      <c r="M3056">
        <v>0.31850183885482297</v>
      </c>
      <c r="N3056">
        <v>0.17709076369936413</v>
      </c>
      <c r="O3056">
        <v>0.24567096913540937</v>
      </c>
      <c r="P3056">
        <v>0.25873642831040344</v>
      </c>
    </row>
    <row r="3057" spans="13:16">
      <c r="M3057">
        <v>0.29692561779545168</v>
      </c>
      <c r="N3057">
        <v>0.16023413813807255</v>
      </c>
      <c r="O3057">
        <v>0.30032560900482119</v>
      </c>
      <c r="P3057">
        <v>0.24251463506165455</v>
      </c>
    </row>
    <row r="3058" spans="13:16">
      <c r="M3058">
        <v>0.28994085550976462</v>
      </c>
      <c r="N3058">
        <v>0.17718896425687217</v>
      </c>
      <c r="O3058">
        <v>0.29604894592713787</v>
      </c>
      <c r="P3058">
        <v>0.23682123430622551</v>
      </c>
    </row>
    <row r="3059" spans="13:16">
      <c r="M3059">
        <v>0.27734625828970844</v>
      </c>
      <c r="N3059">
        <v>0.21635358735996002</v>
      </c>
      <c r="O3059">
        <v>0.22960000552455681</v>
      </c>
      <c r="P3059">
        <v>0.27670014882577471</v>
      </c>
    </row>
    <row r="3060" spans="13:16">
      <c r="M3060">
        <v>0.29229118451162261</v>
      </c>
      <c r="N3060">
        <v>0.16706551580778023</v>
      </c>
      <c r="O3060">
        <v>0.28997589098290161</v>
      </c>
      <c r="P3060">
        <v>0.25066740869769555</v>
      </c>
    </row>
    <row r="3061" spans="13:16">
      <c r="M3061">
        <v>0.28766893837899882</v>
      </c>
      <c r="N3061">
        <v>0.19878380373144972</v>
      </c>
      <c r="O3061">
        <v>0.23634229207040522</v>
      </c>
      <c r="P3061">
        <v>0.27720496581914617</v>
      </c>
    </row>
    <row r="3062" spans="13:16">
      <c r="M3062">
        <v>0.30080898691307389</v>
      </c>
      <c r="N3062">
        <v>0.19267196353264576</v>
      </c>
      <c r="O3062">
        <v>0.22117088555327694</v>
      </c>
      <c r="P3062">
        <v>0.28534816400100343</v>
      </c>
    </row>
    <row r="3063" spans="13:16">
      <c r="M3063">
        <v>0.26950923537568822</v>
      </c>
      <c r="N3063">
        <v>0.18745877219381346</v>
      </c>
      <c r="O3063">
        <v>0.27767058198474065</v>
      </c>
      <c r="P3063">
        <v>0.26536141044575762</v>
      </c>
    </row>
    <row r="3064" spans="13:16">
      <c r="M3064">
        <v>0.2862258065336758</v>
      </c>
      <c r="N3064">
        <v>0.17518921557254319</v>
      </c>
      <c r="O3064">
        <v>0.29577697965151595</v>
      </c>
      <c r="P3064">
        <v>0.24280799824226507</v>
      </c>
    </row>
    <row r="3065" spans="13:16">
      <c r="M3065">
        <v>0.29865672727750697</v>
      </c>
      <c r="N3065">
        <v>0.19232054966717316</v>
      </c>
      <c r="O3065">
        <v>0.26283414115069437</v>
      </c>
      <c r="P3065">
        <v>0.24618858190462548</v>
      </c>
    </row>
    <row r="3066" spans="13:16">
      <c r="M3066">
        <v>0.30912844247441956</v>
      </c>
      <c r="N3066">
        <v>0.18210637870382099</v>
      </c>
      <c r="O3066">
        <v>0.24772973412384602</v>
      </c>
      <c r="P3066">
        <v>0.26103544469791334</v>
      </c>
    </row>
    <row r="3067" spans="13:16">
      <c r="M3067">
        <v>0.2851354159787054</v>
      </c>
      <c r="N3067">
        <v>0.18992912181601024</v>
      </c>
      <c r="O3067">
        <v>0.24307789612483366</v>
      </c>
      <c r="P3067">
        <v>0.28185756608045054</v>
      </c>
    </row>
    <row r="3068" spans="13:16">
      <c r="M3068">
        <v>0.30044288487810011</v>
      </c>
      <c r="N3068">
        <v>0.18295252186490452</v>
      </c>
      <c r="O3068">
        <v>0.24043475487931423</v>
      </c>
      <c r="P3068">
        <v>0.27616983837768111</v>
      </c>
    </row>
    <row r="3069" spans="13:16">
      <c r="M3069">
        <v>0.29698816966908548</v>
      </c>
      <c r="N3069">
        <v>0.18783819369921423</v>
      </c>
      <c r="O3069">
        <v>0.25481885896947015</v>
      </c>
      <c r="P3069">
        <v>0.2603547776622302</v>
      </c>
    </row>
    <row r="3070" spans="13:16">
      <c r="M3070">
        <v>0.31065040134917316</v>
      </c>
      <c r="N3070">
        <v>0.17754612842851092</v>
      </c>
      <c r="O3070">
        <v>0.24723254182560633</v>
      </c>
      <c r="P3070">
        <v>0.26457092839670954</v>
      </c>
    </row>
    <row r="3071" spans="13:16">
      <c r="M3071">
        <v>0.30333746479943069</v>
      </c>
      <c r="N3071">
        <v>0.17654611969346726</v>
      </c>
      <c r="O3071">
        <v>0.2706720363229555</v>
      </c>
      <c r="P3071">
        <v>0.24944437918414658</v>
      </c>
    </row>
    <row r="3072" spans="13:16">
      <c r="M3072">
        <v>0.2577791300720772</v>
      </c>
      <c r="N3072">
        <v>0.18486158576388323</v>
      </c>
      <c r="O3072">
        <v>0.2989391499743046</v>
      </c>
      <c r="P3072">
        <v>0.25842013418973492</v>
      </c>
    </row>
    <row r="3073" spans="13:16">
      <c r="M3073">
        <v>0.27192858821383675</v>
      </c>
      <c r="N3073">
        <v>0.17721523783310475</v>
      </c>
      <c r="O3073">
        <v>0.27768629979002252</v>
      </c>
      <c r="P3073">
        <v>0.27316987416303601</v>
      </c>
    </row>
    <row r="3074" spans="13:16">
      <c r="M3074">
        <v>0.2717152964519205</v>
      </c>
      <c r="N3074">
        <v>0.20364739033974255</v>
      </c>
      <c r="O3074">
        <v>0.25256589726451772</v>
      </c>
      <c r="P3074">
        <v>0.27207141594381923</v>
      </c>
    </row>
    <row r="3075" spans="13:16">
      <c r="M3075">
        <v>0.27509712593768865</v>
      </c>
      <c r="N3075">
        <v>0.19224766551127556</v>
      </c>
      <c r="O3075">
        <v>0.24538032460925047</v>
      </c>
      <c r="P3075">
        <v>0.28727488394178535</v>
      </c>
    </row>
    <row r="3076" spans="13:16">
      <c r="M3076">
        <v>0.2727174090510473</v>
      </c>
      <c r="N3076">
        <v>0.19894035811131303</v>
      </c>
      <c r="O3076">
        <v>0.26283499690569995</v>
      </c>
      <c r="P3076">
        <v>0.26550723593193959</v>
      </c>
    </row>
    <row r="3077" spans="13:16">
      <c r="M3077">
        <v>0.30198564051582599</v>
      </c>
      <c r="N3077">
        <v>0.19255901620319341</v>
      </c>
      <c r="O3077">
        <v>0.22680416353632718</v>
      </c>
      <c r="P3077">
        <v>0.27865117974465337</v>
      </c>
    </row>
    <row r="3078" spans="13:16">
      <c r="M3078">
        <v>0.2960475319694732</v>
      </c>
      <c r="N3078">
        <v>0.19535637194041972</v>
      </c>
      <c r="O3078">
        <v>0.24005577745670784</v>
      </c>
      <c r="P3078">
        <v>0.26854031863339922</v>
      </c>
    </row>
    <row r="3079" spans="13:16">
      <c r="M3079">
        <v>0.28964424615430479</v>
      </c>
      <c r="N3079">
        <v>0.19606331660216161</v>
      </c>
      <c r="O3079">
        <v>0.26489413888048458</v>
      </c>
      <c r="P3079">
        <v>0.249398298363049</v>
      </c>
    </row>
    <row r="3080" spans="13:16">
      <c r="M3080">
        <v>0.28416674953604104</v>
      </c>
      <c r="N3080">
        <v>0.1940277744150769</v>
      </c>
      <c r="O3080">
        <v>0.25238844297211849</v>
      </c>
      <c r="P3080">
        <v>0.26941703307676373</v>
      </c>
    </row>
    <row r="3081" spans="13:16">
      <c r="M3081">
        <v>0.28918185150260589</v>
      </c>
      <c r="N3081">
        <v>0.17189075305421067</v>
      </c>
      <c r="O3081">
        <v>0.27686282082755725</v>
      </c>
      <c r="P3081">
        <v>0.26206457461562604</v>
      </c>
    </row>
    <row r="3082" spans="13:16">
      <c r="M3082">
        <v>0.28111135154238681</v>
      </c>
      <c r="N3082">
        <v>0.18730283690464225</v>
      </c>
      <c r="O3082">
        <v>0.27518253669163983</v>
      </c>
      <c r="P3082">
        <v>0.25640327486133113</v>
      </c>
    </row>
    <row r="3083" spans="13:16">
      <c r="M3083">
        <v>0.29554726719466745</v>
      </c>
      <c r="N3083">
        <v>0.18591562679199625</v>
      </c>
      <c r="O3083">
        <v>0.25294302941556451</v>
      </c>
      <c r="P3083">
        <v>0.2655940765977719</v>
      </c>
    </row>
    <row r="3084" spans="13:16">
      <c r="M3084">
        <v>0.28175132166407679</v>
      </c>
      <c r="N3084">
        <v>0.19484419236048672</v>
      </c>
      <c r="O3084">
        <v>0.2696117134251429</v>
      </c>
      <c r="P3084">
        <v>0.25379277255029353</v>
      </c>
    </row>
    <row r="3085" spans="13:16">
      <c r="M3085">
        <v>0.30177641462409693</v>
      </c>
      <c r="N3085">
        <v>0.19683373575749147</v>
      </c>
      <c r="O3085">
        <v>0.23384556436542495</v>
      </c>
      <c r="P3085">
        <v>0.26754428525298651</v>
      </c>
    </row>
    <row r="3086" spans="13:16">
      <c r="M3086">
        <v>0.27045044013982178</v>
      </c>
      <c r="N3086">
        <v>0.21003433962437329</v>
      </c>
      <c r="O3086">
        <v>0.24761367615216665</v>
      </c>
      <c r="P3086">
        <v>0.27190154408363837</v>
      </c>
    </row>
    <row r="3087" spans="13:16">
      <c r="M3087">
        <v>0.28557531468038971</v>
      </c>
      <c r="N3087">
        <v>0.18819161140151802</v>
      </c>
      <c r="O3087">
        <v>0.2613773530102142</v>
      </c>
      <c r="P3087">
        <v>0.26485572090787823</v>
      </c>
    </row>
    <row r="3088" spans="13:16">
      <c r="M3088">
        <v>0.30464431367684841</v>
      </c>
      <c r="N3088">
        <v>0.16458842545144028</v>
      </c>
      <c r="O3088">
        <v>0.284770796535879</v>
      </c>
      <c r="P3088">
        <v>0.2459964643358323</v>
      </c>
    </row>
    <row r="3089" spans="13:16">
      <c r="M3089">
        <v>0.30524379179510247</v>
      </c>
      <c r="N3089">
        <v>0.18210325773245456</v>
      </c>
      <c r="O3089">
        <v>0.25649392198584398</v>
      </c>
      <c r="P3089">
        <v>0.25615902848659905</v>
      </c>
    </row>
    <row r="3090" spans="13:16">
      <c r="M3090">
        <v>0.29028253847896873</v>
      </c>
      <c r="N3090">
        <v>0.20364823818512615</v>
      </c>
      <c r="O3090">
        <v>0.24781727784828583</v>
      </c>
      <c r="P3090">
        <v>0.25825194548761932</v>
      </c>
    </row>
    <row r="3091" spans="13:16">
      <c r="M3091">
        <v>0.27727869265299332</v>
      </c>
      <c r="N3091">
        <v>0.17465260969252858</v>
      </c>
      <c r="O3091">
        <v>0.29069709644846142</v>
      </c>
      <c r="P3091">
        <v>0.25737160120601682</v>
      </c>
    </row>
    <row r="3092" spans="13:16">
      <c r="M3092">
        <v>0.29404653804462033</v>
      </c>
      <c r="N3092">
        <v>0.17177448344734739</v>
      </c>
      <c r="O3092">
        <v>0.27782425351941858</v>
      </c>
      <c r="P3092">
        <v>0.25635472498861372</v>
      </c>
    </row>
    <row r="3093" spans="13:16">
      <c r="M3093">
        <v>0.29510591351790683</v>
      </c>
      <c r="N3093">
        <v>0.19016351704869985</v>
      </c>
      <c r="O3093">
        <v>0.22707855251563908</v>
      </c>
      <c r="P3093">
        <v>0.28765201691775422</v>
      </c>
    </row>
    <row r="3094" spans="13:16">
      <c r="M3094">
        <v>0.29040563107165474</v>
      </c>
      <c r="N3094">
        <v>0.21047232738155064</v>
      </c>
      <c r="O3094">
        <v>0.21460715582313081</v>
      </c>
      <c r="P3094">
        <v>0.28451488572366385</v>
      </c>
    </row>
    <row r="3095" spans="13:16">
      <c r="M3095">
        <v>0.30054349095468985</v>
      </c>
      <c r="N3095">
        <v>0.18296596972840565</v>
      </c>
      <c r="O3095">
        <v>0.2194165152014394</v>
      </c>
      <c r="P3095">
        <v>0.29707402411546513</v>
      </c>
    </row>
    <row r="3096" spans="13:16">
      <c r="M3096">
        <v>0.31054545524856075</v>
      </c>
      <c r="N3096">
        <v>0.20114860968194631</v>
      </c>
      <c r="O3096">
        <v>0.22502265050483025</v>
      </c>
      <c r="P3096">
        <v>0.26328328456466255</v>
      </c>
    </row>
    <row r="3097" spans="13:16">
      <c r="M3097">
        <v>0.31136687050633211</v>
      </c>
      <c r="N3097">
        <v>0.18063895871348315</v>
      </c>
      <c r="O3097">
        <v>0.23971303048330272</v>
      </c>
      <c r="P3097">
        <v>0.26828114029688183</v>
      </c>
    </row>
    <row r="3098" spans="13:16">
      <c r="M3098">
        <v>0.28292207304193845</v>
      </c>
      <c r="N3098">
        <v>0.19698974015491882</v>
      </c>
      <c r="O3098">
        <v>0.24605023360070302</v>
      </c>
      <c r="P3098">
        <v>0.27403795320243973</v>
      </c>
    </row>
    <row r="3099" spans="13:16">
      <c r="M3099">
        <v>0.32002855626226212</v>
      </c>
      <c r="N3099">
        <v>0.16777352399757259</v>
      </c>
      <c r="O3099">
        <v>0.25585670701476998</v>
      </c>
      <c r="P3099">
        <v>0.25634121272539528</v>
      </c>
    </row>
    <row r="3100" spans="13:16">
      <c r="M3100">
        <v>0.27741992640294544</v>
      </c>
      <c r="N3100">
        <v>0.186326267223623</v>
      </c>
      <c r="O3100">
        <v>0.26599286761645302</v>
      </c>
      <c r="P3100">
        <v>0.27026093875697849</v>
      </c>
    </row>
    <row r="3101" spans="13:16">
      <c r="M3101">
        <v>0.3027768461576878</v>
      </c>
      <c r="N3101">
        <v>0.17050647984314429</v>
      </c>
      <c r="O3101">
        <v>0.27773107895795873</v>
      </c>
      <c r="P3101">
        <v>0.24898559504120918</v>
      </c>
    </row>
    <row r="3102" spans="13:16">
      <c r="M3102">
        <v>0.30035704003563857</v>
      </c>
      <c r="N3102">
        <v>0.17329081319617032</v>
      </c>
      <c r="O3102">
        <v>0.25834843434908322</v>
      </c>
      <c r="P3102">
        <v>0.26800371241910781</v>
      </c>
    </row>
    <row r="3103" spans="13:16">
      <c r="M3103">
        <v>0.28527253846340872</v>
      </c>
      <c r="N3103">
        <v>0.18549217001852616</v>
      </c>
      <c r="O3103">
        <v>0.2609391012883121</v>
      </c>
      <c r="P3103">
        <v>0.26829619022975315</v>
      </c>
    </row>
    <row r="3104" spans="13:16">
      <c r="M3104">
        <v>0.29635806424950373</v>
      </c>
      <c r="N3104">
        <v>0.17656479597321595</v>
      </c>
      <c r="O3104">
        <v>0.24452885585079651</v>
      </c>
      <c r="P3104">
        <v>0.2825482839264839</v>
      </c>
    </row>
    <row r="3105" spans="13:16">
      <c r="M3105">
        <v>0.26986673588690974</v>
      </c>
      <c r="N3105">
        <v>0.19142057480485999</v>
      </c>
      <c r="O3105">
        <v>0.27124999242230208</v>
      </c>
      <c r="P3105">
        <v>0.26746269688592827</v>
      </c>
    </row>
    <row r="3106" spans="13:16">
      <c r="M3106">
        <v>0.28126902192106296</v>
      </c>
      <c r="N3106">
        <v>0.20129102224948847</v>
      </c>
      <c r="O3106">
        <v>0.23332780136581738</v>
      </c>
      <c r="P3106">
        <v>0.28411215446363119</v>
      </c>
    </row>
    <row r="3107" spans="13:16">
      <c r="M3107">
        <v>0.30501151427842949</v>
      </c>
      <c r="N3107">
        <v>0.19521612390538695</v>
      </c>
      <c r="O3107">
        <v>0.24456613326698459</v>
      </c>
      <c r="P3107">
        <v>0.255206228549199</v>
      </c>
    </row>
    <row r="3108" spans="13:16">
      <c r="M3108">
        <v>0.28647806079877314</v>
      </c>
      <c r="N3108">
        <v>0.19546696387583268</v>
      </c>
      <c r="O3108">
        <v>0.25345393306188729</v>
      </c>
      <c r="P3108">
        <v>0.264601042263507</v>
      </c>
    </row>
    <row r="3109" spans="13:16">
      <c r="M3109">
        <v>0.28594810100001372</v>
      </c>
      <c r="N3109">
        <v>0.20393999653401926</v>
      </c>
      <c r="O3109">
        <v>0.24387299529661771</v>
      </c>
      <c r="P3109">
        <v>0.26623890716934939</v>
      </c>
    </row>
    <row r="3110" spans="13:16">
      <c r="M3110">
        <v>0.27602418900529851</v>
      </c>
      <c r="N3110">
        <v>0.20236727373665483</v>
      </c>
      <c r="O3110">
        <v>0.24550734771916707</v>
      </c>
      <c r="P3110">
        <v>0.27610118953887974</v>
      </c>
    </row>
    <row r="3111" spans="13:16">
      <c r="M3111">
        <v>0.26979835211016318</v>
      </c>
      <c r="N3111">
        <v>0.20855686548300104</v>
      </c>
      <c r="O3111">
        <v>0.24142241158828526</v>
      </c>
      <c r="P3111">
        <v>0.28022237081855045</v>
      </c>
    </row>
    <row r="3112" spans="13:16">
      <c r="M3112">
        <v>0.302809508446378</v>
      </c>
      <c r="N3112">
        <v>0.16647631065714105</v>
      </c>
      <c r="O3112">
        <v>0.28108137238468134</v>
      </c>
      <c r="P3112">
        <v>0.24963280851179967</v>
      </c>
    </row>
    <row r="3113" spans="13:16">
      <c r="M3113">
        <v>0.31821264010238282</v>
      </c>
      <c r="N3113">
        <v>0.17736611724719456</v>
      </c>
      <c r="O3113">
        <v>0.22942467802168634</v>
      </c>
      <c r="P3113">
        <v>0.27499656462873623</v>
      </c>
    </row>
    <row r="3114" spans="13:16">
      <c r="M3114">
        <v>0.29166844163176092</v>
      </c>
      <c r="N3114">
        <v>0.18270609900778861</v>
      </c>
      <c r="O3114">
        <v>0.26607786379574466</v>
      </c>
      <c r="P3114">
        <v>0.25954759556470591</v>
      </c>
    </row>
    <row r="3115" spans="13:16">
      <c r="M3115">
        <v>0.27449404200612726</v>
      </c>
      <c r="N3115">
        <v>0.18489520513494059</v>
      </c>
      <c r="O3115">
        <v>0.28319552666234638</v>
      </c>
      <c r="P3115">
        <v>0.2574152261965858</v>
      </c>
    </row>
    <row r="3116" spans="13:16">
      <c r="M3116">
        <v>0.29879603928861675</v>
      </c>
      <c r="N3116">
        <v>0.18558675145043985</v>
      </c>
      <c r="O3116">
        <v>0.25883698738222571</v>
      </c>
      <c r="P3116">
        <v>0.25678022187871774</v>
      </c>
    </row>
    <row r="3117" spans="13:16">
      <c r="M3117">
        <v>0.27740845178903073</v>
      </c>
      <c r="N3117">
        <v>0.19191688107140745</v>
      </c>
      <c r="O3117">
        <v>0.25391977578615849</v>
      </c>
      <c r="P3117">
        <v>0.27675489135340331</v>
      </c>
    </row>
    <row r="3118" spans="13:16">
      <c r="M3118">
        <v>0.25870722502399912</v>
      </c>
      <c r="N3118">
        <v>0.18873603856113111</v>
      </c>
      <c r="O3118">
        <v>0.29471971417477072</v>
      </c>
      <c r="P3118">
        <v>0.25783702224009919</v>
      </c>
    </row>
    <row r="3119" spans="13:16">
      <c r="M3119">
        <v>0.27695845623472565</v>
      </c>
      <c r="N3119">
        <v>0.17905691372246035</v>
      </c>
      <c r="O3119">
        <v>0.27480438145938685</v>
      </c>
      <c r="P3119">
        <v>0.2691802485834271</v>
      </c>
    </row>
    <row r="3120" spans="13:16">
      <c r="M3120">
        <v>0.26990647835806325</v>
      </c>
      <c r="N3120">
        <v>0.20944616901811278</v>
      </c>
      <c r="O3120">
        <v>0.2578190045237847</v>
      </c>
      <c r="P3120">
        <v>0.26282834810003919</v>
      </c>
    </row>
    <row r="3121" spans="13:16">
      <c r="M3121">
        <v>0.32488949309278109</v>
      </c>
      <c r="N3121">
        <v>0.1826085383849371</v>
      </c>
      <c r="O3121">
        <v>0.24319970010475095</v>
      </c>
      <c r="P3121">
        <v>0.24930226841753086</v>
      </c>
    </row>
    <row r="3122" spans="13:16">
      <c r="M3122">
        <v>0.30871083911275116</v>
      </c>
      <c r="N3122">
        <v>0.18717725991828654</v>
      </c>
      <c r="O3122">
        <v>0.22890633981897246</v>
      </c>
      <c r="P3122">
        <v>0.27520556114998984</v>
      </c>
    </row>
    <row r="3123" spans="13:16">
      <c r="M3123">
        <v>0.27663763914708406</v>
      </c>
      <c r="N3123">
        <v>0.17224500643350582</v>
      </c>
      <c r="O3123">
        <v>0.29531033941748391</v>
      </c>
      <c r="P3123">
        <v>0.25580701500192615</v>
      </c>
    </row>
    <row r="3124" spans="13:16">
      <c r="M3124">
        <v>0.30223948944136109</v>
      </c>
      <c r="N3124">
        <v>0.17161994934865302</v>
      </c>
      <c r="O3124">
        <v>0.26572094924108153</v>
      </c>
      <c r="P3124">
        <v>0.26041961196890429</v>
      </c>
    </row>
    <row r="3125" spans="13:16">
      <c r="M3125">
        <v>0.3058897200811217</v>
      </c>
      <c r="N3125">
        <v>0.19666563655353866</v>
      </c>
      <c r="O3125">
        <v>0.22980482422446916</v>
      </c>
      <c r="P3125">
        <v>0.26763981914087043</v>
      </c>
    </row>
    <row r="3126" spans="13:16">
      <c r="M3126">
        <v>0.32627896103848203</v>
      </c>
      <c r="N3126">
        <v>0.18139300330637301</v>
      </c>
      <c r="O3126">
        <v>0.24088399546052844</v>
      </c>
      <c r="P3126">
        <v>0.25144404019461658</v>
      </c>
    </row>
    <row r="3127" spans="13:16">
      <c r="M3127">
        <v>0.28389222066284592</v>
      </c>
      <c r="N3127">
        <v>0.17718953176221092</v>
      </c>
      <c r="O3127">
        <v>0.27223666251483875</v>
      </c>
      <c r="P3127">
        <v>0.26668158506010442</v>
      </c>
    </row>
    <row r="3128" spans="13:16">
      <c r="M3128">
        <v>0.26757261225737961</v>
      </c>
      <c r="N3128">
        <v>0.19227840881425154</v>
      </c>
      <c r="O3128">
        <v>0.27208892602212081</v>
      </c>
      <c r="P3128">
        <v>0.26806005290624796</v>
      </c>
    </row>
    <row r="3129" spans="13:16">
      <c r="M3129">
        <v>0.28514347681769031</v>
      </c>
      <c r="N3129">
        <v>0.19524599230134332</v>
      </c>
      <c r="O3129">
        <v>0.25173544678249399</v>
      </c>
      <c r="P3129">
        <v>0.26787508409847238</v>
      </c>
    </row>
    <row r="3130" spans="13:16">
      <c r="M3130">
        <v>0.27972101089714763</v>
      </c>
      <c r="N3130">
        <v>0.18886650020996876</v>
      </c>
      <c r="O3130">
        <v>0.26478223317364413</v>
      </c>
      <c r="P3130">
        <v>0.26663025571923943</v>
      </c>
    </row>
    <row r="3131" spans="13:16">
      <c r="M3131">
        <v>0.29349320989346067</v>
      </c>
      <c r="N3131">
        <v>0.170534566696042</v>
      </c>
      <c r="O3131">
        <v>0.28183452292298738</v>
      </c>
      <c r="P3131">
        <v>0.25413770048751</v>
      </c>
    </row>
    <row r="3132" spans="13:16">
      <c r="M3132">
        <v>0.28105302702562024</v>
      </c>
      <c r="N3132">
        <v>0.17687569599738157</v>
      </c>
      <c r="O3132">
        <v>0.28274757150171614</v>
      </c>
      <c r="P3132">
        <v>0.25932370547528194</v>
      </c>
    </row>
    <row r="3133" spans="13:16">
      <c r="M3133">
        <v>0.29718399110201232</v>
      </c>
      <c r="N3133">
        <v>0.17679194333257003</v>
      </c>
      <c r="O3133">
        <v>0.28644165952977568</v>
      </c>
      <c r="P3133">
        <v>0.23958240603564207</v>
      </c>
    </row>
    <row r="3134" spans="13:16">
      <c r="M3134">
        <v>0.25201502044947</v>
      </c>
      <c r="N3134">
        <v>0.1985966957295536</v>
      </c>
      <c r="O3134">
        <v>0.29453582886988733</v>
      </c>
      <c r="P3134">
        <v>0.25485245495108905</v>
      </c>
    </row>
    <row r="3135" spans="13:16">
      <c r="M3135">
        <v>0.2949701347587193</v>
      </c>
      <c r="N3135">
        <v>0.19330430852116209</v>
      </c>
      <c r="O3135">
        <v>0.24931243015568547</v>
      </c>
      <c r="P3135">
        <v>0.26241312656443305</v>
      </c>
    </row>
    <row r="3136" spans="13:16">
      <c r="M3136">
        <v>0.32738619685897025</v>
      </c>
      <c r="N3136">
        <v>0.1838142704309437</v>
      </c>
      <c r="O3136">
        <v>0.23369251696515037</v>
      </c>
      <c r="P3136">
        <v>0.25510701574493561</v>
      </c>
    </row>
    <row r="3137" spans="13:16">
      <c r="M3137">
        <v>0.31159269476708107</v>
      </c>
      <c r="N3137">
        <v>0.1668778484812847</v>
      </c>
      <c r="O3137">
        <v>0.26960515149278202</v>
      </c>
      <c r="P3137">
        <v>0.25192430525885218</v>
      </c>
    </row>
    <row r="3138" spans="13:16">
      <c r="M3138">
        <v>0.27791330497168781</v>
      </c>
      <c r="N3138">
        <v>0.185068123232729</v>
      </c>
      <c r="O3138">
        <v>0.27046019694739032</v>
      </c>
      <c r="P3138">
        <v>0.26655837484819289</v>
      </c>
    </row>
    <row r="3139" spans="13:16">
      <c r="M3139">
        <v>0.27912875324251607</v>
      </c>
      <c r="N3139">
        <v>0.18967162614916153</v>
      </c>
      <c r="O3139">
        <v>0.27469535424974484</v>
      </c>
      <c r="P3139">
        <v>0.25650426635857759</v>
      </c>
    </row>
    <row r="3140" spans="13:16">
      <c r="M3140">
        <v>0.28540105248492342</v>
      </c>
      <c r="N3140">
        <v>0.20687090323300003</v>
      </c>
      <c r="O3140">
        <v>0.23111478746466782</v>
      </c>
      <c r="P3140">
        <v>0.27661325681740873</v>
      </c>
    </row>
    <row r="3141" spans="13:16">
      <c r="M3141">
        <v>0.30216125913515729</v>
      </c>
      <c r="N3141">
        <v>0.19982000724862065</v>
      </c>
      <c r="O3141">
        <v>0.23152861643556275</v>
      </c>
      <c r="P3141">
        <v>0.26649011718065924</v>
      </c>
    </row>
    <row r="3142" spans="13:16">
      <c r="M3142">
        <v>0.31847377980882335</v>
      </c>
      <c r="N3142">
        <v>0.17074166765682358</v>
      </c>
      <c r="O3142">
        <v>0.25826769928241239</v>
      </c>
      <c r="P3142">
        <v>0.25251685325194073</v>
      </c>
    </row>
    <row r="3143" spans="13:16">
      <c r="M3143">
        <v>0.28267068633745357</v>
      </c>
      <c r="N3143">
        <v>0.19936401964690753</v>
      </c>
      <c r="O3143">
        <v>0.23514640043824708</v>
      </c>
      <c r="P3143">
        <v>0.28281889357739187</v>
      </c>
    </row>
    <row r="3144" spans="13:16">
      <c r="M3144">
        <v>0.27483431122740154</v>
      </c>
      <c r="N3144">
        <v>0.18151387490270718</v>
      </c>
      <c r="O3144">
        <v>0.26134983346605029</v>
      </c>
      <c r="P3144">
        <v>0.28230198040384091</v>
      </c>
    </row>
    <row r="3145" spans="13:16">
      <c r="M3145">
        <v>0.29571076390126749</v>
      </c>
      <c r="N3145">
        <v>0.20875409462087785</v>
      </c>
      <c r="O3145">
        <v>0.2248450985253182</v>
      </c>
      <c r="P3145">
        <v>0.27069004295253646</v>
      </c>
    </row>
    <row r="3146" spans="13:16">
      <c r="M3146">
        <v>0.31089698318751657</v>
      </c>
      <c r="N3146">
        <v>0.18409229016150511</v>
      </c>
      <c r="O3146">
        <v>0.23498214346757351</v>
      </c>
      <c r="P3146">
        <v>0.27002858318340489</v>
      </c>
    </row>
    <row r="3147" spans="13:16">
      <c r="M3147">
        <v>0.27565911079931399</v>
      </c>
      <c r="N3147">
        <v>0.18169583850801171</v>
      </c>
      <c r="O3147">
        <v>0.27387084231662079</v>
      </c>
      <c r="P3147">
        <v>0.26877420837605348</v>
      </c>
    </row>
    <row r="3148" spans="13:16">
      <c r="M3148">
        <v>0.28085512557182052</v>
      </c>
      <c r="N3148">
        <v>0.20205753090112036</v>
      </c>
      <c r="O3148">
        <v>0.24358446398580874</v>
      </c>
      <c r="P3148">
        <v>0.27350287954125035</v>
      </c>
    </row>
    <row r="3149" spans="13:16">
      <c r="M3149">
        <v>0.29563886358213859</v>
      </c>
      <c r="N3149">
        <v>0.19632348650672768</v>
      </c>
      <c r="O3149">
        <v>0.23596582038463798</v>
      </c>
      <c r="P3149">
        <v>0.27207182952649578</v>
      </c>
    </row>
    <row r="3150" spans="13:16">
      <c r="M3150">
        <v>0.30548101542260159</v>
      </c>
      <c r="N3150">
        <v>0.18826109183870082</v>
      </c>
      <c r="O3150">
        <v>0.21983666277903122</v>
      </c>
      <c r="P3150">
        <v>0.28642122995966635</v>
      </c>
    </row>
    <row r="3151" spans="13:16">
      <c r="M3151">
        <v>0.25931314282867213</v>
      </c>
      <c r="N3151">
        <v>0.2050062077791967</v>
      </c>
      <c r="O3151">
        <v>0.27044369420945202</v>
      </c>
      <c r="P3151">
        <v>0.2652369551826792</v>
      </c>
    </row>
    <row r="3152" spans="13:16">
      <c r="M3152">
        <v>0.29772907752208067</v>
      </c>
      <c r="N3152">
        <v>0.19023541412760078</v>
      </c>
      <c r="O3152">
        <v>0.25041482972866486</v>
      </c>
      <c r="P3152">
        <v>0.26162067862165361</v>
      </c>
    </row>
    <row r="3153" spans="13:16">
      <c r="M3153">
        <v>0.30511309934312081</v>
      </c>
      <c r="N3153">
        <v>0.16392614450593251</v>
      </c>
      <c r="O3153">
        <v>0.28877023896897636</v>
      </c>
      <c r="P3153">
        <v>0.24219051718197016</v>
      </c>
    </row>
    <row r="3154" spans="13:16">
      <c r="M3154">
        <v>0.28875571504166275</v>
      </c>
      <c r="N3154">
        <v>0.18512023441137346</v>
      </c>
      <c r="O3154">
        <v>0.23218806624622565</v>
      </c>
      <c r="P3154">
        <v>0.29393598430073825</v>
      </c>
    </row>
    <row r="3155" spans="13:16">
      <c r="M3155">
        <v>0.27499042420167691</v>
      </c>
      <c r="N3155">
        <v>0.20668852537369686</v>
      </c>
      <c r="O3155">
        <v>0.25212581058319</v>
      </c>
      <c r="P3155">
        <v>0.266195239841436</v>
      </c>
    </row>
    <row r="3156" spans="13:16">
      <c r="M3156">
        <v>0.30022108623517224</v>
      </c>
      <c r="N3156">
        <v>0.19463615401368406</v>
      </c>
      <c r="O3156">
        <v>0.23996917940302517</v>
      </c>
      <c r="P3156">
        <v>0.26517358034811866</v>
      </c>
    </row>
    <row r="3157" spans="13:16">
      <c r="M3157">
        <v>0.29265352951266121</v>
      </c>
      <c r="N3157">
        <v>0.18458535904545401</v>
      </c>
      <c r="O3157">
        <v>0.2643959441933455</v>
      </c>
      <c r="P3157">
        <v>0.25836516724853925</v>
      </c>
    </row>
    <row r="3158" spans="13:16">
      <c r="M3158">
        <v>0.32192099219651937</v>
      </c>
      <c r="N3158">
        <v>0.19000006267923591</v>
      </c>
      <c r="O3158">
        <v>0.23348432542129743</v>
      </c>
      <c r="P3158">
        <v>0.25459461970294728</v>
      </c>
    </row>
    <row r="3159" spans="13:16">
      <c r="M3159">
        <v>0.2905666536534014</v>
      </c>
      <c r="N3159">
        <v>0.19470645841600551</v>
      </c>
      <c r="O3159">
        <v>0.22879960197543125</v>
      </c>
      <c r="P3159">
        <v>0.28592728595516187</v>
      </c>
    </row>
    <row r="3160" spans="13:16">
      <c r="M3160">
        <v>0.27245972739789331</v>
      </c>
      <c r="N3160">
        <v>0.19279678230622796</v>
      </c>
      <c r="O3160">
        <v>0.26815024801577064</v>
      </c>
      <c r="P3160">
        <v>0.26659324228010806</v>
      </c>
    </row>
    <row r="3161" spans="13:16">
      <c r="M3161">
        <v>0.30436135202191705</v>
      </c>
      <c r="N3161">
        <v>0.17620862511732641</v>
      </c>
      <c r="O3161">
        <v>0.27321035069694799</v>
      </c>
      <c r="P3161">
        <v>0.24621967216380844</v>
      </c>
    </row>
    <row r="3162" spans="13:16">
      <c r="M3162">
        <v>0.2855054025704365</v>
      </c>
      <c r="N3162">
        <v>0.1783461974124585</v>
      </c>
      <c r="O3162">
        <v>0.26491947819100692</v>
      </c>
      <c r="P3162">
        <v>0.27122892182609815</v>
      </c>
    </row>
    <row r="3163" spans="13:16">
      <c r="M3163">
        <v>0.26782023338327865</v>
      </c>
      <c r="N3163">
        <v>0.18600670516273748</v>
      </c>
      <c r="O3163">
        <v>0.26709147827508184</v>
      </c>
      <c r="P3163">
        <v>0.27908158317890197</v>
      </c>
    </row>
    <row r="3164" spans="13:16">
      <c r="M3164">
        <v>0.29003809621799337</v>
      </c>
      <c r="N3164">
        <v>0.20830621308175326</v>
      </c>
      <c r="O3164">
        <v>0.21856164827875557</v>
      </c>
      <c r="P3164">
        <v>0.28309404242149777</v>
      </c>
    </row>
    <row r="3165" spans="13:16">
      <c r="M3165">
        <v>0.290622661407831</v>
      </c>
      <c r="N3165">
        <v>0.17246010778606097</v>
      </c>
      <c r="O3165">
        <v>0.2673140362721117</v>
      </c>
      <c r="P3165">
        <v>0.26960319453399639</v>
      </c>
    </row>
    <row r="3166" spans="13:16">
      <c r="M3166">
        <v>0.27578458267125455</v>
      </c>
      <c r="N3166">
        <v>0.20091743500697609</v>
      </c>
      <c r="O3166">
        <v>0.25383360208836975</v>
      </c>
      <c r="P3166">
        <v>0.26946438023339964</v>
      </c>
    </row>
    <row r="3167" spans="13:16">
      <c r="M3167">
        <v>0.26554039537148622</v>
      </c>
      <c r="N3167">
        <v>0.18980241779012808</v>
      </c>
      <c r="O3167">
        <v>0.27974236948044195</v>
      </c>
      <c r="P3167">
        <v>0.26491481735794387</v>
      </c>
    </row>
    <row r="3168" spans="13:16">
      <c r="M3168">
        <v>0.28946217928401263</v>
      </c>
      <c r="N3168">
        <v>0.1758051729224048</v>
      </c>
      <c r="O3168">
        <v>0.284053253276635</v>
      </c>
      <c r="P3168">
        <v>0.25067939451694765</v>
      </c>
    </row>
    <row r="3169" spans="13:16">
      <c r="M3169">
        <v>0.26936527629709167</v>
      </c>
      <c r="N3169">
        <v>0.19582214449930982</v>
      </c>
      <c r="O3169">
        <v>0.28241165267997476</v>
      </c>
      <c r="P3169">
        <v>0.25240092652362373</v>
      </c>
    </row>
    <row r="3170" spans="13:16">
      <c r="M3170">
        <v>0.30812360442543391</v>
      </c>
      <c r="N3170">
        <v>0.19043037248028066</v>
      </c>
      <c r="O3170">
        <v>0.2335022585250448</v>
      </c>
      <c r="P3170">
        <v>0.26794376456924068</v>
      </c>
    </row>
    <row r="3171" spans="13:16">
      <c r="M3171">
        <v>0.31269480370417818</v>
      </c>
      <c r="N3171">
        <v>0.19897222419571822</v>
      </c>
      <c r="O3171">
        <v>0.23828061495585076</v>
      </c>
      <c r="P3171">
        <v>0.25005235714425272</v>
      </c>
    </row>
    <row r="3172" spans="13:16">
      <c r="M3172">
        <v>0.27845883948835615</v>
      </c>
      <c r="N3172">
        <v>0.1826451137210813</v>
      </c>
      <c r="O3172">
        <v>0.2592654430083412</v>
      </c>
      <c r="P3172">
        <v>0.27963060378222132</v>
      </c>
    </row>
    <row r="3173" spans="13:16">
      <c r="M3173">
        <v>0.28494040337906323</v>
      </c>
      <c r="N3173">
        <v>0.19432268399365119</v>
      </c>
      <c r="O3173">
        <v>0.24957734859728506</v>
      </c>
      <c r="P3173">
        <v>0.27115956403000058</v>
      </c>
    </row>
    <row r="3174" spans="13:16">
      <c r="M3174">
        <v>0.28694572113336508</v>
      </c>
      <c r="N3174">
        <v>0.17192059788096403</v>
      </c>
      <c r="O3174">
        <v>0.28456298844597688</v>
      </c>
      <c r="P3174">
        <v>0.25657069253969411</v>
      </c>
    </row>
    <row r="3175" spans="13:16">
      <c r="M3175">
        <v>0.30781548298004591</v>
      </c>
      <c r="N3175">
        <v>0.17758053171732563</v>
      </c>
      <c r="O3175">
        <v>0.27243578273623698</v>
      </c>
      <c r="P3175">
        <v>0.24216820256639157</v>
      </c>
    </row>
    <row r="3176" spans="13:16">
      <c r="M3176">
        <v>0.28226089009199828</v>
      </c>
      <c r="N3176">
        <v>0.21070829783290829</v>
      </c>
      <c r="O3176">
        <v>0.2261251809508118</v>
      </c>
      <c r="P3176">
        <v>0.28090563112428157</v>
      </c>
    </row>
    <row r="3177" spans="13:16">
      <c r="M3177">
        <v>0.28082073423690734</v>
      </c>
      <c r="N3177">
        <v>0.19177649922145965</v>
      </c>
      <c r="O3177">
        <v>0.27743967158609772</v>
      </c>
      <c r="P3177">
        <v>0.24996309495553518</v>
      </c>
    </row>
    <row r="3178" spans="13:16">
      <c r="M3178">
        <v>0.26638080029129529</v>
      </c>
      <c r="N3178">
        <v>0.186057113387013</v>
      </c>
      <c r="O3178">
        <v>0.27563006397508527</v>
      </c>
      <c r="P3178">
        <v>0.27193202234660641</v>
      </c>
    </row>
    <row r="3179" spans="13:16">
      <c r="M3179">
        <v>0.29263161296844964</v>
      </c>
      <c r="N3179">
        <v>0.17583017621349969</v>
      </c>
      <c r="O3179">
        <v>0.25491257598430261</v>
      </c>
      <c r="P3179">
        <v>0.27662563483374802</v>
      </c>
    </row>
    <row r="3180" spans="13:16">
      <c r="M3180">
        <v>0.32306693438743705</v>
      </c>
      <c r="N3180">
        <v>0.17136768700635008</v>
      </c>
      <c r="O3180">
        <v>0.24570583027555368</v>
      </c>
      <c r="P3180">
        <v>0.25985954833065922</v>
      </c>
    </row>
    <row r="3181" spans="13:16">
      <c r="M3181">
        <v>0.2637040120107268</v>
      </c>
      <c r="N3181">
        <v>0.19340219079434581</v>
      </c>
      <c r="O3181">
        <v>0.27135355788100302</v>
      </c>
      <c r="P3181">
        <v>0.2715402393139244</v>
      </c>
    </row>
    <row r="3182" spans="13:16">
      <c r="M3182">
        <v>0.31150927649149296</v>
      </c>
      <c r="N3182">
        <v>0.18731331051247405</v>
      </c>
      <c r="O3182">
        <v>0.24817882080498752</v>
      </c>
      <c r="P3182">
        <v>0.25299859219104553</v>
      </c>
    </row>
    <row r="3183" spans="13:16">
      <c r="M3183">
        <v>0.2912802003811244</v>
      </c>
      <c r="N3183">
        <v>0.1675406629634261</v>
      </c>
      <c r="O3183">
        <v>0.29103499828810803</v>
      </c>
      <c r="P3183">
        <v>0.25014413836734156</v>
      </c>
    </row>
    <row r="3184" spans="13:16">
      <c r="M3184">
        <v>0.29464896566437904</v>
      </c>
      <c r="N3184">
        <v>0.1896764049707535</v>
      </c>
      <c r="O3184">
        <v>0.25458896754823335</v>
      </c>
      <c r="P3184">
        <v>0.26108566181663412</v>
      </c>
    </row>
    <row r="3185" spans="13:16">
      <c r="M3185">
        <v>0.29158288863845688</v>
      </c>
      <c r="N3185">
        <v>0.17437513899958007</v>
      </c>
      <c r="O3185">
        <v>0.27535557760145224</v>
      </c>
      <c r="P3185">
        <v>0.25868639476051081</v>
      </c>
    </row>
    <row r="3186" spans="13:16">
      <c r="M3186">
        <v>0.27790501659659578</v>
      </c>
      <c r="N3186">
        <v>0.17771505198022081</v>
      </c>
      <c r="O3186">
        <v>0.28175010982162152</v>
      </c>
      <c r="P3186">
        <v>0.26262982160156184</v>
      </c>
    </row>
    <row r="3187" spans="13:16">
      <c r="M3187">
        <v>0.2778419323791872</v>
      </c>
      <c r="N3187">
        <v>0.19060107298248363</v>
      </c>
      <c r="O3187">
        <v>0.25227650744493491</v>
      </c>
      <c r="P3187">
        <v>0.27928048719339421</v>
      </c>
    </row>
    <row r="3188" spans="13:16">
      <c r="M3188">
        <v>0.29899086545401782</v>
      </c>
      <c r="N3188">
        <v>0.17853236571470976</v>
      </c>
      <c r="O3188">
        <v>0.2518349173433318</v>
      </c>
      <c r="P3188">
        <v>0.27064185148794062</v>
      </c>
    </row>
    <row r="3189" spans="13:16">
      <c r="M3189">
        <v>0.26512215051173671</v>
      </c>
      <c r="N3189">
        <v>0.1906553995160567</v>
      </c>
      <c r="O3189">
        <v>0.26923960767096056</v>
      </c>
      <c r="P3189">
        <v>0.2749828423012462</v>
      </c>
    </row>
    <row r="3190" spans="13:16">
      <c r="M3190">
        <v>0.3123519529228968</v>
      </c>
      <c r="N3190">
        <v>0.18904895512104333</v>
      </c>
      <c r="O3190">
        <v>0.23957604525363863</v>
      </c>
      <c r="P3190">
        <v>0.25902304670242127</v>
      </c>
    </row>
    <row r="3191" spans="13:16">
      <c r="M3191">
        <v>0.30408009523430074</v>
      </c>
      <c r="N3191">
        <v>0.18207247773683849</v>
      </c>
      <c r="O3191">
        <v>0.25907696563601401</v>
      </c>
      <c r="P3191">
        <v>0.2547704613928467</v>
      </c>
    </row>
    <row r="3192" spans="13:16">
      <c r="M3192">
        <v>0.31062855031358211</v>
      </c>
      <c r="N3192">
        <v>0.15669268705066974</v>
      </c>
      <c r="O3192">
        <v>0.29371692028493801</v>
      </c>
      <c r="P3192">
        <v>0.23896184235081022</v>
      </c>
    </row>
    <row r="3193" spans="13:16">
      <c r="M3193">
        <v>0.32669110109253824</v>
      </c>
      <c r="N3193">
        <v>0.17764765739072458</v>
      </c>
      <c r="O3193">
        <v>0.24875298349645261</v>
      </c>
      <c r="P3193">
        <v>0.2469082580202846</v>
      </c>
    </row>
    <row r="3194" spans="13:16">
      <c r="M3194">
        <v>0.3106462550774573</v>
      </c>
      <c r="N3194">
        <v>0.18174781267401086</v>
      </c>
      <c r="O3194">
        <v>0.25109768932637672</v>
      </c>
      <c r="P3194">
        <v>0.25650824292215513</v>
      </c>
    </row>
    <row r="3195" spans="13:16">
      <c r="M3195">
        <v>0.29211271791963161</v>
      </c>
      <c r="N3195">
        <v>0.18844683027617759</v>
      </c>
      <c r="O3195">
        <v>0.2517699237786768</v>
      </c>
      <c r="P3195">
        <v>0.267670528025514</v>
      </c>
    </row>
    <row r="3196" spans="13:16">
      <c r="M3196">
        <v>0.31371730480016424</v>
      </c>
      <c r="N3196">
        <v>0.16424669058120578</v>
      </c>
      <c r="O3196">
        <v>0.27544104548037429</v>
      </c>
      <c r="P3196">
        <v>0.24659495913825569</v>
      </c>
    </row>
    <row r="3197" spans="13:16">
      <c r="M3197">
        <v>0.27316986882505573</v>
      </c>
      <c r="N3197">
        <v>0.20114644707062954</v>
      </c>
      <c r="O3197">
        <v>0.25454215512518985</v>
      </c>
      <c r="P3197">
        <v>0.27114152897912497</v>
      </c>
    </row>
    <row r="3198" spans="13:16">
      <c r="M3198">
        <v>0.32365070891085662</v>
      </c>
      <c r="N3198">
        <v>0.17745079240693895</v>
      </c>
      <c r="O3198">
        <v>0.24732616629737095</v>
      </c>
      <c r="P3198">
        <v>0.25157233238483356</v>
      </c>
    </row>
    <row r="3199" spans="13:16">
      <c r="M3199">
        <v>0.29998420299449791</v>
      </c>
      <c r="N3199">
        <v>0.17907644298246383</v>
      </c>
      <c r="O3199">
        <v>0.26873419603122295</v>
      </c>
      <c r="P3199">
        <v>0.25220515799181525</v>
      </c>
    </row>
    <row r="3200" spans="13:16">
      <c r="M3200">
        <v>0.30113316649296618</v>
      </c>
      <c r="N3200">
        <v>0.19412718355286587</v>
      </c>
      <c r="O3200">
        <v>0.22995181679454904</v>
      </c>
      <c r="P3200">
        <v>0.27478783315961874</v>
      </c>
    </row>
    <row r="3201" spans="13:16">
      <c r="M3201">
        <v>0.29426923263210036</v>
      </c>
      <c r="N3201">
        <v>0.20200539250239069</v>
      </c>
      <c r="O3201">
        <v>0.2409572078814344</v>
      </c>
      <c r="P3201">
        <v>0.26276816698407451</v>
      </c>
    </row>
    <row r="3202" spans="13:16">
      <c r="M3202">
        <v>0.27507734631061581</v>
      </c>
      <c r="N3202">
        <v>0.17985895404300195</v>
      </c>
      <c r="O3202">
        <v>0.2863563038324739</v>
      </c>
      <c r="P3202">
        <v>0.25870739581390834</v>
      </c>
    </row>
    <row r="3203" spans="13:16">
      <c r="M3203">
        <v>0.32513898800004715</v>
      </c>
      <c r="N3203">
        <v>0.18833343592902213</v>
      </c>
      <c r="O3203">
        <v>0.21932046017960324</v>
      </c>
      <c r="P3203">
        <v>0.26720711589132756</v>
      </c>
    </row>
    <row r="3204" spans="13:16">
      <c r="M3204">
        <v>0.34058565459216833</v>
      </c>
      <c r="N3204">
        <v>0.16220020457683387</v>
      </c>
      <c r="O3204">
        <v>0.24572248611056399</v>
      </c>
      <c r="P3204">
        <v>0.25149165472043378</v>
      </c>
    </row>
    <row r="3205" spans="13:16">
      <c r="M3205">
        <v>0.30545817940551523</v>
      </c>
      <c r="N3205">
        <v>0.19185505524094618</v>
      </c>
      <c r="O3205">
        <v>0.23041710597497753</v>
      </c>
      <c r="P3205">
        <v>0.27226965937856101</v>
      </c>
    </row>
    <row r="3206" spans="13:16">
      <c r="M3206">
        <v>0.29361598812724499</v>
      </c>
      <c r="N3206">
        <v>0.20027374193252817</v>
      </c>
      <c r="O3206">
        <v>0.25249654674341621</v>
      </c>
      <c r="P3206">
        <v>0.25361372319681064</v>
      </c>
    </row>
    <row r="3207" spans="13:16">
      <c r="M3207">
        <v>0.31623416103337881</v>
      </c>
      <c r="N3207">
        <v>0.18004636368581031</v>
      </c>
      <c r="O3207">
        <v>0.25062410760987863</v>
      </c>
      <c r="P3207">
        <v>0.25309536767093227</v>
      </c>
    </row>
    <row r="3208" spans="13:16">
      <c r="M3208">
        <v>0.28559287282685991</v>
      </c>
      <c r="N3208">
        <v>0.18414776265283844</v>
      </c>
      <c r="O3208">
        <v>0.28153095636297915</v>
      </c>
      <c r="P3208">
        <v>0.2487284081573225</v>
      </c>
    </row>
    <row r="3209" spans="13:16">
      <c r="M3209">
        <v>0.29462846006599291</v>
      </c>
      <c r="N3209">
        <v>0.16615246153720395</v>
      </c>
      <c r="O3209">
        <v>0.29777868240591132</v>
      </c>
      <c r="P3209">
        <v>0.24144039599089179</v>
      </c>
    </row>
    <row r="3210" spans="13:16">
      <c r="M3210">
        <v>0.29993524868560412</v>
      </c>
      <c r="N3210">
        <v>0.17600898141959645</v>
      </c>
      <c r="O3210">
        <v>0.26687347592987271</v>
      </c>
      <c r="P3210">
        <v>0.25718229396492664</v>
      </c>
    </row>
    <row r="3211" spans="13:16">
      <c r="M3211">
        <v>0.30116246313170264</v>
      </c>
      <c r="N3211">
        <v>0.16972316958166012</v>
      </c>
      <c r="O3211">
        <v>0.27793137557632391</v>
      </c>
      <c r="P3211">
        <v>0.25118299171031339</v>
      </c>
    </row>
    <row r="3212" spans="13:16">
      <c r="M3212">
        <v>0.26790750450220624</v>
      </c>
      <c r="N3212">
        <v>0.18273183189489872</v>
      </c>
      <c r="O3212">
        <v>0.2858212368891222</v>
      </c>
      <c r="P3212">
        <v>0.26353942671377295</v>
      </c>
    </row>
    <row r="3213" spans="13:16">
      <c r="M3213">
        <v>0.29532321017333851</v>
      </c>
      <c r="N3213">
        <v>0.19546256147704602</v>
      </c>
      <c r="O3213">
        <v>0.23484701991394988</v>
      </c>
      <c r="P3213">
        <v>0.27436720843566553</v>
      </c>
    </row>
    <row r="3214" spans="13:16">
      <c r="M3214">
        <v>0.30517981820232243</v>
      </c>
      <c r="N3214">
        <v>0.17993265272273251</v>
      </c>
      <c r="O3214">
        <v>0.25117008356861525</v>
      </c>
      <c r="P3214">
        <v>0.26371744550632992</v>
      </c>
    </row>
    <row r="3215" spans="13:16">
      <c r="M3215">
        <v>0.30644251931973371</v>
      </c>
      <c r="N3215">
        <v>0.16293617909693633</v>
      </c>
      <c r="O3215">
        <v>0.29653143425772066</v>
      </c>
      <c r="P3215">
        <v>0.2340898673256093</v>
      </c>
    </row>
    <row r="3216" spans="13:16">
      <c r="M3216">
        <v>0.31094033646202124</v>
      </c>
      <c r="N3216">
        <v>0.17413245286632026</v>
      </c>
      <c r="O3216">
        <v>0.24910975605314004</v>
      </c>
      <c r="P3216">
        <v>0.26581745461851852</v>
      </c>
    </row>
    <row r="3217" spans="13:16">
      <c r="M3217">
        <v>0.30181453120904811</v>
      </c>
      <c r="N3217">
        <v>0.17647968288348306</v>
      </c>
      <c r="O3217">
        <v>0.24976350370138961</v>
      </c>
      <c r="P3217">
        <v>0.27194228220607924</v>
      </c>
    </row>
    <row r="3218" spans="13:16">
      <c r="M3218">
        <v>0.30027239627376018</v>
      </c>
      <c r="N3218">
        <v>0.18368600951106809</v>
      </c>
      <c r="O3218">
        <v>0.26691849864130524</v>
      </c>
      <c r="P3218">
        <v>0.24912309557386647</v>
      </c>
    </row>
    <row r="3219" spans="13:16">
      <c r="M3219">
        <v>0.29827793043398304</v>
      </c>
      <c r="N3219">
        <v>0.17583791218963429</v>
      </c>
      <c r="O3219">
        <v>0.27250370063960644</v>
      </c>
      <c r="P3219">
        <v>0.25338045673677628</v>
      </c>
    </row>
    <row r="3220" spans="13:16">
      <c r="M3220">
        <v>0.29705418940938649</v>
      </c>
      <c r="N3220">
        <v>0.1854100362698238</v>
      </c>
      <c r="O3220">
        <v>0.25620356028319968</v>
      </c>
      <c r="P3220">
        <v>0.26133221403759005</v>
      </c>
    </row>
    <row r="3221" spans="13:16">
      <c r="M3221">
        <v>0.31864975043783667</v>
      </c>
      <c r="N3221">
        <v>0.18542965798678313</v>
      </c>
      <c r="O3221">
        <v>0.2308100928036162</v>
      </c>
      <c r="P3221">
        <v>0.26511049877176401</v>
      </c>
    </row>
    <row r="3222" spans="13:16">
      <c r="M3222">
        <v>0.27555412223979159</v>
      </c>
      <c r="N3222">
        <v>0.17766509712154718</v>
      </c>
      <c r="O3222">
        <v>0.29872444005951088</v>
      </c>
      <c r="P3222">
        <v>0.24805634057915033</v>
      </c>
    </row>
    <row r="3223" spans="13:16">
      <c r="M3223">
        <v>0.28919567163460941</v>
      </c>
      <c r="N3223">
        <v>0.19380823707770631</v>
      </c>
      <c r="O3223">
        <v>0.23525287154329158</v>
      </c>
      <c r="P3223">
        <v>0.28174321974439265</v>
      </c>
    </row>
    <row r="3224" spans="13:16">
      <c r="M3224">
        <v>0.32119835586614442</v>
      </c>
      <c r="N3224">
        <v>0.18207762823350734</v>
      </c>
      <c r="O3224">
        <v>0.24032655686435805</v>
      </c>
      <c r="P3224">
        <v>0.25639745903599021</v>
      </c>
    </row>
    <row r="3225" spans="13:16">
      <c r="M3225">
        <v>0.27126071699326043</v>
      </c>
      <c r="N3225">
        <v>0.2068181226668917</v>
      </c>
      <c r="O3225">
        <v>0.25058947281685501</v>
      </c>
      <c r="P3225">
        <v>0.27133168752299303</v>
      </c>
    </row>
    <row r="3226" spans="13:16">
      <c r="M3226">
        <v>0.2809554366731325</v>
      </c>
      <c r="N3226">
        <v>0.2174063047003558</v>
      </c>
      <c r="O3226">
        <v>0.22809360753713023</v>
      </c>
      <c r="P3226">
        <v>0.27354465108938153</v>
      </c>
    </row>
    <row r="3227" spans="13:16">
      <c r="M3227">
        <v>0.28682738175351324</v>
      </c>
      <c r="N3227">
        <v>0.1688487116950744</v>
      </c>
      <c r="O3227">
        <v>0.28251993464109698</v>
      </c>
      <c r="P3227">
        <v>0.2618039719103154</v>
      </c>
    </row>
    <row r="3228" spans="13:16">
      <c r="M3228">
        <v>0.28869448081977833</v>
      </c>
      <c r="N3228">
        <v>0.16888953960088132</v>
      </c>
      <c r="O3228">
        <v>0.28810178765340311</v>
      </c>
      <c r="P3228">
        <v>0.25431419192593724</v>
      </c>
    </row>
    <row r="3229" spans="13:16">
      <c r="M3229">
        <v>0.27177279427715595</v>
      </c>
      <c r="N3229">
        <v>0.18269747897253955</v>
      </c>
      <c r="O3229">
        <v>0.29530574923675751</v>
      </c>
      <c r="P3229">
        <v>0.25022397751354697</v>
      </c>
    </row>
    <row r="3230" spans="13:16">
      <c r="M3230">
        <v>0.2755641351008416</v>
      </c>
      <c r="N3230">
        <v>0.18603517123254154</v>
      </c>
      <c r="O3230">
        <v>0.28181029977709521</v>
      </c>
      <c r="P3230">
        <v>0.2565903938895216</v>
      </c>
    </row>
    <row r="3231" spans="13:16">
      <c r="M3231">
        <v>0.31026097546273013</v>
      </c>
      <c r="N3231">
        <v>0.18516396060607385</v>
      </c>
      <c r="O3231">
        <v>0.25220059074717177</v>
      </c>
      <c r="P3231">
        <v>0.25237447318402423</v>
      </c>
    </row>
    <row r="3232" spans="13:16">
      <c r="M3232">
        <v>0.31150323933745172</v>
      </c>
      <c r="N3232">
        <v>0.17065852076684945</v>
      </c>
      <c r="O3232">
        <v>0.26102756369059521</v>
      </c>
      <c r="P3232">
        <v>0.25681067620510373</v>
      </c>
    </row>
    <row r="3233" spans="13:16">
      <c r="M3233">
        <v>0.2850231684822187</v>
      </c>
      <c r="N3233">
        <v>0.19636687236054301</v>
      </c>
      <c r="O3233">
        <v>0.25931794282108689</v>
      </c>
      <c r="P3233">
        <v>0.25929201633615145</v>
      </c>
    </row>
    <row r="3234" spans="13:16">
      <c r="M3234">
        <v>0.30236543854619446</v>
      </c>
      <c r="N3234">
        <v>0.18603523221846879</v>
      </c>
      <c r="O3234">
        <v>0.23497336907180169</v>
      </c>
      <c r="P3234">
        <v>0.27662596016353502</v>
      </c>
    </row>
    <row r="3235" spans="13:16">
      <c r="M3235">
        <v>0.3134946321391337</v>
      </c>
      <c r="N3235">
        <v>0.16799755680075368</v>
      </c>
      <c r="O3235">
        <v>0.27466684685137865</v>
      </c>
      <c r="P3235">
        <v>0.24384096420873402</v>
      </c>
    </row>
    <row r="3236" spans="13:16">
      <c r="M3236">
        <v>0.27226413879516975</v>
      </c>
      <c r="N3236">
        <v>0.19289728424551955</v>
      </c>
      <c r="O3236">
        <v>0.27018033387667695</v>
      </c>
      <c r="P3236">
        <v>0.2646582430826338</v>
      </c>
    </row>
    <row r="3237" spans="13:16">
      <c r="M3237">
        <v>0.3087814397211972</v>
      </c>
      <c r="N3237">
        <v>0.1973952293186606</v>
      </c>
      <c r="O3237">
        <v>0.22994913638647838</v>
      </c>
      <c r="P3237">
        <v>0.26387419457366385</v>
      </c>
    </row>
    <row r="3238" spans="13:16">
      <c r="M3238">
        <v>0.32422446882602496</v>
      </c>
      <c r="N3238">
        <v>0.17274370764415981</v>
      </c>
      <c r="O3238">
        <v>0.25393537813016082</v>
      </c>
      <c r="P3238">
        <v>0.24909644539965453</v>
      </c>
    </row>
    <row r="3239" spans="13:16">
      <c r="M3239">
        <v>0.26270853905356328</v>
      </c>
      <c r="N3239">
        <v>0.18747208568938784</v>
      </c>
      <c r="O3239">
        <v>0.29071270337688632</v>
      </c>
      <c r="P3239">
        <v>0.25910667188016245</v>
      </c>
    </row>
    <row r="3240" spans="13:16">
      <c r="M3240">
        <v>0.29764123520689223</v>
      </c>
      <c r="N3240">
        <v>0.18197996224584809</v>
      </c>
      <c r="O3240">
        <v>0.25770199152378559</v>
      </c>
      <c r="P3240">
        <v>0.26267681102347412</v>
      </c>
    </row>
    <row r="3241" spans="13:16">
      <c r="M3241">
        <v>0.28473384407007896</v>
      </c>
      <c r="N3241">
        <v>0.18573117575891671</v>
      </c>
      <c r="O3241">
        <v>0.25683789993930412</v>
      </c>
      <c r="P3241">
        <v>0.27269708023170031</v>
      </c>
    </row>
    <row r="3242" spans="13:16">
      <c r="M3242">
        <v>0.30196385902625944</v>
      </c>
      <c r="N3242">
        <v>0.18020771130572058</v>
      </c>
      <c r="O3242">
        <v>0.24218521839384557</v>
      </c>
      <c r="P3242">
        <v>0.27564321127417452</v>
      </c>
    </row>
    <row r="3243" spans="13:16">
      <c r="M3243">
        <v>0.28315387452945373</v>
      </c>
      <c r="N3243">
        <v>0.17106227410521277</v>
      </c>
      <c r="O3243">
        <v>0.30189823090012574</v>
      </c>
      <c r="P3243">
        <v>0.24388562046520776</v>
      </c>
    </row>
    <row r="3244" spans="13:16">
      <c r="M3244">
        <v>0.32576297633139895</v>
      </c>
      <c r="N3244">
        <v>0.16492948977018454</v>
      </c>
      <c r="O3244">
        <v>0.2609637130244773</v>
      </c>
      <c r="P3244">
        <v>0.24834382087393933</v>
      </c>
    </row>
    <row r="3245" spans="13:16">
      <c r="M3245">
        <v>0.26321931129494724</v>
      </c>
      <c r="N3245">
        <v>0.19993454551348316</v>
      </c>
      <c r="O3245">
        <v>0.26549182038744634</v>
      </c>
      <c r="P3245">
        <v>0.2713543228041233</v>
      </c>
    </row>
    <row r="3246" spans="13:16">
      <c r="M3246">
        <v>0.30755690231322219</v>
      </c>
      <c r="N3246">
        <v>0.17854700641957794</v>
      </c>
      <c r="O3246">
        <v>0.24566410441071682</v>
      </c>
      <c r="P3246">
        <v>0.26823198685648308</v>
      </c>
    </row>
    <row r="3247" spans="13:16">
      <c r="M3247">
        <v>0.31057556450748192</v>
      </c>
      <c r="N3247">
        <v>0.18293011714868565</v>
      </c>
      <c r="O3247">
        <v>0.23986967499289286</v>
      </c>
      <c r="P3247">
        <v>0.26662464335093944</v>
      </c>
    </row>
    <row r="3248" spans="13:16">
      <c r="M3248">
        <v>0.27017092870976067</v>
      </c>
      <c r="N3248">
        <v>0.19174917282072401</v>
      </c>
      <c r="O3248">
        <v>0.27600622157230836</v>
      </c>
      <c r="P3248">
        <v>0.26207367689720679</v>
      </c>
    </row>
    <row r="3249" spans="13:16">
      <c r="M3249">
        <v>0.31952666072368907</v>
      </c>
      <c r="N3249">
        <v>0.18140618042335324</v>
      </c>
      <c r="O3249">
        <v>0.24291086457497529</v>
      </c>
      <c r="P3249">
        <v>0.25615629427798237</v>
      </c>
    </row>
    <row r="3250" spans="13:16">
      <c r="M3250">
        <v>0.28678275608270087</v>
      </c>
      <c r="N3250">
        <v>0.19987398258404734</v>
      </c>
      <c r="O3250">
        <v>0.23226938829229948</v>
      </c>
      <c r="P3250">
        <v>0.28107387304095244</v>
      </c>
    </row>
    <row r="3251" spans="13:16">
      <c r="M3251">
        <v>0.32130955513484988</v>
      </c>
      <c r="N3251">
        <v>0.18218157424715448</v>
      </c>
      <c r="O3251">
        <v>0.23962891962978011</v>
      </c>
      <c r="P3251">
        <v>0.25687995098821553</v>
      </c>
    </row>
    <row r="3252" spans="13:16">
      <c r="M3252">
        <v>0.27515133627899813</v>
      </c>
      <c r="N3252">
        <v>0.19070493345285949</v>
      </c>
      <c r="O3252">
        <v>0.26867856763991588</v>
      </c>
      <c r="P3252">
        <v>0.2654651626282265</v>
      </c>
    </row>
    <row r="3253" spans="13:16">
      <c r="M3253">
        <v>0.28417942209704083</v>
      </c>
      <c r="N3253">
        <v>0.19288158370882391</v>
      </c>
      <c r="O3253">
        <v>0.22961284283949876</v>
      </c>
      <c r="P3253">
        <v>0.29332615135463658</v>
      </c>
    </row>
    <row r="3254" spans="13:16">
      <c r="M3254">
        <v>0.30048635541422997</v>
      </c>
      <c r="N3254">
        <v>0.18178724652411782</v>
      </c>
      <c r="O3254">
        <v>0.24861249512230807</v>
      </c>
      <c r="P3254">
        <v>0.26911390293934417</v>
      </c>
    </row>
    <row r="3255" spans="13:16">
      <c r="M3255">
        <v>0.30652865720800548</v>
      </c>
      <c r="N3255">
        <v>0.17488780110710767</v>
      </c>
      <c r="O3255">
        <v>0.2826882013415512</v>
      </c>
      <c r="P3255">
        <v>0.23589534034333565</v>
      </c>
    </row>
    <row r="3256" spans="13:16">
      <c r="M3256">
        <v>0.33116177291969445</v>
      </c>
      <c r="N3256">
        <v>0.18365599373982025</v>
      </c>
      <c r="O3256">
        <v>0.21473421297504783</v>
      </c>
      <c r="P3256">
        <v>0.27044802036543747</v>
      </c>
    </row>
    <row r="3257" spans="13:16">
      <c r="M3257">
        <v>0.28903772250101556</v>
      </c>
      <c r="N3257">
        <v>0.175754292127933</v>
      </c>
      <c r="O3257">
        <v>0.27889950623723281</v>
      </c>
      <c r="P3257">
        <v>0.2563084791338186</v>
      </c>
    </row>
    <row r="3258" spans="13:16">
      <c r="M3258">
        <v>0.29696366551106812</v>
      </c>
      <c r="N3258">
        <v>0.18571296315425656</v>
      </c>
      <c r="O3258">
        <v>0.24340496114390658</v>
      </c>
      <c r="P3258">
        <v>0.27391841019076879</v>
      </c>
    </row>
    <row r="3259" spans="13:16">
      <c r="M3259">
        <v>0.28796482796073369</v>
      </c>
      <c r="N3259">
        <v>0.21107232640092086</v>
      </c>
      <c r="O3259">
        <v>0.21572569560585247</v>
      </c>
      <c r="P3259">
        <v>0.28523715003249306</v>
      </c>
    </row>
    <row r="3260" spans="13:16">
      <c r="M3260">
        <v>0.25756396854080821</v>
      </c>
      <c r="N3260">
        <v>0.1840698662764188</v>
      </c>
      <c r="O3260">
        <v>0.28976384122731114</v>
      </c>
      <c r="P3260">
        <v>0.26860232395546191</v>
      </c>
    </row>
    <row r="3261" spans="13:16">
      <c r="M3261">
        <v>0.27097337590293707</v>
      </c>
      <c r="N3261">
        <v>0.19399677585059347</v>
      </c>
      <c r="O3261">
        <v>0.24465078960387251</v>
      </c>
      <c r="P3261">
        <v>0.29037905864259689</v>
      </c>
    </row>
    <row r="3262" spans="13:16">
      <c r="M3262">
        <v>0.28699831411912752</v>
      </c>
      <c r="N3262">
        <v>0.18565513722209928</v>
      </c>
      <c r="O3262">
        <v>0.24553142361312613</v>
      </c>
      <c r="P3262">
        <v>0.2818151250456471</v>
      </c>
    </row>
    <row r="3263" spans="13:16">
      <c r="M3263">
        <v>0.28592542134201571</v>
      </c>
      <c r="N3263">
        <v>0.18834869135242757</v>
      </c>
      <c r="O3263">
        <v>0.24893536798673935</v>
      </c>
      <c r="P3263">
        <v>0.27679051931881749</v>
      </c>
    </row>
    <row r="3264" spans="13:16">
      <c r="M3264">
        <v>0.30151775232818195</v>
      </c>
      <c r="N3264">
        <v>0.17491695735076279</v>
      </c>
      <c r="O3264">
        <v>0.27146264504770273</v>
      </c>
      <c r="P3264">
        <v>0.25210264527335252</v>
      </c>
    </row>
    <row r="3265" spans="13:16">
      <c r="M3265">
        <v>0.30403169088715759</v>
      </c>
      <c r="N3265">
        <v>0.1852002607608923</v>
      </c>
      <c r="O3265">
        <v>0.25005503045866073</v>
      </c>
      <c r="P3265">
        <v>0.26071301789328938</v>
      </c>
    </row>
    <row r="3266" spans="13:16">
      <c r="M3266">
        <v>0.3012942009328613</v>
      </c>
      <c r="N3266">
        <v>0.17682388146215586</v>
      </c>
      <c r="O3266">
        <v>0.25551983567869757</v>
      </c>
      <c r="P3266">
        <v>0.26636208192628519</v>
      </c>
    </row>
    <row r="3267" spans="13:16">
      <c r="M3267">
        <v>0.27757360823995614</v>
      </c>
      <c r="N3267">
        <v>0.20133540764709032</v>
      </c>
      <c r="O3267">
        <v>0.2431059385350513</v>
      </c>
      <c r="P3267">
        <v>0.27798504557790227</v>
      </c>
    </row>
    <row r="3268" spans="13:16">
      <c r="M3268">
        <v>0.28899025068268758</v>
      </c>
      <c r="N3268">
        <v>0.17853731629395206</v>
      </c>
      <c r="O3268">
        <v>0.26363085557041777</v>
      </c>
      <c r="P3268">
        <v>0.26884157745294252</v>
      </c>
    </row>
    <row r="3269" spans="13:16">
      <c r="M3269">
        <v>0.28923588032068465</v>
      </c>
      <c r="N3269">
        <v>0.16682906153945959</v>
      </c>
      <c r="O3269">
        <v>0.30298352867083739</v>
      </c>
      <c r="P3269">
        <v>0.24095152946901835</v>
      </c>
    </row>
    <row r="3270" spans="13:16">
      <c r="M3270">
        <v>0.3036164399096653</v>
      </c>
      <c r="N3270">
        <v>0.18733863085261504</v>
      </c>
      <c r="O3270">
        <v>0.24569387384056579</v>
      </c>
      <c r="P3270">
        <v>0.26335105539715387</v>
      </c>
    </row>
    <row r="3271" spans="13:16">
      <c r="M3271">
        <v>0.28822725975705077</v>
      </c>
      <c r="N3271">
        <v>0.1869897348925332</v>
      </c>
      <c r="O3271">
        <v>0.27023981693767257</v>
      </c>
      <c r="P3271">
        <v>0.25454318841274348</v>
      </c>
    </row>
    <row r="3272" spans="13:16">
      <c r="M3272">
        <v>0.3066336423689906</v>
      </c>
      <c r="N3272">
        <v>0.17636738048244058</v>
      </c>
      <c r="O3272">
        <v>0.24644832558382282</v>
      </c>
      <c r="P3272">
        <v>0.27055065156474589</v>
      </c>
    </row>
    <row r="3273" spans="13:16">
      <c r="M3273">
        <v>0.29635935051774076</v>
      </c>
      <c r="N3273">
        <v>0.19981884873780262</v>
      </c>
      <c r="O3273">
        <v>0.24710469682037881</v>
      </c>
      <c r="P3273">
        <v>0.25671710392407787</v>
      </c>
    </row>
    <row r="3274" spans="13:16">
      <c r="M3274">
        <v>0.27941656909942303</v>
      </c>
      <c r="N3274">
        <v>0.18453354560900204</v>
      </c>
      <c r="O3274">
        <v>0.26113547995454567</v>
      </c>
      <c r="P3274">
        <v>0.27491440533702932</v>
      </c>
    </row>
    <row r="3275" spans="13:16">
      <c r="M3275">
        <v>0.30772136155869595</v>
      </c>
      <c r="N3275">
        <v>0.19275849967955716</v>
      </c>
      <c r="O3275">
        <v>0.22667429454379426</v>
      </c>
      <c r="P3275">
        <v>0.2728458442179526</v>
      </c>
    </row>
    <row r="3276" spans="13:16">
      <c r="M3276">
        <v>0.30505149562371325</v>
      </c>
      <c r="N3276">
        <v>0.17190262710520929</v>
      </c>
      <c r="O3276">
        <v>0.27282743513889518</v>
      </c>
      <c r="P3276">
        <v>0.25021844213218219</v>
      </c>
    </row>
    <row r="3277" spans="13:16">
      <c r="M3277">
        <v>0.2800481262487105</v>
      </c>
      <c r="N3277">
        <v>0.19316571638258032</v>
      </c>
      <c r="O3277">
        <v>0.25692816950717079</v>
      </c>
      <c r="P3277">
        <v>0.26985798786153842</v>
      </c>
    </row>
    <row r="3278" spans="13:16">
      <c r="M3278">
        <v>0.2729527205150945</v>
      </c>
      <c r="N3278">
        <v>0.20475038354899835</v>
      </c>
      <c r="O3278">
        <v>0.25803733852590455</v>
      </c>
      <c r="P3278">
        <v>0.26425955741000257</v>
      </c>
    </row>
    <row r="3279" spans="13:16">
      <c r="M3279">
        <v>0.29935434561598817</v>
      </c>
      <c r="N3279">
        <v>0.1823897589125133</v>
      </c>
      <c r="O3279">
        <v>0.263285912889208</v>
      </c>
      <c r="P3279">
        <v>0.2549699825822907</v>
      </c>
    </row>
    <row r="3280" spans="13:16">
      <c r="M3280">
        <v>0.28730468988553781</v>
      </c>
      <c r="N3280">
        <v>0.19644986759147084</v>
      </c>
      <c r="O3280">
        <v>0.22914827915760802</v>
      </c>
      <c r="P3280">
        <v>0.28709716336538338</v>
      </c>
    </row>
    <row r="3281" spans="13:16">
      <c r="M3281">
        <v>0.30689553794851449</v>
      </c>
      <c r="N3281">
        <v>0.18828408313478176</v>
      </c>
      <c r="O3281">
        <v>0.25348342493849713</v>
      </c>
      <c r="P3281">
        <v>0.25133695397820671</v>
      </c>
    </row>
    <row r="3282" spans="13:16">
      <c r="M3282">
        <v>0.3174518233039601</v>
      </c>
      <c r="N3282">
        <v>0.18680285466703167</v>
      </c>
      <c r="O3282">
        <v>0.21815084113052607</v>
      </c>
      <c r="P3282">
        <v>0.2775944808984821</v>
      </c>
    </row>
    <row r="3283" spans="13:16">
      <c r="M3283">
        <v>0.28638586781278597</v>
      </c>
      <c r="N3283">
        <v>0.17811669656532522</v>
      </c>
      <c r="O3283">
        <v>0.27322082817482019</v>
      </c>
      <c r="P3283">
        <v>0.2622766074470686</v>
      </c>
    </row>
    <row r="3284" spans="13:16">
      <c r="M3284">
        <v>0.30382176192018862</v>
      </c>
      <c r="N3284">
        <v>0.19640414392139663</v>
      </c>
      <c r="O3284">
        <v>0.24527763145206505</v>
      </c>
      <c r="P3284">
        <v>0.25449646270634968</v>
      </c>
    </row>
    <row r="3285" spans="13:16">
      <c r="M3285">
        <v>0.27620176465816748</v>
      </c>
      <c r="N3285">
        <v>0.18232481660069741</v>
      </c>
      <c r="O3285">
        <v>0.26435203747884056</v>
      </c>
      <c r="P3285">
        <v>0.27712138126229463</v>
      </c>
    </row>
    <row r="3286" spans="13:16">
      <c r="M3286">
        <v>0.28841376898183485</v>
      </c>
      <c r="N3286">
        <v>0.19228075917819265</v>
      </c>
      <c r="O3286">
        <v>0.26723005434455122</v>
      </c>
      <c r="P3286">
        <v>0.25207541749542117</v>
      </c>
    </row>
    <row r="3287" spans="13:16">
      <c r="M3287">
        <v>0.28611311231447883</v>
      </c>
      <c r="N3287">
        <v>0.17552303228622332</v>
      </c>
      <c r="O3287">
        <v>0.27533136128772545</v>
      </c>
      <c r="P3287">
        <v>0.26303249411157231</v>
      </c>
    </row>
    <row r="3288" spans="13:16">
      <c r="M3288">
        <v>0.30892462202285126</v>
      </c>
      <c r="N3288">
        <v>0.19712386321839112</v>
      </c>
      <c r="O3288">
        <v>0.23774962454516671</v>
      </c>
      <c r="P3288">
        <v>0.25620189021359102</v>
      </c>
    </row>
    <row r="3289" spans="13:16">
      <c r="M3289">
        <v>0.30948991273152759</v>
      </c>
      <c r="N3289">
        <v>0.16896304239951185</v>
      </c>
      <c r="O3289">
        <v>0.26105590414378399</v>
      </c>
      <c r="P3289">
        <v>0.26049114072517665</v>
      </c>
    </row>
    <row r="3290" spans="13:16">
      <c r="M3290">
        <v>0.2834843169362895</v>
      </c>
      <c r="N3290">
        <v>0.18716829854969899</v>
      </c>
      <c r="O3290">
        <v>0.26283179559940895</v>
      </c>
      <c r="P3290">
        <v>0.26651558891460253</v>
      </c>
    </row>
    <row r="3291" spans="13:16">
      <c r="M3291">
        <v>0.28773048150257918</v>
      </c>
      <c r="N3291">
        <v>0.17962392239524524</v>
      </c>
      <c r="O3291">
        <v>0.2549824684917128</v>
      </c>
      <c r="P3291">
        <v>0.27766312761046275</v>
      </c>
    </row>
    <row r="3292" spans="13:16">
      <c r="M3292">
        <v>0.31418026744428473</v>
      </c>
      <c r="N3292">
        <v>0.18105488942640993</v>
      </c>
      <c r="O3292">
        <v>0.2373361409618808</v>
      </c>
      <c r="P3292">
        <v>0.26742870216742459</v>
      </c>
    </row>
    <row r="3293" spans="13:16">
      <c r="M3293">
        <v>0.29909113351968009</v>
      </c>
      <c r="N3293">
        <v>0.18020851419122139</v>
      </c>
      <c r="O3293">
        <v>0.26564326706216229</v>
      </c>
      <c r="P3293">
        <v>0.2550570852269361</v>
      </c>
    </row>
    <row r="3294" spans="13:16">
      <c r="M3294">
        <v>0.28082001740612705</v>
      </c>
      <c r="N3294">
        <v>0.17755218613082427</v>
      </c>
      <c r="O3294">
        <v>0.29801627100004474</v>
      </c>
      <c r="P3294">
        <v>0.24361152546300396</v>
      </c>
    </row>
    <row r="3295" spans="13:16">
      <c r="M3295">
        <v>0.28661282441289998</v>
      </c>
      <c r="N3295">
        <v>0.19031674734609727</v>
      </c>
      <c r="O3295">
        <v>0.27694832218259302</v>
      </c>
      <c r="P3295">
        <v>0.2461221060584097</v>
      </c>
    </row>
    <row r="3296" spans="13:16">
      <c r="M3296">
        <v>0.30843857441753947</v>
      </c>
      <c r="N3296">
        <v>0.1578778260049836</v>
      </c>
      <c r="O3296">
        <v>0.29596058415210685</v>
      </c>
      <c r="P3296">
        <v>0.23772301542536994</v>
      </c>
    </row>
    <row r="3297" spans="13:16">
      <c r="M3297">
        <v>0.29548575119269876</v>
      </c>
      <c r="N3297">
        <v>0.18475322618059628</v>
      </c>
      <c r="O3297">
        <v>0.23838919203869469</v>
      </c>
      <c r="P3297">
        <v>0.28137183058801019</v>
      </c>
    </row>
    <row r="3298" spans="13:16">
      <c r="M3298">
        <v>0.29411789515732367</v>
      </c>
      <c r="N3298">
        <v>0.18935822996749024</v>
      </c>
      <c r="O3298">
        <v>0.25129039961445043</v>
      </c>
      <c r="P3298">
        <v>0.2652334752607356</v>
      </c>
    </row>
    <row r="3299" spans="13:16">
      <c r="M3299">
        <v>0.28731934969574907</v>
      </c>
      <c r="N3299">
        <v>0.1914720379987587</v>
      </c>
      <c r="O3299">
        <v>0.24573450944486191</v>
      </c>
      <c r="P3299">
        <v>0.27547410286063045</v>
      </c>
    </row>
    <row r="3300" spans="13:16">
      <c r="M3300">
        <v>0.27099063881698676</v>
      </c>
      <c r="N3300">
        <v>0.1874666047873853</v>
      </c>
      <c r="O3300">
        <v>0.26983636357173879</v>
      </c>
      <c r="P3300">
        <v>0.27170639282388903</v>
      </c>
    </row>
    <row r="3301" spans="13:16">
      <c r="M3301">
        <v>0.29788626400679752</v>
      </c>
      <c r="N3301">
        <v>0.20080292540497208</v>
      </c>
      <c r="O3301">
        <v>0.25340699853294157</v>
      </c>
      <c r="P3301">
        <v>0.24790381205528886</v>
      </c>
    </row>
    <row r="3302" spans="13:16">
      <c r="M3302">
        <v>0.27448187666342849</v>
      </c>
      <c r="N3302">
        <v>0.20912315896751132</v>
      </c>
      <c r="O3302">
        <v>0.23424741966697282</v>
      </c>
      <c r="P3302">
        <v>0.28214754470208731</v>
      </c>
    </row>
    <row r="3303" spans="13:16">
      <c r="M3303">
        <v>0.27020517430580016</v>
      </c>
      <c r="N3303">
        <v>0.18295709270437083</v>
      </c>
      <c r="O3303">
        <v>0.28353669999205433</v>
      </c>
      <c r="P3303">
        <v>0.26330103299777458</v>
      </c>
    </row>
    <row r="3304" spans="13:16">
      <c r="M3304">
        <v>0.29322512071705314</v>
      </c>
      <c r="N3304">
        <v>0.19173708374225579</v>
      </c>
      <c r="O3304">
        <v>0.23730221032136922</v>
      </c>
      <c r="P3304">
        <v>0.27773558521932196</v>
      </c>
    </row>
    <row r="3305" spans="13:16">
      <c r="M3305">
        <v>0.29090322492685622</v>
      </c>
      <c r="N3305">
        <v>0.17126030819532648</v>
      </c>
      <c r="O3305">
        <v>0.28040443619042027</v>
      </c>
      <c r="P3305">
        <v>0.25743203068739695</v>
      </c>
    </row>
    <row r="3306" spans="13:16">
      <c r="M3306">
        <v>0.29475334437367962</v>
      </c>
      <c r="N3306">
        <v>0.17404929988337309</v>
      </c>
      <c r="O3306">
        <v>0.26577017220169757</v>
      </c>
      <c r="P3306">
        <v>0.26542718354124978</v>
      </c>
    </row>
    <row r="3307" spans="13:16">
      <c r="M3307">
        <v>0.26650585009223188</v>
      </c>
      <c r="N3307">
        <v>0.18831536467315915</v>
      </c>
      <c r="O3307">
        <v>0.28226244098926317</v>
      </c>
      <c r="P3307">
        <v>0.26291634424534582</v>
      </c>
    </row>
    <row r="3308" spans="13:16">
      <c r="M3308">
        <v>0.27195226149424262</v>
      </c>
      <c r="N3308">
        <v>0.18628977901650001</v>
      </c>
      <c r="O3308">
        <v>0.29015992342303359</v>
      </c>
      <c r="P3308">
        <v>0.25159803606622372</v>
      </c>
    </row>
    <row r="3309" spans="13:16">
      <c r="M3309">
        <v>0.27446177114762621</v>
      </c>
      <c r="N3309">
        <v>0.18802386432965615</v>
      </c>
      <c r="O3309">
        <v>0.27945113726617649</v>
      </c>
      <c r="P3309">
        <v>0.25806322725654124</v>
      </c>
    </row>
    <row r="3310" spans="13:16">
      <c r="M3310">
        <v>0.29135545769213872</v>
      </c>
      <c r="N3310">
        <v>0.19239999874690294</v>
      </c>
      <c r="O3310">
        <v>0.26035094343121784</v>
      </c>
      <c r="P3310">
        <v>0.25589360012974055</v>
      </c>
    </row>
    <row r="3311" spans="13:16">
      <c r="M3311">
        <v>0.28556285148148847</v>
      </c>
      <c r="N3311">
        <v>0.20382225936975865</v>
      </c>
      <c r="O3311">
        <v>0.24469667412281293</v>
      </c>
      <c r="P3311">
        <v>0.26591821502593982</v>
      </c>
    </row>
    <row r="3312" spans="13:16">
      <c r="M3312">
        <v>0.30727501335232671</v>
      </c>
      <c r="N3312">
        <v>0.18753798929741841</v>
      </c>
      <c r="O3312">
        <v>0.24411762998553616</v>
      </c>
      <c r="P3312">
        <v>0.26106936736471875</v>
      </c>
    </row>
    <row r="3313" spans="13:16">
      <c r="M3313">
        <v>0.29908957300545602</v>
      </c>
      <c r="N3313">
        <v>0.17594000858896522</v>
      </c>
      <c r="O3313">
        <v>0.28980900040567453</v>
      </c>
      <c r="P3313">
        <v>0.23516141799990431</v>
      </c>
    </row>
    <row r="3314" spans="13:16">
      <c r="M3314">
        <v>0.29264787928852382</v>
      </c>
      <c r="N3314">
        <v>0.17238515280903269</v>
      </c>
      <c r="O3314">
        <v>0.27546427589469197</v>
      </c>
      <c r="P3314">
        <v>0.2595026920077515</v>
      </c>
    </row>
    <row r="3315" spans="13:16">
      <c r="M3315">
        <v>0.30198028405281258</v>
      </c>
      <c r="N3315">
        <v>0.18076018902795593</v>
      </c>
      <c r="O3315">
        <v>0.25876302368266912</v>
      </c>
      <c r="P3315">
        <v>0.25849650323656242</v>
      </c>
    </row>
    <row r="3316" spans="13:16">
      <c r="M3316">
        <v>0.29197988174558287</v>
      </c>
      <c r="N3316">
        <v>0.18552203816240215</v>
      </c>
      <c r="O3316">
        <v>0.24582841300907016</v>
      </c>
      <c r="P3316">
        <v>0.27666966708294483</v>
      </c>
    </row>
    <row r="3317" spans="13:16">
      <c r="M3317">
        <v>0.29999231491048473</v>
      </c>
      <c r="N3317">
        <v>0.17097824393284322</v>
      </c>
      <c r="O3317">
        <v>0.27551520609808205</v>
      </c>
      <c r="P3317">
        <v>0.25351423505858994</v>
      </c>
    </row>
    <row r="3318" spans="13:16">
      <c r="M3318">
        <v>0.26221828121516538</v>
      </c>
      <c r="N3318">
        <v>0.2007384759924758</v>
      </c>
      <c r="O3318">
        <v>0.27964322090597227</v>
      </c>
      <c r="P3318">
        <v>0.25740002188638655</v>
      </c>
    </row>
    <row r="3319" spans="13:16">
      <c r="M3319">
        <v>0.27992297053714849</v>
      </c>
      <c r="N3319">
        <v>0.19757401579207778</v>
      </c>
      <c r="O3319">
        <v>0.25401811079148262</v>
      </c>
      <c r="P3319">
        <v>0.26848490287929117</v>
      </c>
    </row>
    <row r="3320" spans="13:16">
      <c r="M3320">
        <v>0.28064357265405376</v>
      </c>
      <c r="N3320">
        <v>0.1905335489797873</v>
      </c>
      <c r="O3320">
        <v>0.25622593340173472</v>
      </c>
      <c r="P3320">
        <v>0.27259694496442433</v>
      </c>
    </row>
    <row r="3321" spans="13:16">
      <c r="M3321">
        <v>0.27910456011936446</v>
      </c>
      <c r="N3321">
        <v>0.18814239644164785</v>
      </c>
      <c r="O3321">
        <v>0.26793178470093393</v>
      </c>
      <c r="P3321">
        <v>0.26482125873805384</v>
      </c>
    </row>
    <row r="3322" spans="13:16">
      <c r="M3322">
        <v>0.29491728454760591</v>
      </c>
      <c r="N3322">
        <v>0.18970972118276197</v>
      </c>
      <c r="O3322">
        <v>0.23408225687480072</v>
      </c>
      <c r="P3322">
        <v>0.2812907373948314</v>
      </c>
    </row>
    <row r="3323" spans="13:16">
      <c r="M3323">
        <v>0.30966749227287643</v>
      </c>
      <c r="N3323">
        <v>0.18218512408620793</v>
      </c>
      <c r="O3323">
        <v>0.24836027073254016</v>
      </c>
      <c r="P3323">
        <v>0.25978711290837558</v>
      </c>
    </row>
    <row r="3324" spans="13:16">
      <c r="M3324">
        <v>0.29043892247148262</v>
      </c>
      <c r="N3324">
        <v>0.19052541272260301</v>
      </c>
      <c r="O3324">
        <v>0.24613587699185713</v>
      </c>
      <c r="P3324">
        <v>0.27289978781405716</v>
      </c>
    </row>
    <row r="3325" spans="13:16">
      <c r="M3325">
        <v>0.26674365393300176</v>
      </c>
      <c r="N3325">
        <v>0.19125689613134819</v>
      </c>
      <c r="O3325">
        <v>0.28198103262073559</v>
      </c>
      <c r="P3325">
        <v>0.26001841731491449</v>
      </c>
    </row>
    <row r="3326" spans="13:16">
      <c r="M3326">
        <v>0.3021720807582825</v>
      </c>
      <c r="N3326">
        <v>0.1907795867572159</v>
      </c>
      <c r="O3326">
        <v>0.24013146145288924</v>
      </c>
      <c r="P3326">
        <v>0.26691687103161227</v>
      </c>
    </row>
    <row r="3327" spans="13:16">
      <c r="M3327">
        <v>0.27305970873653096</v>
      </c>
      <c r="N3327">
        <v>0.18118080589963337</v>
      </c>
      <c r="O3327">
        <v>0.2848188094959021</v>
      </c>
      <c r="P3327">
        <v>0.26094067586793357</v>
      </c>
    </row>
    <row r="3328" spans="13:16">
      <c r="M3328">
        <v>0.28741358703574277</v>
      </c>
      <c r="N3328">
        <v>0.17483001439583187</v>
      </c>
      <c r="O3328">
        <v>0.28573684826333801</v>
      </c>
      <c r="P3328">
        <v>0.25201955030508733</v>
      </c>
    </row>
    <row r="3329" spans="13:16">
      <c r="M3329">
        <v>0.31661603633325902</v>
      </c>
      <c r="N3329">
        <v>0.19115405782963352</v>
      </c>
      <c r="O3329">
        <v>0.21099407314947963</v>
      </c>
      <c r="P3329">
        <v>0.28123583268762775</v>
      </c>
    </row>
    <row r="3330" spans="13:16">
      <c r="M3330">
        <v>0.32364796504466414</v>
      </c>
      <c r="N3330">
        <v>0.16718151287902991</v>
      </c>
      <c r="O3330">
        <v>0.25675471543076805</v>
      </c>
      <c r="P3330">
        <v>0.25241580664553781</v>
      </c>
    </row>
    <row r="3331" spans="13:16">
      <c r="M3331">
        <v>0.3216734109794076</v>
      </c>
      <c r="N3331">
        <v>0.18736337961871014</v>
      </c>
      <c r="O3331">
        <v>0.22101098630595795</v>
      </c>
      <c r="P3331">
        <v>0.26995222309592437</v>
      </c>
    </row>
    <row r="3332" spans="13:16">
      <c r="M3332">
        <v>0.29816725594814586</v>
      </c>
      <c r="N3332">
        <v>0.16563480303912531</v>
      </c>
      <c r="O3332">
        <v>0.28337351235170705</v>
      </c>
      <c r="P3332">
        <v>0.25282442866102173</v>
      </c>
    </row>
    <row r="3333" spans="13:16">
      <c r="M3333">
        <v>0.28919621569046056</v>
      </c>
      <c r="N3333">
        <v>0.18737656994683097</v>
      </c>
      <c r="O3333">
        <v>0.25706924984482526</v>
      </c>
      <c r="P3333">
        <v>0.26635796451788324</v>
      </c>
    </row>
    <row r="3334" spans="13:16">
      <c r="M3334">
        <v>0.29243298887867158</v>
      </c>
      <c r="N3334">
        <v>0.19857582496538609</v>
      </c>
      <c r="O3334">
        <v>0.22836013921226225</v>
      </c>
      <c r="P3334">
        <v>0.28063104694368018</v>
      </c>
    </row>
    <row r="3335" spans="13:16">
      <c r="M3335">
        <v>0.27974783559476035</v>
      </c>
      <c r="N3335">
        <v>0.20218619205841057</v>
      </c>
      <c r="O3335">
        <v>0.24005234461129113</v>
      </c>
      <c r="P3335">
        <v>0.27801362773553795</v>
      </c>
    </row>
    <row r="3336" spans="13:16">
      <c r="M3336">
        <v>0.26393718259118365</v>
      </c>
      <c r="N3336">
        <v>0.21211955631044369</v>
      </c>
      <c r="O3336">
        <v>0.24636066278853427</v>
      </c>
      <c r="P3336">
        <v>0.27758259830983839</v>
      </c>
    </row>
    <row r="3337" spans="13:16">
      <c r="M3337">
        <v>0.2740021256423259</v>
      </c>
      <c r="N3337">
        <v>0.19117282875359615</v>
      </c>
      <c r="O3337">
        <v>0.26993208443526007</v>
      </c>
      <c r="P3337">
        <v>0.264892961168818</v>
      </c>
    </row>
    <row r="3338" spans="13:16">
      <c r="M3338">
        <v>0.27563145833713765</v>
      </c>
      <c r="N3338">
        <v>0.20454899154252196</v>
      </c>
      <c r="O3338">
        <v>0.26061249496633154</v>
      </c>
      <c r="P3338">
        <v>0.25920705515400883</v>
      </c>
    </row>
    <row r="3339" spans="13:16">
      <c r="M3339">
        <v>0.27537296285807195</v>
      </c>
      <c r="N3339">
        <v>0.17574585413272914</v>
      </c>
      <c r="O3339">
        <v>0.28293547621526216</v>
      </c>
      <c r="P3339">
        <v>0.26594570679393681</v>
      </c>
    </row>
    <row r="3340" spans="13:16">
      <c r="M3340">
        <v>0.27522511531251015</v>
      </c>
      <c r="N3340">
        <v>0.18277985618526588</v>
      </c>
      <c r="O3340">
        <v>0.27192125868553135</v>
      </c>
      <c r="P3340">
        <v>0.27007376981669268</v>
      </c>
    </row>
    <row r="3341" spans="13:16">
      <c r="M3341">
        <v>0.31482590560981694</v>
      </c>
      <c r="N3341">
        <v>0.16900389578028285</v>
      </c>
      <c r="O3341">
        <v>0.25882071654474781</v>
      </c>
      <c r="P3341">
        <v>0.25734948206515235</v>
      </c>
    </row>
    <row r="3342" spans="13:16">
      <c r="M3342">
        <v>0.31929250331257891</v>
      </c>
      <c r="N3342">
        <v>0.18110000918306615</v>
      </c>
      <c r="O3342">
        <v>0.23985585553501734</v>
      </c>
      <c r="P3342">
        <v>0.25975163196933759</v>
      </c>
    </row>
    <row r="3343" spans="13:16">
      <c r="M3343">
        <v>0.30427499907173211</v>
      </c>
      <c r="N3343">
        <v>0.17364897123519518</v>
      </c>
      <c r="O3343">
        <v>0.25182654666440973</v>
      </c>
      <c r="P3343">
        <v>0.27024948302866297</v>
      </c>
    </row>
    <row r="3344" spans="13:16">
      <c r="M3344">
        <v>0.29836557707010058</v>
      </c>
      <c r="N3344">
        <v>0.17702977355979332</v>
      </c>
      <c r="O3344">
        <v>0.26897223730655379</v>
      </c>
      <c r="P3344">
        <v>0.25563241206355231</v>
      </c>
    </row>
    <row r="3345" spans="13:16">
      <c r="M3345">
        <v>0.2792253632102466</v>
      </c>
      <c r="N3345">
        <v>0.20047690550248803</v>
      </c>
      <c r="O3345">
        <v>0.2688323532717925</v>
      </c>
      <c r="P3345">
        <v>0.25146537801547286</v>
      </c>
    </row>
    <row r="3346" spans="13:16">
      <c r="M3346">
        <v>0.2752921374810044</v>
      </c>
      <c r="N3346">
        <v>0.17015391652590076</v>
      </c>
      <c r="O3346">
        <v>0.30005938447569974</v>
      </c>
      <c r="P3346">
        <v>0.25449456151739513</v>
      </c>
    </row>
    <row r="3347" spans="13:16">
      <c r="M3347">
        <v>0.29731353860877224</v>
      </c>
      <c r="N3347">
        <v>0.19148002704335151</v>
      </c>
      <c r="O3347">
        <v>0.24653974951043364</v>
      </c>
      <c r="P3347">
        <v>0.26466668483744266</v>
      </c>
    </row>
    <row r="3348" spans="13:16">
      <c r="M3348">
        <v>0.29033966233920455</v>
      </c>
      <c r="N3348">
        <v>0.1940055393806257</v>
      </c>
      <c r="O3348">
        <v>0.25768655516722239</v>
      </c>
      <c r="P3348">
        <v>0.25796824311294736</v>
      </c>
    </row>
    <row r="3349" spans="13:16">
      <c r="M3349">
        <v>0.28653388564717608</v>
      </c>
      <c r="N3349">
        <v>0.16847800951548011</v>
      </c>
      <c r="O3349">
        <v>0.28752624983260039</v>
      </c>
      <c r="P3349">
        <v>0.25746185500474339</v>
      </c>
    </row>
    <row r="3350" spans="13:16">
      <c r="M3350">
        <v>0.2966915700513682</v>
      </c>
      <c r="N3350">
        <v>0.19006525061595256</v>
      </c>
      <c r="O3350">
        <v>0.23354281534331306</v>
      </c>
      <c r="P3350">
        <v>0.27970036398936615</v>
      </c>
    </row>
    <row r="3351" spans="13:16">
      <c r="M3351">
        <v>0.27157994792151291</v>
      </c>
      <c r="N3351">
        <v>0.18042065872286484</v>
      </c>
      <c r="O3351">
        <v>0.29283160955589987</v>
      </c>
      <c r="P3351">
        <v>0.25516778379972233</v>
      </c>
    </row>
    <row r="3352" spans="13:16">
      <c r="M3352">
        <v>0.29353107150357283</v>
      </c>
      <c r="N3352">
        <v>0.18627391085238718</v>
      </c>
      <c r="O3352">
        <v>0.24875282053953832</v>
      </c>
      <c r="P3352">
        <v>0.27144219710450168</v>
      </c>
    </row>
    <row r="3353" spans="13:16">
      <c r="M3353">
        <v>0.25748232884530747</v>
      </c>
      <c r="N3353">
        <v>0.20162531301560307</v>
      </c>
      <c r="O3353">
        <v>0.28390008646385279</v>
      </c>
      <c r="P3353">
        <v>0.25699227167523675</v>
      </c>
    </row>
    <row r="3354" spans="13:16">
      <c r="M3354">
        <v>0.29239902408841811</v>
      </c>
      <c r="N3354">
        <v>0.20697992407108057</v>
      </c>
      <c r="O3354">
        <v>0.23123877472070542</v>
      </c>
      <c r="P3354">
        <v>0.26938227711979595</v>
      </c>
    </row>
    <row r="3355" spans="13:16">
      <c r="M3355">
        <v>0.27865290236021828</v>
      </c>
      <c r="N3355">
        <v>0.19051849639134946</v>
      </c>
      <c r="O3355">
        <v>0.25258547328944519</v>
      </c>
      <c r="P3355">
        <v>0.27824312795898704</v>
      </c>
    </row>
    <row r="3356" spans="13:16">
      <c r="M3356">
        <v>0.29220340514918502</v>
      </c>
      <c r="N3356">
        <v>0.19661673126044482</v>
      </c>
      <c r="O3356">
        <v>0.25512660241135332</v>
      </c>
      <c r="P3356">
        <v>0.25605326117901694</v>
      </c>
    </row>
    <row r="3357" spans="13:16">
      <c r="M3357">
        <v>0.28295275356272681</v>
      </c>
      <c r="N3357">
        <v>0.17133183968350291</v>
      </c>
      <c r="O3357">
        <v>0.29164866254501615</v>
      </c>
      <c r="P3357">
        <v>0.25406674420875414</v>
      </c>
    </row>
    <row r="3358" spans="13:16">
      <c r="M3358">
        <v>0.28412091701513309</v>
      </c>
      <c r="N3358">
        <v>0.19262936377105366</v>
      </c>
      <c r="O3358">
        <v>0.25694308831445756</v>
      </c>
      <c r="P3358">
        <v>0.26630663089935563</v>
      </c>
    </row>
    <row r="3359" spans="13:16">
      <c r="M3359">
        <v>0.29146727030724956</v>
      </c>
      <c r="N3359">
        <v>0.2099294636525785</v>
      </c>
      <c r="O3359">
        <v>0.20929360116908946</v>
      </c>
      <c r="P3359">
        <v>0.28930966487108245</v>
      </c>
    </row>
    <row r="3360" spans="13:16">
      <c r="M3360">
        <v>0.30149581052163227</v>
      </c>
      <c r="N3360">
        <v>0.16896538400467639</v>
      </c>
      <c r="O3360">
        <v>0.27616154514058094</v>
      </c>
      <c r="P3360">
        <v>0.25337726033311042</v>
      </c>
    </row>
    <row r="3361" spans="13:16">
      <c r="M3361">
        <v>0.30225884524482166</v>
      </c>
      <c r="N3361">
        <v>0.18111906705717828</v>
      </c>
      <c r="O3361">
        <v>0.25709071989745697</v>
      </c>
      <c r="P3361">
        <v>0.25953136780054309</v>
      </c>
    </row>
    <row r="3362" spans="13:16">
      <c r="M3362">
        <v>0.28122745747449529</v>
      </c>
      <c r="N3362">
        <v>0.1748382743969136</v>
      </c>
      <c r="O3362">
        <v>0.27343502514370849</v>
      </c>
      <c r="P3362">
        <v>0.27049924298488259</v>
      </c>
    </row>
    <row r="3363" spans="13:16">
      <c r="M3363">
        <v>0.25982865046034664</v>
      </c>
      <c r="N3363">
        <v>0.18220199879895255</v>
      </c>
      <c r="O3363">
        <v>0.30483701099144844</v>
      </c>
      <c r="P3363">
        <v>0.25313233974925237</v>
      </c>
    </row>
    <row r="3364" spans="13:16">
      <c r="M3364">
        <v>0.27358835042229618</v>
      </c>
      <c r="N3364">
        <v>0.18996013081907334</v>
      </c>
      <c r="O3364">
        <v>0.27128060283310551</v>
      </c>
      <c r="P3364">
        <v>0.26517091592552505</v>
      </c>
    </row>
    <row r="3365" spans="13:16">
      <c r="M3365">
        <v>0.29996027028336325</v>
      </c>
      <c r="N3365">
        <v>0.20883419808568318</v>
      </c>
      <c r="O3365">
        <v>0.20892639485014453</v>
      </c>
      <c r="P3365">
        <v>0.28227913678080907</v>
      </c>
    </row>
    <row r="3366" spans="13:16">
      <c r="M3366">
        <v>0.29779160563756529</v>
      </c>
      <c r="N3366">
        <v>0.17944253187981379</v>
      </c>
      <c r="O3366">
        <v>0.2500667331499411</v>
      </c>
      <c r="P3366">
        <v>0.27269912933267976</v>
      </c>
    </row>
    <row r="3367" spans="13:16">
      <c r="M3367">
        <v>0.29551247152857724</v>
      </c>
      <c r="N3367">
        <v>0.19642897417632385</v>
      </c>
      <c r="O3367">
        <v>0.24371129890935128</v>
      </c>
      <c r="P3367">
        <v>0.26434725538574755</v>
      </c>
    </row>
    <row r="3368" spans="13:16">
      <c r="M3368">
        <v>0.29153742576835689</v>
      </c>
      <c r="N3368">
        <v>0.19031136575354252</v>
      </c>
      <c r="O3368">
        <v>0.2318488519457452</v>
      </c>
      <c r="P3368">
        <v>0.28630235653235536</v>
      </c>
    </row>
    <row r="3369" spans="13:16">
      <c r="M3369">
        <v>0.27773934139182327</v>
      </c>
      <c r="N3369">
        <v>0.19968369326437724</v>
      </c>
      <c r="O3369">
        <v>0.25116440113583249</v>
      </c>
      <c r="P3369">
        <v>0.27141256420796706</v>
      </c>
    </row>
    <row r="3370" spans="13:16">
      <c r="M3370">
        <v>0.28392755157783595</v>
      </c>
      <c r="N3370">
        <v>0.17678079462964841</v>
      </c>
      <c r="O3370">
        <v>0.26673990284191024</v>
      </c>
      <c r="P3370">
        <v>0.27255175095060546</v>
      </c>
    </row>
    <row r="3371" spans="13:16">
      <c r="M3371">
        <v>0.28736314090687626</v>
      </c>
      <c r="N3371">
        <v>0.18702399586871157</v>
      </c>
      <c r="O3371">
        <v>0.27262383146265085</v>
      </c>
      <c r="P3371">
        <v>0.2529890317617613</v>
      </c>
    </row>
    <row r="3372" spans="13:16">
      <c r="M3372">
        <v>0.28408292400455076</v>
      </c>
      <c r="N3372">
        <v>0.17630176377727419</v>
      </c>
      <c r="O3372">
        <v>0.27282079115261448</v>
      </c>
      <c r="P3372">
        <v>0.26679452106556062</v>
      </c>
    </row>
    <row r="3373" spans="13:16">
      <c r="M3373">
        <v>0.29743220789797681</v>
      </c>
      <c r="N3373">
        <v>0.19647386491862795</v>
      </c>
      <c r="O3373">
        <v>0.23839127872024948</v>
      </c>
      <c r="P3373">
        <v>0.26770264846314579</v>
      </c>
    </row>
    <row r="3374" spans="13:16">
      <c r="M3374">
        <v>0.31011321672741077</v>
      </c>
      <c r="N3374">
        <v>0.17424571085384541</v>
      </c>
      <c r="O3374">
        <v>0.2419573379769078</v>
      </c>
      <c r="P3374">
        <v>0.27368373444183597</v>
      </c>
    </row>
    <row r="3375" spans="13:16">
      <c r="M3375">
        <v>0.25665857844178774</v>
      </c>
      <c r="N3375">
        <v>0.20275638922558345</v>
      </c>
      <c r="O3375">
        <v>0.28019510705466671</v>
      </c>
      <c r="P3375">
        <v>0.26038992527796206</v>
      </c>
    </row>
    <row r="3376" spans="13:16">
      <c r="M3376">
        <v>0.30044851974982406</v>
      </c>
      <c r="N3376">
        <v>0.17556087503463028</v>
      </c>
      <c r="O3376">
        <v>0.2555214549063084</v>
      </c>
      <c r="P3376">
        <v>0.26846915030923729</v>
      </c>
    </row>
    <row r="3377" spans="13:16">
      <c r="M3377">
        <v>0.29904374225259162</v>
      </c>
      <c r="N3377">
        <v>0.17188184404435225</v>
      </c>
      <c r="O3377">
        <v>0.26741491981412546</v>
      </c>
      <c r="P3377">
        <v>0.26165949388893067</v>
      </c>
    </row>
    <row r="3378" spans="13:16">
      <c r="M3378">
        <v>0.27604678126831367</v>
      </c>
      <c r="N3378">
        <v>0.19259182079555909</v>
      </c>
      <c r="O3378">
        <v>0.25915762590182723</v>
      </c>
      <c r="P3378">
        <v>0.27220377203429991</v>
      </c>
    </row>
    <row r="3379" spans="13:16">
      <c r="M3379">
        <v>0.30864852768835932</v>
      </c>
      <c r="N3379">
        <v>0.17962515849475216</v>
      </c>
      <c r="O3379">
        <v>0.26542025105391981</v>
      </c>
      <c r="P3379">
        <v>0.24630606276296876</v>
      </c>
    </row>
    <row r="3380" spans="13:16">
      <c r="M3380">
        <v>0.2844358701255118</v>
      </c>
      <c r="N3380">
        <v>0.1841704093084971</v>
      </c>
      <c r="O3380">
        <v>0.27196200705817786</v>
      </c>
      <c r="P3380">
        <v>0.25943171350781324</v>
      </c>
    </row>
    <row r="3381" spans="13:16">
      <c r="M3381">
        <v>0.29506250401849404</v>
      </c>
      <c r="N3381">
        <v>0.18156082137815821</v>
      </c>
      <c r="O3381">
        <v>0.23763234323217242</v>
      </c>
      <c r="P3381">
        <v>0.28574433137117544</v>
      </c>
    </row>
    <row r="3382" spans="13:16">
      <c r="M3382">
        <v>0.29033306098154821</v>
      </c>
      <c r="N3382">
        <v>0.18476648181540256</v>
      </c>
      <c r="O3382">
        <v>0.2587510930485733</v>
      </c>
      <c r="P3382">
        <v>0.26614936415447604</v>
      </c>
    </row>
    <row r="3383" spans="13:16">
      <c r="M3383">
        <v>0.30105487370828571</v>
      </c>
      <c r="N3383">
        <v>0.19390971280626074</v>
      </c>
      <c r="O3383">
        <v>0.23802051197556418</v>
      </c>
      <c r="P3383">
        <v>0.26701490150988932</v>
      </c>
    </row>
    <row r="3384" spans="13:16">
      <c r="M3384">
        <v>0.27941100471708341</v>
      </c>
      <c r="N3384">
        <v>0.1937351717090921</v>
      </c>
      <c r="O3384">
        <v>0.26809961286761708</v>
      </c>
      <c r="P3384">
        <v>0.25875421070620747</v>
      </c>
    </row>
    <row r="3385" spans="13:16">
      <c r="M3385">
        <v>0.27542273731974964</v>
      </c>
      <c r="N3385">
        <v>0.18787304850414913</v>
      </c>
      <c r="O3385">
        <v>0.2639049983161274</v>
      </c>
      <c r="P3385">
        <v>0.27279921585997363</v>
      </c>
    </row>
    <row r="3386" spans="13:16">
      <c r="M3386">
        <v>0.30217916991567279</v>
      </c>
      <c r="N3386">
        <v>0.1788367947978341</v>
      </c>
      <c r="O3386">
        <v>0.27951511097037463</v>
      </c>
      <c r="P3386">
        <v>0.2394689243161186</v>
      </c>
    </row>
    <row r="3387" spans="13:16">
      <c r="M3387">
        <v>0.2888304612836361</v>
      </c>
      <c r="N3387">
        <v>0.18412670185385929</v>
      </c>
      <c r="O3387">
        <v>0.26181583903937289</v>
      </c>
      <c r="P3387">
        <v>0.2652269978231318</v>
      </c>
    </row>
    <row r="3388" spans="13:16">
      <c r="M3388">
        <v>0.26488517107494308</v>
      </c>
      <c r="N3388">
        <v>0.20627175892915278</v>
      </c>
      <c r="O3388">
        <v>0.26229062547638754</v>
      </c>
      <c r="P3388">
        <v>0.26655244451951654</v>
      </c>
    </row>
    <row r="3389" spans="13:16">
      <c r="M3389">
        <v>0.31295172918958664</v>
      </c>
      <c r="N3389">
        <v>0.16669069881516035</v>
      </c>
      <c r="O3389">
        <v>0.27918547299973351</v>
      </c>
      <c r="P3389">
        <v>0.2411720989955195</v>
      </c>
    </row>
    <row r="3390" spans="13:16">
      <c r="M3390">
        <v>0.2851777168107274</v>
      </c>
      <c r="N3390">
        <v>0.18601683588025142</v>
      </c>
      <c r="O3390">
        <v>0.25370079930257594</v>
      </c>
      <c r="P3390">
        <v>0.27510464800644518</v>
      </c>
    </row>
    <row r="3391" spans="13:16">
      <c r="M3391">
        <v>0.29110973468667217</v>
      </c>
      <c r="N3391">
        <v>0.19385413639044888</v>
      </c>
      <c r="O3391">
        <v>0.24750766652849479</v>
      </c>
      <c r="P3391">
        <v>0.2675284623943841</v>
      </c>
    </row>
    <row r="3392" spans="13:16">
      <c r="M3392">
        <v>0.28276865041413546</v>
      </c>
      <c r="N3392">
        <v>0.20597739380218608</v>
      </c>
      <c r="O3392">
        <v>0.24360010667284429</v>
      </c>
      <c r="P3392">
        <v>0.26765384911083423</v>
      </c>
    </row>
    <row r="3393" spans="13:16">
      <c r="M3393">
        <v>0.27335486615548232</v>
      </c>
      <c r="N3393">
        <v>0.19469738132175726</v>
      </c>
      <c r="O3393">
        <v>0.27229967881849043</v>
      </c>
      <c r="P3393">
        <v>0.25964807370426995</v>
      </c>
    </row>
    <row r="3394" spans="13:16">
      <c r="M3394">
        <v>0.26561134185158786</v>
      </c>
      <c r="N3394">
        <v>0.18100758262710523</v>
      </c>
      <c r="O3394">
        <v>0.29748888141474289</v>
      </c>
      <c r="P3394">
        <v>0.25589219410656389</v>
      </c>
    </row>
    <row r="3395" spans="13:16">
      <c r="M3395">
        <v>0.31250968278379998</v>
      </c>
      <c r="N3395">
        <v>0.18628198408089983</v>
      </c>
      <c r="O3395">
        <v>0.25241138178066092</v>
      </c>
      <c r="P3395">
        <v>0.24879695135463931</v>
      </c>
    </row>
    <row r="3396" spans="13:16">
      <c r="M3396">
        <v>0.2950106853913988</v>
      </c>
      <c r="N3396">
        <v>0.190665162836018</v>
      </c>
      <c r="O3396">
        <v>0.24824332155471737</v>
      </c>
      <c r="P3396">
        <v>0.26608083021786577</v>
      </c>
    </row>
    <row r="3397" spans="13:16">
      <c r="M3397">
        <v>0.31652443610484465</v>
      </c>
      <c r="N3397">
        <v>0.18253010847569862</v>
      </c>
      <c r="O3397">
        <v>0.24400254753225459</v>
      </c>
      <c r="P3397">
        <v>0.25694290788720203</v>
      </c>
    </row>
    <row r="3398" spans="13:16">
      <c r="M3398">
        <v>0.27589066990023686</v>
      </c>
      <c r="N3398">
        <v>0.18315352121649367</v>
      </c>
      <c r="O3398">
        <v>0.27657840874671064</v>
      </c>
      <c r="P3398">
        <v>0.26437740013655892</v>
      </c>
    </row>
    <row r="3399" spans="13:16">
      <c r="M3399">
        <v>0.2862038067016448</v>
      </c>
      <c r="N3399">
        <v>0.18363928521337594</v>
      </c>
      <c r="O3399">
        <v>0.25467160484376727</v>
      </c>
      <c r="P3399">
        <v>0.27548530324121201</v>
      </c>
    </row>
    <row r="3400" spans="13:16">
      <c r="M3400">
        <v>0.27952692919373157</v>
      </c>
      <c r="N3400">
        <v>0.19552692913679162</v>
      </c>
      <c r="O3400">
        <v>0.26591885406280263</v>
      </c>
      <c r="P3400">
        <v>0.25902728760667421</v>
      </c>
    </row>
    <row r="3401" spans="13:16">
      <c r="M3401">
        <v>0.28094595935860739</v>
      </c>
      <c r="N3401">
        <v>0.19242816510153191</v>
      </c>
      <c r="O3401">
        <v>0.27567640025897272</v>
      </c>
      <c r="P3401">
        <v>0.25094947528088807</v>
      </c>
    </row>
    <row r="3402" spans="13:16">
      <c r="M3402">
        <v>0.29596100349032028</v>
      </c>
      <c r="N3402">
        <v>0.18693293805465877</v>
      </c>
      <c r="O3402">
        <v>0.23987708231715396</v>
      </c>
      <c r="P3402">
        <v>0.27722897613786707</v>
      </c>
    </row>
    <row r="3403" spans="13:16">
      <c r="M3403">
        <v>0.28268546694444019</v>
      </c>
      <c r="N3403">
        <v>0.20632076367919683</v>
      </c>
      <c r="O3403">
        <v>0.25220115544862876</v>
      </c>
      <c r="P3403">
        <v>0.25879261392773417</v>
      </c>
    </row>
    <row r="3404" spans="13:16">
      <c r="M3404">
        <v>0.29193956929967302</v>
      </c>
      <c r="N3404">
        <v>0.18603548851630516</v>
      </c>
      <c r="O3404">
        <v>0.24164304770613582</v>
      </c>
      <c r="P3404">
        <v>0.28038189447788597</v>
      </c>
    </row>
    <row r="3405" spans="13:16">
      <c r="M3405">
        <v>0.2873262705142049</v>
      </c>
      <c r="N3405">
        <v>0.17601985720013774</v>
      </c>
      <c r="O3405">
        <v>0.28478628476228168</v>
      </c>
      <c r="P3405">
        <v>0.25186758752337568</v>
      </c>
    </row>
    <row r="3406" spans="13:16">
      <c r="M3406">
        <v>0.28518023978030932</v>
      </c>
      <c r="N3406">
        <v>0.17346447170411039</v>
      </c>
      <c r="O3406">
        <v>0.28581005332781639</v>
      </c>
      <c r="P3406">
        <v>0.2555452351877639</v>
      </c>
    </row>
    <row r="3407" spans="13:16">
      <c r="M3407">
        <v>0.29493826896996478</v>
      </c>
      <c r="N3407">
        <v>0.209567931235591</v>
      </c>
      <c r="O3407">
        <v>0.22731622399042808</v>
      </c>
      <c r="P3407">
        <v>0.26817757580401624</v>
      </c>
    </row>
    <row r="3408" spans="13:16">
      <c r="M3408">
        <v>0.29265193168697812</v>
      </c>
      <c r="N3408">
        <v>0.17891877711062973</v>
      </c>
      <c r="O3408">
        <v>0.25534039247918333</v>
      </c>
      <c r="P3408">
        <v>0.27308889872320891</v>
      </c>
    </row>
    <row r="3409" spans="13:16">
      <c r="M3409">
        <v>0.29552583397484078</v>
      </c>
      <c r="N3409">
        <v>0.16866927193321782</v>
      </c>
      <c r="O3409">
        <v>0.29106915123916421</v>
      </c>
      <c r="P3409">
        <v>0.24473574285277711</v>
      </c>
    </row>
    <row r="3410" spans="13:16">
      <c r="M3410">
        <v>0.29277414517075695</v>
      </c>
      <c r="N3410">
        <v>0.18218146756067297</v>
      </c>
      <c r="O3410">
        <v>0.28281946172261463</v>
      </c>
      <c r="P3410">
        <v>0.24222492554595554</v>
      </c>
    </row>
    <row r="3411" spans="13:16">
      <c r="M3411">
        <v>0.31845059961705113</v>
      </c>
      <c r="N3411">
        <v>0.17211237833534929</v>
      </c>
      <c r="O3411">
        <v>0.2555987056194714</v>
      </c>
      <c r="P3411">
        <v>0.25383831642812815</v>
      </c>
    </row>
    <row r="3412" spans="13:16">
      <c r="M3412">
        <v>0.30274270357434507</v>
      </c>
      <c r="N3412">
        <v>0.19695027706114812</v>
      </c>
      <c r="O3412">
        <v>0.23023290058611429</v>
      </c>
      <c r="P3412">
        <v>0.27007411877839249</v>
      </c>
    </row>
    <row r="3413" spans="13:16">
      <c r="M3413">
        <v>0.27781882884850739</v>
      </c>
      <c r="N3413">
        <v>0.19811878946683684</v>
      </c>
      <c r="O3413">
        <v>0.25379936119631014</v>
      </c>
      <c r="P3413">
        <v>0.27026302048834583</v>
      </c>
    </row>
    <row r="3414" spans="13:16">
      <c r="M3414">
        <v>0.30765699373408795</v>
      </c>
      <c r="N3414">
        <v>0.19278487116319945</v>
      </c>
      <c r="O3414">
        <v>0.22211204736994949</v>
      </c>
      <c r="P3414">
        <v>0.27744608773276302</v>
      </c>
    </row>
    <row r="3415" spans="13:16">
      <c r="M3415">
        <v>0.31935206045629733</v>
      </c>
      <c r="N3415">
        <v>0.18362030833427329</v>
      </c>
      <c r="O3415">
        <v>0.24594214517539439</v>
      </c>
      <c r="P3415">
        <v>0.25108548603403502</v>
      </c>
    </row>
    <row r="3416" spans="13:16">
      <c r="M3416">
        <v>0.31521236808168535</v>
      </c>
      <c r="N3416">
        <v>0.15839301181330184</v>
      </c>
      <c r="O3416">
        <v>0.27403565711080891</v>
      </c>
      <c r="P3416">
        <v>0.25235896299420385</v>
      </c>
    </row>
    <row r="3417" spans="13:16">
      <c r="M3417">
        <v>0.29127595821973967</v>
      </c>
      <c r="N3417">
        <v>0.19195863175012742</v>
      </c>
      <c r="O3417">
        <v>0.24471695126932588</v>
      </c>
      <c r="P3417">
        <v>0.27204845876080702</v>
      </c>
    </row>
    <row r="3418" spans="13:16">
      <c r="M3418">
        <v>0.29974703691331933</v>
      </c>
      <c r="N3418">
        <v>0.17492532640847736</v>
      </c>
      <c r="O3418">
        <v>0.24860055166840034</v>
      </c>
      <c r="P3418">
        <v>0.27672708500980292</v>
      </c>
    </row>
    <row r="3419" spans="13:16">
      <c r="M3419">
        <v>0.28911615228623144</v>
      </c>
      <c r="N3419">
        <v>0.17823655865587562</v>
      </c>
      <c r="O3419">
        <v>0.26765582844739239</v>
      </c>
      <c r="P3419">
        <v>0.26499146061050061</v>
      </c>
    </row>
    <row r="3420" spans="13:16">
      <c r="M3420">
        <v>0.30711765404837565</v>
      </c>
      <c r="N3420">
        <v>0.19157875027940041</v>
      </c>
      <c r="O3420">
        <v>0.23413577221172605</v>
      </c>
      <c r="P3420">
        <v>0.26716782346049778</v>
      </c>
    </row>
    <row r="3421" spans="13:16">
      <c r="M3421">
        <v>0.29718609263321494</v>
      </c>
      <c r="N3421">
        <v>0.17955480598844681</v>
      </c>
      <c r="O3421">
        <v>0.26788144850407253</v>
      </c>
      <c r="P3421">
        <v>0.25537765287426578</v>
      </c>
    </row>
    <row r="3422" spans="13:16">
      <c r="M3422">
        <v>0.30251020902412012</v>
      </c>
      <c r="N3422">
        <v>0.1994223071644721</v>
      </c>
      <c r="O3422">
        <v>0.22564450898011376</v>
      </c>
      <c r="P3422">
        <v>0.27242297483129402</v>
      </c>
    </row>
    <row r="3423" spans="13:16">
      <c r="M3423">
        <v>0.2934189281058675</v>
      </c>
      <c r="N3423">
        <v>0.19405907220653326</v>
      </c>
      <c r="O3423">
        <v>0.24903240647819566</v>
      </c>
      <c r="P3423">
        <v>0.26348959320940363</v>
      </c>
    </row>
    <row r="3424" spans="13:16">
      <c r="M3424">
        <v>0.30479739553059226</v>
      </c>
      <c r="N3424">
        <v>0.18369657492560745</v>
      </c>
      <c r="O3424">
        <v>0.24347407359280082</v>
      </c>
      <c r="P3424">
        <v>0.26803195595099943</v>
      </c>
    </row>
    <row r="3425" spans="13:16">
      <c r="M3425">
        <v>0.27605896041342648</v>
      </c>
      <c r="N3425">
        <v>0.18839852712479396</v>
      </c>
      <c r="O3425">
        <v>0.26516071517259826</v>
      </c>
      <c r="P3425">
        <v>0.27038179728918127</v>
      </c>
    </row>
    <row r="3426" spans="13:16">
      <c r="M3426">
        <v>0.28859051619958964</v>
      </c>
      <c r="N3426">
        <v>0.17804847867195936</v>
      </c>
      <c r="O3426">
        <v>0.2724971730953043</v>
      </c>
      <c r="P3426">
        <v>0.26086383203314661</v>
      </c>
    </row>
    <row r="3427" spans="13:16">
      <c r="M3427">
        <v>0.2728648688886785</v>
      </c>
      <c r="N3427">
        <v>0.20095846581112645</v>
      </c>
      <c r="O3427">
        <v>0.26520700835642658</v>
      </c>
      <c r="P3427">
        <v>0.2609696569437685</v>
      </c>
    </row>
    <row r="3428" spans="13:16">
      <c r="M3428">
        <v>0.26394927059588369</v>
      </c>
      <c r="N3428">
        <v>0.18753613059202037</v>
      </c>
      <c r="O3428">
        <v>0.28854360029413384</v>
      </c>
      <c r="P3428">
        <v>0.25997099851796207</v>
      </c>
    </row>
    <row r="3429" spans="13:16">
      <c r="M3429">
        <v>0.259273791151724</v>
      </c>
      <c r="N3429">
        <v>0.20988585429797554</v>
      </c>
      <c r="O3429">
        <v>0.26492868182385731</v>
      </c>
      <c r="P3429">
        <v>0.26591167272644317</v>
      </c>
    </row>
    <row r="3430" spans="13:16">
      <c r="M3430">
        <v>0.28304851769046863</v>
      </c>
      <c r="N3430">
        <v>0.18195113984214384</v>
      </c>
      <c r="O3430">
        <v>0.26419997404989221</v>
      </c>
      <c r="P3430">
        <v>0.27080036841749544</v>
      </c>
    </row>
    <row r="3431" spans="13:16">
      <c r="M3431">
        <v>0.31125524420406081</v>
      </c>
      <c r="N3431">
        <v>0.18357360784974552</v>
      </c>
      <c r="O3431">
        <v>0.26162657866074013</v>
      </c>
      <c r="P3431">
        <v>0.24354456928545354</v>
      </c>
    </row>
    <row r="3432" spans="13:16">
      <c r="M3432">
        <v>0.29191967195513085</v>
      </c>
      <c r="N3432">
        <v>0.18206702518565696</v>
      </c>
      <c r="O3432">
        <v>0.27902471793928896</v>
      </c>
      <c r="P3432">
        <v>0.24698858491992315</v>
      </c>
    </row>
    <row r="3433" spans="13:16">
      <c r="M3433">
        <v>0.29803217755494055</v>
      </c>
      <c r="N3433">
        <v>0.193248862417362</v>
      </c>
      <c r="O3433">
        <v>0.23843816558477601</v>
      </c>
      <c r="P3433">
        <v>0.27028079444292141</v>
      </c>
    </row>
    <row r="3434" spans="13:16">
      <c r="M3434">
        <v>0.30536508887234609</v>
      </c>
      <c r="N3434">
        <v>0.1855287581754988</v>
      </c>
      <c r="O3434">
        <v>0.24418628805832956</v>
      </c>
      <c r="P3434">
        <v>0.26491986489382557</v>
      </c>
    </row>
    <row r="3435" spans="13:16">
      <c r="M3435">
        <v>0.2737118111751517</v>
      </c>
      <c r="N3435">
        <v>0.18593251373700137</v>
      </c>
      <c r="O3435">
        <v>0.27522173566005553</v>
      </c>
      <c r="P3435">
        <v>0.26513393942779129</v>
      </c>
    </row>
    <row r="3436" spans="13:16">
      <c r="M3436">
        <v>0.30319267409261391</v>
      </c>
      <c r="N3436">
        <v>0.17357131475732793</v>
      </c>
      <c r="O3436">
        <v>0.26444836943182637</v>
      </c>
      <c r="P3436">
        <v>0.25878764171823165</v>
      </c>
    </row>
    <row r="3437" spans="13:16">
      <c r="M3437">
        <v>0.31034740846721814</v>
      </c>
      <c r="N3437">
        <v>0.18076146633765625</v>
      </c>
      <c r="O3437">
        <v>0.24240143061034641</v>
      </c>
      <c r="P3437">
        <v>0.26648969458477906</v>
      </c>
    </row>
    <row r="3438" spans="13:16">
      <c r="M3438">
        <v>0.28339227481835744</v>
      </c>
      <c r="N3438">
        <v>0.18736327102961239</v>
      </c>
      <c r="O3438">
        <v>0.26605049596155717</v>
      </c>
      <c r="P3438">
        <v>0.26319395819047298</v>
      </c>
    </row>
    <row r="3439" spans="13:16">
      <c r="M3439">
        <v>0.3147669408916895</v>
      </c>
      <c r="N3439">
        <v>0.18837214581715761</v>
      </c>
      <c r="O3439">
        <v>0.23056299202187414</v>
      </c>
      <c r="P3439">
        <v>0.26629792126927881</v>
      </c>
    </row>
    <row r="3440" spans="13:16">
      <c r="M3440">
        <v>0.30934790791828276</v>
      </c>
      <c r="N3440">
        <v>0.18375787599355173</v>
      </c>
      <c r="O3440">
        <v>0.25018218200887266</v>
      </c>
      <c r="P3440">
        <v>0.25671203407929283</v>
      </c>
    </row>
    <row r="3441" spans="13:16">
      <c r="M3441">
        <v>0.30214768742560427</v>
      </c>
      <c r="N3441">
        <v>0.16410379336656036</v>
      </c>
      <c r="O3441">
        <v>0.29333178702795026</v>
      </c>
      <c r="P3441">
        <v>0.24041673217988505</v>
      </c>
    </row>
    <row r="3442" spans="13:16">
      <c r="M3442">
        <v>0.30757406686190314</v>
      </c>
      <c r="N3442">
        <v>0.17051531412052282</v>
      </c>
      <c r="O3442">
        <v>0.25554869210554926</v>
      </c>
      <c r="P3442">
        <v>0.2663619269120247</v>
      </c>
    </row>
    <row r="3443" spans="13:16">
      <c r="M3443">
        <v>0.30419089163047619</v>
      </c>
      <c r="N3443">
        <v>0.18850801629162117</v>
      </c>
      <c r="O3443">
        <v>0.24710554796807119</v>
      </c>
      <c r="P3443">
        <v>0.26019554410983142</v>
      </c>
    </row>
    <row r="3444" spans="13:16">
      <c r="M3444">
        <v>0.26722245296284469</v>
      </c>
      <c r="N3444">
        <v>0.18626490680396798</v>
      </c>
      <c r="O3444">
        <v>0.27340208112380782</v>
      </c>
      <c r="P3444">
        <v>0.27311055910937948</v>
      </c>
    </row>
    <row r="3445" spans="13:16">
      <c r="M3445">
        <v>0.25889876002859125</v>
      </c>
      <c r="N3445">
        <v>0.20299335630034854</v>
      </c>
      <c r="O3445">
        <v>0.27080484783630038</v>
      </c>
      <c r="P3445">
        <v>0.26730303583475984</v>
      </c>
    </row>
    <row r="3446" spans="13:16">
      <c r="M3446">
        <v>0.28049669252588921</v>
      </c>
      <c r="N3446">
        <v>0.18268372689477125</v>
      </c>
      <c r="O3446">
        <v>0.27187395063703534</v>
      </c>
      <c r="P3446">
        <v>0.26494562994230425</v>
      </c>
    </row>
    <row r="3447" spans="13:16">
      <c r="M3447">
        <v>0.25698725345497153</v>
      </c>
      <c r="N3447">
        <v>0.20023272063149208</v>
      </c>
      <c r="O3447">
        <v>0.28968241232052683</v>
      </c>
      <c r="P3447">
        <v>0.25309761359300947</v>
      </c>
    </row>
    <row r="3448" spans="13:16">
      <c r="M3448">
        <v>0.3127924588134478</v>
      </c>
      <c r="N3448">
        <v>0.18950310224479536</v>
      </c>
      <c r="O3448">
        <v>0.23700379185563455</v>
      </c>
      <c r="P3448">
        <v>0.26070064708612223</v>
      </c>
    </row>
    <row r="3449" spans="13:16">
      <c r="M3449">
        <v>0.28853881516256347</v>
      </c>
      <c r="N3449">
        <v>0.19214803835194819</v>
      </c>
      <c r="O3449">
        <v>0.25345137585083316</v>
      </c>
      <c r="P3449">
        <v>0.26586177063465516</v>
      </c>
    </row>
    <row r="3450" spans="13:16">
      <c r="M3450">
        <v>0.27603002134391114</v>
      </c>
      <c r="N3450">
        <v>0.18189359953298992</v>
      </c>
      <c r="O3450">
        <v>0.2713533875825298</v>
      </c>
      <c r="P3450">
        <v>0.27072299154056906</v>
      </c>
    </row>
    <row r="3451" spans="13:16">
      <c r="M3451">
        <v>0.28109962844009057</v>
      </c>
      <c r="N3451">
        <v>0.17898507070997757</v>
      </c>
      <c r="O3451">
        <v>0.2660636818927708</v>
      </c>
      <c r="P3451">
        <v>0.27385161895716115</v>
      </c>
    </row>
    <row r="3452" spans="13:16">
      <c r="M3452">
        <v>0.30379601584658922</v>
      </c>
      <c r="N3452">
        <v>0.18351603310994921</v>
      </c>
      <c r="O3452">
        <v>0.25689149630620428</v>
      </c>
      <c r="P3452">
        <v>0.25579645473725715</v>
      </c>
    </row>
    <row r="3453" spans="13:16">
      <c r="M3453">
        <v>0.28553085678073109</v>
      </c>
      <c r="N3453">
        <v>0.18443584103009078</v>
      </c>
      <c r="O3453">
        <v>0.26598131913687717</v>
      </c>
      <c r="P3453">
        <v>0.26405198305230088</v>
      </c>
    </row>
    <row r="3454" spans="13:16">
      <c r="M3454">
        <v>0.29426440745123233</v>
      </c>
      <c r="N3454">
        <v>0.20068141143638443</v>
      </c>
      <c r="O3454">
        <v>0.23493637462605829</v>
      </c>
      <c r="P3454">
        <v>0.27011780648632489</v>
      </c>
    </row>
    <row r="3455" spans="13:16">
      <c r="M3455">
        <v>0.27780633694658202</v>
      </c>
      <c r="N3455">
        <v>0.18558114503265083</v>
      </c>
      <c r="O3455">
        <v>0.27428027638408292</v>
      </c>
      <c r="P3455">
        <v>0.26233224163668423</v>
      </c>
    </row>
    <row r="3456" spans="13:16">
      <c r="M3456">
        <v>0.30776890811203844</v>
      </c>
      <c r="N3456">
        <v>0.18256497875962513</v>
      </c>
      <c r="O3456">
        <v>0.25840016814573308</v>
      </c>
      <c r="P3456">
        <v>0.25126594498260335</v>
      </c>
    </row>
    <row r="3457" spans="13:16">
      <c r="M3457">
        <v>0.31738589553253332</v>
      </c>
      <c r="N3457">
        <v>0.17256342779902478</v>
      </c>
      <c r="O3457">
        <v>0.24307061504141181</v>
      </c>
      <c r="P3457">
        <v>0.2669800616270302</v>
      </c>
    </row>
    <row r="3458" spans="13:16">
      <c r="M3458">
        <v>0.27172540441087462</v>
      </c>
      <c r="N3458">
        <v>0.18590300226937811</v>
      </c>
      <c r="O3458">
        <v>0.27381881677518038</v>
      </c>
      <c r="P3458">
        <v>0.26855277654456683</v>
      </c>
    </row>
    <row r="3459" spans="13:16">
      <c r="M3459">
        <v>0.28033337085475679</v>
      </c>
      <c r="N3459">
        <v>0.18135246313160552</v>
      </c>
      <c r="O3459">
        <v>0.28884374097188442</v>
      </c>
      <c r="P3459">
        <v>0.24947042504175321</v>
      </c>
    </row>
    <row r="3460" spans="13:16">
      <c r="M3460">
        <v>0.33180788328593602</v>
      </c>
      <c r="N3460">
        <v>0.17264178912858227</v>
      </c>
      <c r="O3460">
        <v>0.23887093029051412</v>
      </c>
      <c r="P3460">
        <v>0.25667939729496764</v>
      </c>
    </row>
    <row r="3461" spans="13:16">
      <c r="M3461">
        <v>0.26640800028451905</v>
      </c>
      <c r="N3461">
        <v>0.17423461725037212</v>
      </c>
      <c r="O3461">
        <v>0.29645855202020799</v>
      </c>
      <c r="P3461">
        <v>0.26289883044490092</v>
      </c>
    </row>
    <row r="3462" spans="13:16">
      <c r="M3462">
        <v>0.28426550062806888</v>
      </c>
      <c r="N3462">
        <v>0.18393100860196959</v>
      </c>
      <c r="O3462">
        <v>0.26393860676593806</v>
      </c>
      <c r="P3462">
        <v>0.26786488400402353</v>
      </c>
    </row>
    <row r="3463" spans="13:16">
      <c r="M3463">
        <v>0.32312011697725879</v>
      </c>
      <c r="N3463">
        <v>0.19862200671372504</v>
      </c>
      <c r="O3463">
        <v>0.20901472094977819</v>
      </c>
      <c r="P3463">
        <v>0.26924315535923804</v>
      </c>
    </row>
    <row r="3464" spans="13:16">
      <c r="M3464">
        <v>0.28880306688819585</v>
      </c>
      <c r="N3464">
        <v>0.19321007312226721</v>
      </c>
      <c r="O3464">
        <v>0.24642172597670622</v>
      </c>
      <c r="P3464">
        <v>0.27156513401283067</v>
      </c>
    </row>
    <row r="3465" spans="13:16">
      <c r="M3465">
        <v>0.28405190776183775</v>
      </c>
      <c r="N3465">
        <v>0.21355044928663977</v>
      </c>
      <c r="O3465">
        <v>0.22488932812816192</v>
      </c>
      <c r="P3465">
        <v>0.27750831482336041</v>
      </c>
    </row>
    <row r="3466" spans="13:16">
      <c r="M3466">
        <v>0.29218017347805675</v>
      </c>
      <c r="N3466">
        <v>0.18755128824761169</v>
      </c>
      <c r="O3466">
        <v>0.23909122374811115</v>
      </c>
      <c r="P3466">
        <v>0.28117731452622041</v>
      </c>
    </row>
    <row r="3467" spans="13:16">
      <c r="M3467">
        <v>0.29624968466688734</v>
      </c>
      <c r="N3467">
        <v>0.18998752565752414</v>
      </c>
      <c r="O3467">
        <v>0.24002953341552632</v>
      </c>
      <c r="P3467">
        <v>0.27373325626006229</v>
      </c>
    </row>
    <row r="3468" spans="13:16">
      <c r="M3468">
        <v>0.28288773153472829</v>
      </c>
      <c r="N3468">
        <v>0.18766384088634408</v>
      </c>
      <c r="O3468">
        <v>0.26291892529345279</v>
      </c>
      <c r="P3468">
        <v>0.26652950228547473</v>
      </c>
    </row>
    <row r="3469" spans="13:16">
      <c r="M3469">
        <v>0.30611731717956792</v>
      </c>
      <c r="N3469">
        <v>0.17654378817492489</v>
      </c>
      <c r="O3469">
        <v>0.26558513111792525</v>
      </c>
      <c r="P3469">
        <v>0.251753763527582</v>
      </c>
    </row>
    <row r="3470" spans="13:16">
      <c r="M3470">
        <v>0.29773745482450781</v>
      </c>
      <c r="N3470">
        <v>0.18935200361079929</v>
      </c>
      <c r="O3470">
        <v>0.2390965820217183</v>
      </c>
      <c r="P3470">
        <v>0.27381395954297455</v>
      </c>
    </row>
    <row r="3471" spans="13:16">
      <c r="M3471">
        <v>0.29340396572632182</v>
      </c>
      <c r="N3471">
        <v>0.21071195067103157</v>
      </c>
      <c r="O3471">
        <v>0.22818486763350412</v>
      </c>
      <c r="P3471">
        <v>0.26769921596914259</v>
      </c>
    </row>
    <row r="3472" spans="13:16">
      <c r="M3472">
        <v>0.30153009036250544</v>
      </c>
      <c r="N3472">
        <v>0.17516387718715012</v>
      </c>
      <c r="O3472">
        <v>0.25543555750461505</v>
      </c>
      <c r="P3472">
        <v>0.26787047494572941</v>
      </c>
    </row>
    <row r="3473" spans="13:16">
      <c r="M3473">
        <v>0.28471960324759021</v>
      </c>
      <c r="N3473">
        <v>0.18648828509581633</v>
      </c>
      <c r="O3473">
        <v>0.2805457475777558</v>
      </c>
      <c r="P3473">
        <v>0.24824636407883768</v>
      </c>
    </row>
    <row r="3474" spans="13:16">
      <c r="M3474">
        <v>0.30318905241812527</v>
      </c>
      <c r="N3474">
        <v>0.20250591071419191</v>
      </c>
      <c r="O3474">
        <v>0.22083614035151813</v>
      </c>
      <c r="P3474">
        <v>0.27346889651616468</v>
      </c>
    </row>
    <row r="3475" spans="13:16">
      <c r="M3475">
        <v>0.29596861855192208</v>
      </c>
      <c r="N3475">
        <v>0.20115616261979355</v>
      </c>
      <c r="O3475">
        <v>0.21684003898266579</v>
      </c>
      <c r="P3475">
        <v>0.28603517984561855</v>
      </c>
    </row>
    <row r="3476" spans="13:16">
      <c r="M3476">
        <v>0.27478326224606542</v>
      </c>
      <c r="N3476">
        <v>0.20828997683476969</v>
      </c>
      <c r="O3476">
        <v>0.25335859824494983</v>
      </c>
      <c r="P3476">
        <v>0.26356816267421501</v>
      </c>
    </row>
    <row r="3477" spans="13:16">
      <c r="M3477">
        <v>0.27347837151234416</v>
      </c>
      <c r="N3477">
        <v>0.20092660481219157</v>
      </c>
      <c r="O3477">
        <v>0.2669221391362121</v>
      </c>
      <c r="P3477">
        <v>0.25867288453925202</v>
      </c>
    </row>
    <row r="3478" spans="13:16">
      <c r="M3478">
        <v>0.33012635113964905</v>
      </c>
      <c r="N3478">
        <v>0.17390694649071622</v>
      </c>
      <c r="O3478">
        <v>0.2299822626598135</v>
      </c>
      <c r="P3478">
        <v>0.26598443970982122</v>
      </c>
    </row>
    <row r="3479" spans="13:16">
      <c r="M3479">
        <v>0.28538591037617095</v>
      </c>
      <c r="N3479">
        <v>0.16906188086599563</v>
      </c>
      <c r="O3479">
        <v>0.29187170622311093</v>
      </c>
      <c r="P3479">
        <v>0.25368050253472246</v>
      </c>
    </row>
    <row r="3480" spans="13:16">
      <c r="M3480">
        <v>0.33383701198118693</v>
      </c>
      <c r="N3480">
        <v>0.17107856351552247</v>
      </c>
      <c r="O3480">
        <v>0.24293685367619802</v>
      </c>
      <c r="P3480">
        <v>0.2521475708270926</v>
      </c>
    </row>
    <row r="3481" spans="13:16">
      <c r="M3481">
        <v>0.27330333836899268</v>
      </c>
      <c r="N3481">
        <v>0.18919584407312284</v>
      </c>
      <c r="O3481">
        <v>0.27731030380913163</v>
      </c>
      <c r="P3481">
        <v>0.26019051374875291</v>
      </c>
    </row>
    <row r="3482" spans="13:16">
      <c r="M3482">
        <v>0.26735477824800474</v>
      </c>
      <c r="N3482">
        <v>0.17712669500387695</v>
      </c>
      <c r="O3482">
        <v>0.30715130666533036</v>
      </c>
      <c r="P3482">
        <v>0.24836722008278797</v>
      </c>
    </row>
    <row r="3483" spans="13:16">
      <c r="M3483">
        <v>0.28256948982363733</v>
      </c>
      <c r="N3483">
        <v>0.17817475977660094</v>
      </c>
      <c r="O3483">
        <v>0.28122045540139207</v>
      </c>
      <c r="P3483">
        <v>0.25803529499836969</v>
      </c>
    </row>
    <row r="3484" spans="13:16">
      <c r="M3484">
        <v>0.31811781354729424</v>
      </c>
      <c r="N3484">
        <v>0.18502321231232446</v>
      </c>
      <c r="O3484">
        <v>0.21938579540481173</v>
      </c>
      <c r="P3484">
        <v>0.27747317873556954</v>
      </c>
    </row>
    <row r="3485" spans="13:16">
      <c r="M3485">
        <v>0.27165933760864031</v>
      </c>
      <c r="N3485">
        <v>0.17986452357877902</v>
      </c>
      <c r="O3485">
        <v>0.29026867207706403</v>
      </c>
      <c r="P3485">
        <v>0.25820746673551681</v>
      </c>
    </row>
    <row r="3486" spans="13:16">
      <c r="M3486">
        <v>0.27490750047688817</v>
      </c>
      <c r="N3486">
        <v>0.19362647467162974</v>
      </c>
      <c r="O3486">
        <v>0.25584974957276307</v>
      </c>
      <c r="P3486">
        <v>0.27561627527871907</v>
      </c>
    </row>
    <row r="3487" spans="13:16">
      <c r="M3487">
        <v>0.28400896440082285</v>
      </c>
      <c r="N3487">
        <v>0.17423486691583095</v>
      </c>
      <c r="O3487">
        <v>0.29698965125011895</v>
      </c>
      <c r="P3487">
        <v>0.24476651743322722</v>
      </c>
    </row>
    <row r="3488" spans="13:16">
      <c r="M3488">
        <v>0.30573911547999821</v>
      </c>
      <c r="N3488">
        <v>0.17097495817529937</v>
      </c>
      <c r="O3488">
        <v>0.26415603113699571</v>
      </c>
      <c r="P3488">
        <v>0.25912989520770668</v>
      </c>
    </row>
    <row r="3489" spans="13:16">
      <c r="M3489">
        <v>0.27174406170890342</v>
      </c>
      <c r="N3489">
        <v>0.19168697048020597</v>
      </c>
      <c r="O3489">
        <v>0.26466170141202422</v>
      </c>
      <c r="P3489">
        <v>0.27190726639886637</v>
      </c>
    </row>
    <row r="3490" spans="13:16">
      <c r="M3490">
        <v>0.29771687329940216</v>
      </c>
      <c r="N3490">
        <v>0.1801535804157576</v>
      </c>
      <c r="O3490">
        <v>0.25350367293920489</v>
      </c>
      <c r="P3490">
        <v>0.26862587334563531</v>
      </c>
    </row>
    <row r="3491" spans="13:16">
      <c r="M3491">
        <v>0.25363853621756366</v>
      </c>
      <c r="N3491">
        <v>0.19765031549252887</v>
      </c>
      <c r="O3491">
        <v>0.28225569414789048</v>
      </c>
      <c r="P3491">
        <v>0.26645545414201693</v>
      </c>
    </row>
    <row r="3492" spans="13:16">
      <c r="M3492">
        <v>0.2753142530009477</v>
      </c>
      <c r="N3492">
        <v>0.18971810955780083</v>
      </c>
      <c r="O3492">
        <v>0.26271379567861447</v>
      </c>
      <c r="P3492">
        <v>0.27225384176263717</v>
      </c>
    </row>
    <row r="3493" spans="13:16">
      <c r="M3493">
        <v>0.25762105949359249</v>
      </c>
      <c r="N3493">
        <v>0.20295063068894947</v>
      </c>
      <c r="O3493">
        <v>0.28020052127293321</v>
      </c>
      <c r="P3493">
        <v>0.259227788544525</v>
      </c>
    </row>
    <row r="3494" spans="13:16">
      <c r="M3494">
        <v>0.25965780685052842</v>
      </c>
      <c r="N3494">
        <v>0.20137226598889491</v>
      </c>
      <c r="O3494">
        <v>0.27833292735145682</v>
      </c>
      <c r="P3494">
        <v>0.26063699980911986</v>
      </c>
    </row>
    <row r="3495" spans="13:16">
      <c r="M3495">
        <v>0.28660271558115025</v>
      </c>
      <c r="N3495">
        <v>0.19227788226059075</v>
      </c>
      <c r="O3495">
        <v>0.25031301244700649</v>
      </c>
      <c r="P3495">
        <v>0.27080638971125254</v>
      </c>
    </row>
    <row r="3496" spans="13:16">
      <c r="M3496">
        <v>0.25866107094656121</v>
      </c>
      <c r="N3496">
        <v>0.18948558990166278</v>
      </c>
      <c r="O3496">
        <v>0.28814111273850729</v>
      </c>
      <c r="P3496">
        <v>0.26371222641326875</v>
      </c>
    </row>
    <row r="3497" spans="13:16">
      <c r="M3497">
        <v>0.29040157643646297</v>
      </c>
      <c r="N3497">
        <v>0.17393783104358962</v>
      </c>
      <c r="O3497">
        <v>0.26720747152808877</v>
      </c>
      <c r="P3497">
        <v>0.26845312099185864</v>
      </c>
    </row>
    <row r="3498" spans="13:16">
      <c r="M3498">
        <v>0.28068615100198241</v>
      </c>
      <c r="N3498">
        <v>0.19707825297733281</v>
      </c>
      <c r="O3498">
        <v>0.24542817169008985</v>
      </c>
      <c r="P3498">
        <v>0.27680742433059496</v>
      </c>
    </row>
    <row r="3499" spans="13:16">
      <c r="M3499">
        <v>0.29001127033359447</v>
      </c>
      <c r="N3499">
        <v>0.17526709143100672</v>
      </c>
      <c r="O3499">
        <v>0.27311738319992118</v>
      </c>
      <c r="P3499">
        <v>0.26160425503547774</v>
      </c>
    </row>
    <row r="3500" spans="13:16">
      <c r="M3500">
        <v>0.29545698563641587</v>
      </c>
      <c r="N3500">
        <v>0.18873947444365197</v>
      </c>
      <c r="O3500">
        <v>0.27157037876057855</v>
      </c>
      <c r="P3500">
        <v>0.24423316115935367</v>
      </c>
    </row>
    <row r="3501" spans="13:16">
      <c r="M3501">
        <v>0.28324532511202033</v>
      </c>
      <c r="N3501">
        <v>0.19439376539449674</v>
      </c>
      <c r="O3501">
        <v>0.24868284687077521</v>
      </c>
      <c r="P3501">
        <v>0.27367806262270777</v>
      </c>
    </row>
    <row r="3502" spans="13:16">
      <c r="M3502">
        <v>0.27264713428298765</v>
      </c>
      <c r="N3502">
        <v>0.20570120338563425</v>
      </c>
      <c r="O3502">
        <v>0.25139277126867693</v>
      </c>
      <c r="P3502">
        <v>0.27025889106270123</v>
      </c>
    </row>
    <row r="3503" spans="13:16">
      <c r="M3503">
        <v>0.27631989955147856</v>
      </c>
      <c r="N3503">
        <v>0.1921452544820702</v>
      </c>
      <c r="O3503">
        <v>0.2641103029547085</v>
      </c>
      <c r="P3503">
        <v>0.26742454301174279</v>
      </c>
    </row>
    <row r="3504" spans="13:16">
      <c r="M3504">
        <v>0.27458500105292755</v>
      </c>
      <c r="N3504">
        <v>0.18434225055187972</v>
      </c>
      <c r="O3504">
        <v>0.27091978368331759</v>
      </c>
      <c r="P3504">
        <v>0.27015296471187505</v>
      </c>
    </row>
    <row r="3505" spans="13:16">
      <c r="M3505">
        <v>0.31426425455297546</v>
      </c>
      <c r="N3505">
        <v>0.16498721502616293</v>
      </c>
      <c r="O3505">
        <v>0.26823650914184083</v>
      </c>
      <c r="P3505">
        <v>0.25251202127902073</v>
      </c>
    </row>
    <row r="3506" spans="13:16">
      <c r="M3506">
        <v>0.29498408437663914</v>
      </c>
      <c r="N3506">
        <v>0.19090898597274822</v>
      </c>
      <c r="O3506">
        <v>0.22299967945190194</v>
      </c>
      <c r="P3506">
        <v>0.29110725019871075</v>
      </c>
    </row>
    <row r="3507" spans="13:16">
      <c r="M3507">
        <v>0.28853897545775586</v>
      </c>
      <c r="N3507">
        <v>0.21057586256040442</v>
      </c>
      <c r="O3507">
        <v>0.22432930910658566</v>
      </c>
      <c r="P3507">
        <v>0.27655585287525392</v>
      </c>
    </row>
    <row r="3508" spans="13:16">
      <c r="M3508">
        <v>0.28313390354677298</v>
      </c>
      <c r="N3508">
        <v>0.18029944838561868</v>
      </c>
      <c r="O3508">
        <v>0.27273243636478756</v>
      </c>
      <c r="P3508">
        <v>0.26383421170282062</v>
      </c>
    </row>
    <row r="3509" spans="13:16">
      <c r="M3509">
        <v>0.26941281196713041</v>
      </c>
      <c r="N3509">
        <v>0.20955156582940127</v>
      </c>
      <c r="O3509">
        <v>0.24468106986510249</v>
      </c>
      <c r="P3509">
        <v>0.27635455233836581</v>
      </c>
    </row>
    <row r="3510" spans="13:16">
      <c r="M3510">
        <v>0.28036366723550027</v>
      </c>
      <c r="N3510">
        <v>0.19871949916793696</v>
      </c>
      <c r="O3510">
        <v>0.25407898717926225</v>
      </c>
      <c r="P3510">
        <v>0.26683784641730057</v>
      </c>
    </row>
    <row r="3511" spans="13:16">
      <c r="M3511">
        <v>0.26697531725777146</v>
      </c>
      <c r="N3511">
        <v>0.19258420277870875</v>
      </c>
      <c r="O3511">
        <v>0.25646557586735669</v>
      </c>
      <c r="P3511">
        <v>0.28397490409616327</v>
      </c>
    </row>
    <row r="3512" spans="13:16">
      <c r="M3512">
        <v>0.28883763798882994</v>
      </c>
      <c r="N3512">
        <v>0.20753196870979704</v>
      </c>
      <c r="O3512">
        <v>0.24546179957173894</v>
      </c>
      <c r="P3512">
        <v>0.25816859372963419</v>
      </c>
    </row>
    <row r="3513" spans="13:16">
      <c r="M3513">
        <v>0.29621501875069822</v>
      </c>
      <c r="N3513">
        <v>0.19126950330283898</v>
      </c>
      <c r="O3513">
        <v>0.23290482289685668</v>
      </c>
      <c r="P3513">
        <v>0.27961065504960614</v>
      </c>
    </row>
    <row r="3514" spans="13:16">
      <c r="M3514">
        <v>0.29838422409572507</v>
      </c>
      <c r="N3514">
        <v>0.20028831883246678</v>
      </c>
      <c r="O3514">
        <v>0.24066614094555086</v>
      </c>
      <c r="P3514">
        <v>0.26066131612625731</v>
      </c>
    </row>
    <row r="3515" spans="13:16">
      <c r="M3515">
        <v>0.30252873925513918</v>
      </c>
      <c r="N3515">
        <v>0.17594685079069586</v>
      </c>
      <c r="O3515">
        <v>0.26054248327226093</v>
      </c>
      <c r="P3515">
        <v>0.26098192668190412</v>
      </c>
    </row>
    <row r="3516" spans="13:16">
      <c r="M3516">
        <v>0.31509589657933779</v>
      </c>
      <c r="N3516">
        <v>0.18013004415843345</v>
      </c>
      <c r="O3516">
        <v>0.23121994691012032</v>
      </c>
      <c r="P3516">
        <v>0.27355411235210841</v>
      </c>
    </row>
    <row r="3517" spans="13:16">
      <c r="M3517">
        <v>0.32248873436301273</v>
      </c>
      <c r="N3517">
        <v>0.17212540911340701</v>
      </c>
      <c r="O3517">
        <v>0.24468929562271133</v>
      </c>
      <c r="P3517">
        <v>0.26069656090086885</v>
      </c>
    </row>
    <row r="3518" spans="13:16">
      <c r="M3518">
        <v>0.28127081703421813</v>
      </c>
      <c r="N3518">
        <v>0.20135995077027488</v>
      </c>
      <c r="O3518">
        <v>0.24080898810388915</v>
      </c>
      <c r="P3518">
        <v>0.27656024409161789</v>
      </c>
    </row>
    <row r="3519" spans="13:16">
      <c r="M3519">
        <v>0.2901837519861401</v>
      </c>
      <c r="N3519">
        <v>0.18570246612909944</v>
      </c>
      <c r="O3519">
        <v>0.25609754509724275</v>
      </c>
      <c r="P3519">
        <v>0.26801623678751785</v>
      </c>
    </row>
    <row r="3520" spans="13:16">
      <c r="M3520">
        <v>0.28709880441789837</v>
      </c>
      <c r="N3520">
        <v>0.18538071536645992</v>
      </c>
      <c r="O3520">
        <v>0.26926437837662331</v>
      </c>
      <c r="P3520">
        <v>0.2582561018390182</v>
      </c>
    </row>
    <row r="3521" spans="13:16">
      <c r="M3521">
        <v>0.27414609904495935</v>
      </c>
      <c r="N3521">
        <v>0.18264852017224836</v>
      </c>
      <c r="O3521">
        <v>0.28536213825782425</v>
      </c>
      <c r="P3521">
        <v>0.25784324252496815</v>
      </c>
    </row>
    <row r="3522" spans="13:16">
      <c r="M3522">
        <v>0.31493785938602575</v>
      </c>
      <c r="N3522">
        <v>0.17518061340356059</v>
      </c>
      <c r="O3522">
        <v>0.22120748091951656</v>
      </c>
      <c r="P3522">
        <v>0.28867404629089727</v>
      </c>
    </row>
    <row r="3523" spans="13:16">
      <c r="M3523">
        <v>0.28151107418738269</v>
      </c>
      <c r="N3523">
        <v>0.19098264906422949</v>
      </c>
      <c r="O3523">
        <v>0.2705737167757295</v>
      </c>
      <c r="P3523">
        <v>0.25693255997265829</v>
      </c>
    </row>
    <row r="3524" spans="13:16">
      <c r="M3524">
        <v>0.2687979031975507</v>
      </c>
      <c r="N3524">
        <v>0.18161950514793221</v>
      </c>
      <c r="O3524">
        <v>0.29240304843134801</v>
      </c>
      <c r="P3524">
        <v>0.25717954322316916</v>
      </c>
    </row>
    <row r="3525" spans="13:16">
      <c r="M3525">
        <v>0.27545545057146642</v>
      </c>
      <c r="N3525">
        <v>0.18535168360602725</v>
      </c>
      <c r="O3525">
        <v>0.25477986613942327</v>
      </c>
      <c r="P3525">
        <v>0.28441299968308292</v>
      </c>
    </row>
    <row r="3526" spans="13:16">
      <c r="M3526">
        <v>0.29619447666730619</v>
      </c>
      <c r="N3526">
        <v>0.17193153435942168</v>
      </c>
      <c r="O3526">
        <v>0.27181100276726039</v>
      </c>
      <c r="P3526">
        <v>0.26006298620601165</v>
      </c>
    </row>
    <row r="3527" spans="13:16">
      <c r="M3527">
        <v>0.2798817153019047</v>
      </c>
      <c r="N3527">
        <v>0.17672887125679076</v>
      </c>
      <c r="O3527">
        <v>0.27709544478344472</v>
      </c>
      <c r="P3527">
        <v>0.26629396865785976</v>
      </c>
    </row>
    <row r="3528" spans="13:16">
      <c r="M3528">
        <v>0.28292234848829567</v>
      </c>
      <c r="N3528">
        <v>0.17886525136101225</v>
      </c>
      <c r="O3528">
        <v>0.28302493743566198</v>
      </c>
      <c r="P3528">
        <v>0.25518746271503007</v>
      </c>
    </row>
    <row r="3529" spans="13:16">
      <c r="M3529">
        <v>0.30008346766942162</v>
      </c>
      <c r="N3529">
        <v>0.17101519637522744</v>
      </c>
      <c r="O3529">
        <v>0.26724754623513775</v>
      </c>
      <c r="P3529">
        <v>0.26165378972021325</v>
      </c>
    </row>
    <row r="3530" spans="13:16">
      <c r="M3530">
        <v>0.31402752669464584</v>
      </c>
      <c r="N3530">
        <v>0.18047083046119947</v>
      </c>
      <c r="O3530">
        <v>0.24022346969770636</v>
      </c>
      <c r="P3530">
        <v>0.26527817314644841</v>
      </c>
    </row>
    <row r="3531" spans="13:16">
      <c r="M3531">
        <v>0.28932115755763305</v>
      </c>
      <c r="N3531">
        <v>0.19344892138965386</v>
      </c>
      <c r="O3531">
        <v>0.24566492281749752</v>
      </c>
      <c r="P3531">
        <v>0.27156499823521563</v>
      </c>
    </row>
    <row r="3532" spans="13:16">
      <c r="M3532">
        <v>0.25929032216072079</v>
      </c>
      <c r="N3532">
        <v>0.1859186680233986</v>
      </c>
      <c r="O3532">
        <v>0.29513932314818758</v>
      </c>
      <c r="P3532">
        <v>0.25965168666769306</v>
      </c>
    </row>
    <row r="3533" spans="13:16">
      <c r="M3533">
        <v>0.30863725311284518</v>
      </c>
      <c r="N3533">
        <v>0.17055365711997975</v>
      </c>
      <c r="O3533">
        <v>0.27117008136185261</v>
      </c>
      <c r="P3533">
        <v>0.24963900840532258</v>
      </c>
    </row>
    <row r="3534" spans="13:16">
      <c r="M3534">
        <v>0.300984841365731</v>
      </c>
      <c r="N3534">
        <v>0.17319303722807591</v>
      </c>
      <c r="O3534">
        <v>0.27407553614833763</v>
      </c>
      <c r="P3534">
        <v>0.25174658525785543</v>
      </c>
    </row>
    <row r="3535" spans="13:16">
      <c r="M3535">
        <v>0.29587675829728305</v>
      </c>
      <c r="N3535">
        <v>0.17321670375553677</v>
      </c>
      <c r="O3535">
        <v>0.27157749121227098</v>
      </c>
      <c r="P3535">
        <v>0.25932904673490909</v>
      </c>
    </row>
    <row r="3536" spans="13:16">
      <c r="M3536">
        <v>0.28898381158240133</v>
      </c>
      <c r="N3536">
        <v>0.1663658030595046</v>
      </c>
      <c r="O3536">
        <v>0.3019486772087327</v>
      </c>
      <c r="P3536">
        <v>0.24270170814936151</v>
      </c>
    </row>
    <row r="3537" spans="13:16">
      <c r="M3537">
        <v>0.29238906328533398</v>
      </c>
      <c r="N3537">
        <v>0.17114177188712901</v>
      </c>
      <c r="O3537">
        <v>0.26101368988277129</v>
      </c>
      <c r="P3537">
        <v>0.27545547494476569</v>
      </c>
    </row>
    <row r="3538" spans="13:16">
      <c r="M3538">
        <v>0.31257825873537354</v>
      </c>
      <c r="N3538">
        <v>0.17967971965211568</v>
      </c>
      <c r="O3538">
        <v>0.2541324570456886</v>
      </c>
      <c r="P3538">
        <v>0.25360956456682204</v>
      </c>
    </row>
    <row r="3539" spans="13:16">
      <c r="M3539">
        <v>0.30183200010603467</v>
      </c>
      <c r="N3539">
        <v>0.17869214279872453</v>
      </c>
      <c r="O3539">
        <v>0.2502422938206188</v>
      </c>
      <c r="P3539">
        <v>0.269233563274622</v>
      </c>
    </row>
    <row r="3540" spans="13:16">
      <c r="M3540">
        <v>0.30611653746288364</v>
      </c>
      <c r="N3540">
        <v>0.20142651379795504</v>
      </c>
      <c r="O3540">
        <v>0.23107975126398381</v>
      </c>
      <c r="P3540">
        <v>0.26137719747517751</v>
      </c>
    </row>
    <row r="3541" spans="13:16">
      <c r="M3541">
        <v>0.29740396366678373</v>
      </c>
      <c r="N3541">
        <v>0.17082055583754846</v>
      </c>
      <c r="O3541">
        <v>0.29463406503340039</v>
      </c>
      <c r="P3541">
        <v>0.2371414154622675</v>
      </c>
    </row>
    <row r="3542" spans="13:16">
      <c r="M3542">
        <v>0.25807770753530612</v>
      </c>
      <c r="N3542">
        <v>0.19629939821612238</v>
      </c>
      <c r="O3542">
        <v>0.28994896051439145</v>
      </c>
      <c r="P3542">
        <v>0.25567393373418001</v>
      </c>
    </row>
    <row r="3543" spans="13:16">
      <c r="M3543">
        <v>0.28727521948611384</v>
      </c>
      <c r="N3543">
        <v>0.17338829198667877</v>
      </c>
      <c r="O3543">
        <v>0.29360292919040382</v>
      </c>
      <c r="P3543">
        <v>0.24573355933680355</v>
      </c>
    </row>
    <row r="3544" spans="13:16">
      <c r="M3544">
        <v>0.28043603147070179</v>
      </c>
      <c r="N3544">
        <v>0.19498293056722002</v>
      </c>
      <c r="O3544">
        <v>0.27106644863504969</v>
      </c>
      <c r="P3544">
        <v>0.25351458932702836</v>
      </c>
    </row>
    <row r="3545" spans="13:16">
      <c r="M3545">
        <v>0.28458979349335356</v>
      </c>
      <c r="N3545">
        <v>0.18667556200277813</v>
      </c>
      <c r="O3545">
        <v>0.24277920708983958</v>
      </c>
      <c r="P3545">
        <v>0.28595543741402879</v>
      </c>
    </row>
    <row r="3546" spans="13:16">
      <c r="M3546">
        <v>0.31363079886755812</v>
      </c>
      <c r="N3546">
        <v>0.18448321327227307</v>
      </c>
      <c r="O3546">
        <v>0.21797874222769137</v>
      </c>
      <c r="P3546">
        <v>0.28390724563247749</v>
      </c>
    </row>
    <row r="3547" spans="13:16">
      <c r="M3547">
        <v>0.27025684559814678</v>
      </c>
      <c r="N3547">
        <v>0.18489553093078476</v>
      </c>
      <c r="O3547">
        <v>0.27545870687895108</v>
      </c>
      <c r="P3547">
        <v>0.26938891659211739</v>
      </c>
    </row>
    <row r="3548" spans="13:16">
      <c r="M3548">
        <v>0.28204631376024952</v>
      </c>
      <c r="N3548">
        <v>0.20749863587639844</v>
      </c>
      <c r="O3548">
        <v>0.22512763332056202</v>
      </c>
      <c r="P3548">
        <v>0.28532741704278997</v>
      </c>
    </row>
    <row r="3549" spans="13:16">
      <c r="M3549">
        <v>0.3084509984441865</v>
      </c>
      <c r="N3549">
        <v>0.19240825543824111</v>
      </c>
      <c r="O3549">
        <v>0.23773655779046154</v>
      </c>
      <c r="P3549">
        <v>0.26140418832711082</v>
      </c>
    </row>
    <row r="3550" spans="13:16">
      <c r="M3550">
        <v>0.31361615219793954</v>
      </c>
      <c r="N3550">
        <v>0.19113793146691657</v>
      </c>
      <c r="O3550">
        <v>0.21570420108539101</v>
      </c>
      <c r="P3550">
        <v>0.27954171524975291</v>
      </c>
    </row>
    <row r="3551" spans="13:16">
      <c r="M3551">
        <v>0.28177442933733027</v>
      </c>
      <c r="N3551">
        <v>0.16996612023980504</v>
      </c>
      <c r="O3551">
        <v>0.29010880112103787</v>
      </c>
      <c r="P3551">
        <v>0.25815064930182674</v>
      </c>
    </row>
    <row r="3552" spans="13:16">
      <c r="M3552">
        <v>0.2894232706735273</v>
      </c>
      <c r="N3552">
        <v>0.16531240389462745</v>
      </c>
      <c r="O3552">
        <v>0.28820611259911416</v>
      </c>
      <c r="P3552">
        <v>0.25705821283273111</v>
      </c>
    </row>
    <row r="3553" spans="13:16">
      <c r="M3553">
        <v>0.27120134469425966</v>
      </c>
      <c r="N3553">
        <v>0.18455478167815451</v>
      </c>
      <c r="O3553">
        <v>0.27869630317987693</v>
      </c>
      <c r="P3553">
        <v>0.26554757044770888</v>
      </c>
    </row>
    <row r="3554" spans="13:16">
      <c r="M3554">
        <v>0.33336426471060709</v>
      </c>
      <c r="N3554">
        <v>0.17054693565754134</v>
      </c>
      <c r="O3554">
        <v>0.2309078425872175</v>
      </c>
      <c r="P3554">
        <v>0.26518095704463407</v>
      </c>
    </row>
    <row r="3555" spans="13:16">
      <c r="M3555">
        <v>0.29259160021466574</v>
      </c>
      <c r="N3555">
        <v>0.1956183905546563</v>
      </c>
      <c r="O3555">
        <v>0.24122077502609685</v>
      </c>
      <c r="P3555">
        <v>0.27056923420458112</v>
      </c>
    </row>
    <row r="3556" spans="13:16">
      <c r="M3556">
        <v>0.26485918675072118</v>
      </c>
      <c r="N3556">
        <v>0.18931165744205769</v>
      </c>
      <c r="O3556">
        <v>0.27629086616623516</v>
      </c>
      <c r="P3556">
        <v>0.26953828964098592</v>
      </c>
    </row>
    <row r="3557" spans="13:16">
      <c r="M3557">
        <v>0.30617096020446288</v>
      </c>
      <c r="N3557">
        <v>0.1669181436439362</v>
      </c>
      <c r="O3557">
        <v>0.28514259648231033</v>
      </c>
      <c r="P3557">
        <v>0.24176829966929059</v>
      </c>
    </row>
    <row r="3558" spans="13:16">
      <c r="M3558">
        <v>0.3076021969072979</v>
      </c>
      <c r="N3558">
        <v>0.17592653715693446</v>
      </c>
      <c r="O3558">
        <v>0.25237178750752587</v>
      </c>
      <c r="P3558">
        <v>0.26409947842824194</v>
      </c>
    </row>
    <row r="3559" spans="13:16">
      <c r="M3559">
        <v>0.32028605419632239</v>
      </c>
      <c r="N3559">
        <v>0.16128775543419832</v>
      </c>
      <c r="O3559">
        <v>0.27519472871308387</v>
      </c>
      <c r="P3559">
        <v>0.24323146165639548</v>
      </c>
    </row>
    <row r="3560" spans="13:16">
      <c r="M3560">
        <v>0.31973490665240067</v>
      </c>
      <c r="N3560">
        <v>0.16590368086971358</v>
      </c>
      <c r="O3560">
        <v>0.26562718126114143</v>
      </c>
      <c r="P3560">
        <v>0.24873423121674429</v>
      </c>
    </row>
    <row r="3561" spans="13:16">
      <c r="M3561">
        <v>0.28177264008015773</v>
      </c>
      <c r="N3561">
        <v>0.19546401051422119</v>
      </c>
      <c r="O3561">
        <v>0.27058882373467413</v>
      </c>
      <c r="P3561">
        <v>0.252174525670947</v>
      </c>
    </row>
    <row r="3562" spans="13:16">
      <c r="M3562">
        <v>0.33522958344351667</v>
      </c>
      <c r="N3562">
        <v>0.17922535586914987</v>
      </c>
      <c r="O3562">
        <v>0.22143010359931525</v>
      </c>
      <c r="P3562">
        <v>0.26411495708801819</v>
      </c>
    </row>
    <row r="3563" spans="13:16">
      <c r="M3563">
        <v>0.29667425950157711</v>
      </c>
      <c r="N3563">
        <v>0.16601114095072131</v>
      </c>
      <c r="O3563">
        <v>0.28748650864325104</v>
      </c>
      <c r="P3563">
        <v>0.24982809090445057</v>
      </c>
    </row>
    <row r="3564" spans="13:16">
      <c r="M3564">
        <v>0.33066933326997716</v>
      </c>
      <c r="N3564">
        <v>0.17584142064157027</v>
      </c>
      <c r="O3564">
        <v>0.22566035755633526</v>
      </c>
      <c r="P3564">
        <v>0.26782888853211739</v>
      </c>
    </row>
    <row r="3565" spans="13:16">
      <c r="M3565">
        <v>0.30762132961208277</v>
      </c>
      <c r="N3565">
        <v>0.17120183195057978</v>
      </c>
      <c r="O3565">
        <v>0.25346882747549454</v>
      </c>
      <c r="P3565">
        <v>0.26770801096184293</v>
      </c>
    </row>
    <row r="3566" spans="13:16">
      <c r="M3566">
        <v>0.30042348540165204</v>
      </c>
      <c r="N3566">
        <v>0.17715463674148427</v>
      </c>
      <c r="O3566">
        <v>0.26550497834951825</v>
      </c>
      <c r="P3566">
        <v>0.25691689950734525</v>
      </c>
    </row>
    <row r="3567" spans="13:16">
      <c r="M3567">
        <v>0.30038810764653862</v>
      </c>
      <c r="N3567">
        <v>0.17851562475274943</v>
      </c>
      <c r="O3567">
        <v>0.23552011562037325</v>
      </c>
      <c r="P3567">
        <v>0.2855761519803387</v>
      </c>
    </row>
    <row r="3568" spans="13:16">
      <c r="M3568">
        <v>0.28470893525602325</v>
      </c>
      <c r="N3568">
        <v>0.20715336388608965</v>
      </c>
      <c r="O3568">
        <v>0.24582265210821341</v>
      </c>
      <c r="P3568">
        <v>0.2623150487496736</v>
      </c>
    </row>
    <row r="3569" spans="13:16">
      <c r="M3569">
        <v>0.3008400749633629</v>
      </c>
      <c r="N3569">
        <v>0.2072559689250057</v>
      </c>
      <c r="O3569">
        <v>0.22612684988247467</v>
      </c>
      <c r="P3569">
        <v>0.26577710622915679</v>
      </c>
    </row>
    <row r="3570" spans="13:16">
      <c r="M3570">
        <v>0.30424999628794253</v>
      </c>
      <c r="N3570">
        <v>0.18289106620924828</v>
      </c>
      <c r="O3570">
        <v>0.26401049742317179</v>
      </c>
      <c r="P3570">
        <v>0.24884844007963727</v>
      </c>
    </row>
    <row r="3571" spans="13:16">
      <c r="M3571">
        <v>0.28339125786294861</v>
      </c>
      <c r="N3571">
        <v>0.18426502718490909</v>
      </c>
      <c r="O3571">
        <v>0.27981041775224236</v>
      </c>
      <c r="P3571">
        <v>0.25253329719990009</v>
      </c>
    </row>
    <row r="3572" spans="13:16">
      <c r="M3572">
        <v>0.26620097194891884</v>
      </c>
      <c r="N3572">
        <v>0.20848788243150929</v>
      </c>
      <c r="O3572">
        <v>0.25628757678378589</v>
      </c>
      <c r="P3572">
        <v>0.26902356883578604</v>
      </c>
    </row>
    <row r="3573" spans="13:16">
      <c r="M3573">
        <v>0.30179644382469822</v>
      </c>
      <c r="N3573">
        <v>0.20003342047130562</v>
      </c>
      <c r="O3573">
        <v>0.21962289365137488</v>
      </c>
      <c r="P3573">
        <v>0.27854724205262116</v>
      </c>
    </row>
    <row r="3574" spans="13:16">
      <c r="M3574">
        <v>0.28781461892931476</v>
      </c>
      <c r="N3574">
        <v>0.18299400028623689</v>
      </c>
      <c r="O3574">
        <v>0.25080338950865083</v>
      </c>
      <c r="P3574">
        <v>0.27838799127579755</v>
      </c>
    </row>
    <row r="3575" spans="13:16">
      <c r="M3575">
        <v>0.31077515280358703</v>
      </c>
      <c r="N3575">
        <v>0.16933761991849028</v>
      </c>
      <c r="O3575">
        <v>0.26393059886109699</v>
      </c>
      <c r="P3575">
        <v>0.25595662841682576</v>
      </c>
    </row>
    <row r="3576" spans="13:16">
      <c r="M3576">
        <v>0.28375235676035404</v>
      </c>
      <c r="N3576">
        <v>0.18188200103689209</v>
      </c>
      <c r="O3576">
        <v>0.27069412781655916</v>
      </c>
      <c r="P3576">
        <v>0.26367151438619479</v>
      </c>
    </row>
    <row r="3577" spans="13:16">
      <c r="M3577">
        <v>0.3071883280041296</v>
      </c>
      <c r="N3577">
        <v>0.17206793856747601</v>
      </c>
      <c r="O3577">
        <v>0.25486028536603522</v>
      </c>
      <c r="P3577">
        <v>0.26588344806235931</v>
      </c>
    </row>
    <row r="3578" spans="13:16">
      <c r="M3578">
        <v>0.28752013366152296</v>
      </c>
      <c r="N3578">
        <v>0.19002840316146977</v>
      </c>
      <c r="O3578">
        <v>0.25689521566132667</v>
      </c>
      <c r="P3578">
        <v>0.26555624751568063</v>
      </c>
    </row>
    <row r="3579" spans="13:16">
      <c r="M3579">
        <v>0.26479868404745449</v>
      </c>
      <c r="N3579">
        <v>0.21078966902126084</v>
      </c>
      <c r="O3579">
        <v>0.25243867244633572</v>
      </c>
      <c r="P3579">
        <v>0.27197297448494895</v>
      </c>
    </row>
    <row r="3580" spans="13:16">
      <c r="M3580">
        <v>0.28330544263527568</v>
      </c>
      <c r="N3580">
        <v>0.19687363523283985</v>
      </c>
      <c r="O3580">
        <v>0.25300101405257303</v>
      </c>
      <c r="P3580">
        <v>0.2668199080793115</v>
      </c>
    </row>
    <row r="3581" spans="13:16">
      <c r="M3581">
        <v>0.29194080280899165</v>
      </c>
      <c r="N3581">
        <v>0.20313977744287881</v>
      </c>
      <c r="O3581">
        <v>0.24430219314588461</v>
      </c>
      <c r="P3581">
        <v>0.2606172266022449</v>
      </c>
    </row>
    <row r="3582" spans="13:16">
      <c r="M3582">
        <v>0.28708913321848234</v>
      </c>
      <c r="N3582">
        <v>0.169918986057043</v>
      </c>
      <c r="O3582">
        <v>0.29255921063832907</v>
      </c>
      <c r="P3582">
        <v>0.25043267008614567</v>
      </c>
    </row>
    <row r="3583" spans="13:16">
      <c r="M3583">
        <v>0.28304491242643903</v>
      </c>
      <c r="N3583">
        <v>0.17242336399499628</v>
      </c>
      <c r="O3583">
        <v>0.2793261197753707</v>
      </c>
      <c r="P3583">
        <v>0.26520560380319391</v>
      </c>
    </row>
    <row r="3584" spans="13:16">
      <c r="M3584">
        <v>0.29253284330686885</v>
      </c>
      <c r="N3584">
        <v>0.21039182776982271</v>
      </c>
      <c r="O3584">
        <v>0.22705698167123869</v>
      </c>
      <c r="P3584">
        <v>0.27001834725206975</v>
      </c>
    </row>
    <row r="3585" spans="13:16">
      <c r="M3585">
        <v>0.27322555045276092</v>
      </c>
      <c r="N3585">
        <v>0.18082134084313548</v>
      </c>
      <c r="O3585">
        <v>0.29222578820386091</v>
      </c>
      <c r="P3585">
        <v>0.25372732050024271</v>
      </c>
    </row>
    <row r="3586" spans="13:16">
      <c r="M3586">
        <v>0.27076750068229122</v>
      </c>
      <c r="N3586">
        <v>0.1935641239039077</v>
      </c>
      <c r="O3586">
        <v>0.27489251882031634</v>
      </c>
      <c r="P3586">
        <v>0.26077585659348468</v>
      </c>
    </row>
    <row r="3587" spans="13:16">
      <c r="M3587">
        <v>0.28932474355627147</v>
      </c>
      <c r="N3587">
        <v>0.19000847279959482</v>
      </c>
      <c r="O3587">
        <v>0.25597485930860986</v>
      </c>
      <c r="P3587">
        <v>0.2646919243355238</v>
      </c>
    </row>
    <row r="3588" spans="13:16">
      <c r="M3588">
        <v>0.30141093309464156</v>
      </c>
      <c r="N3588">
        <v>0.15875088518796487</v>
      </c>
      <c r="O3588">
        <v>0.30010524944947531</v>
      </c>
      <c r="P3588">
        <v>0.23973293226791828</v>
      </c>
    </row>
    <row r="3589" spans="13:16">
      <c r="M3589">
        <v>0.2812973846128119</v>
      </c>
      <c r="N3589">
        <v>0.19001680506291488</v>
      </c>
      <c r="O3589">
        <v>0.27554108013205436</v>
      </c>
      <c r="P3589">
        <v>0.25314473019221889</v>
      </c>
    </row>
    <row r="3590" spans="13:16">
      <c r="M3590">
        <v>0.27840540488290055</v>
      </c>
      <c r="N3590">
        <v>0.18449540420929286</v>
      </c>
      <c r="O3590">
        <v>0.2637581531311517</v>
      </c>
      <c r="P3590">
        <v>0.27334103777665486</v>
      </c>
    </row>
    <row r="3591" spans="13:16">
      <c r="M3591">
        <v>0.27232092965275384</v>
      </c>
      <c r="N3591">
        <v>0.19699683847670696</v>
      </c>
      <c r="O3591">
        <v>0.25158592710690153</v>
      </c>
      <c r="P3591">
        <v>0.27909630476363773</v>
      </c>
    </row>
    <row r="3592" spans="13:16">
      <c r="M3592">
        <v>0.27505324713119306</v>
      </c>
      <c r="N3592">
        <v>0.16874924315493581</v>
      </c>
      <c r="O3592">
        <v>0.29608234393189192</v>
      </c>
      <c r="P3592">
        <v>0.26011516578197935</v>
      </c>
    </row>
    <row r="3593" spans="13:16">
      <c r="M3593">
        <v>0.27825146995813838</v>
      </c>
      <c r="N3593">
        <v>0.18707770329779705</v>
      </c>
      <c r="O3593">
        <v>0.27216508820861907</v>
      </c>
      <c r="P3593">
        <v>0.26250573853544557</v>
      </c>
    </row>
    <row r="3594" spans="13:16">
      <c r="M3594">
        <v>0.30233479092727672</v>
      </c>
      <c r="N3594">
        <v>0.18301048849610121</v>
      </c>
      <c r="O3594">
        <v>0.22370051151433776</v>
      </c>
      <c r="P3594">
        <v>0.29095420906228436</v>
      </c>
    </row>
    <row r="3595" spans="13:16">
      <c r="M3595">
        <v>0.29545255391686642</v>
      </c>
      <c r="N3595">
        <v>0.18802458956175341</v>
      </c>
      <c r="O3595">
        <v>0.25052232189319779</v>
      </c>
      <c r="P3595">
        <v>0.26600053462818229</v>
      </c>
    </row>
    <row r="3596" spans="13:16">
      <c r="M3596">
        <v>0.30537758432029333</v>
      </c>
      <c r="N3596">
        <v>0.1732425234382089</v>
      </c>
      <c r="O3596">
        <v>0.27042507152434464</v>
      </c>
      <c r="P3596">
        <v>0.25095482071715314</v>
      </c>
    </row>
    <row r="3597" spans="13:16">
      <c r="M3597">
        <v>0.29095097786469098</v>
      </c>
      <c r="N3597">
        <v>0.16290489761609372</v>
      </c>
      <c r="O3597">
        <v>0.29975284762214377</v>
      </c>
      <c r="P3597">
        <v>0.24639127689707149</v>
      </c>
    </row>
    <row r="3598" spans="13:16">
      <c r="M3598">
        <v>0.31064694374503632</v>
      </c>
      <c r="N3598">
        <v>0.18773556309988915</v>
      </c>
      <c r="O3598">
        <v>0.22779749510934463</v>
      </c>
      <c r="P3598">
        <v>0.27381999804572993</v>
      </c>
    </row>
    <row r="3599" spans="13:16">
      <c r="M3599">
        <v>0.29074073789318872</v>
      </c>
      <c r="N3599">
        <v>0.19214751823722254</v>
      </c>
      <c r="O3599">
        <v>0.22458709902270271</v>
      </c>
      <c r="P3599">
        <v>0.29252464484688601</v>
      </c>
    </row>
    <row r="3600" spans="13:16">
      <c r="M3600">
        <v>0.32871842890158126</v>
      </c>
      <c r="N3600">
        <v>0.17242571792355652</v>
      </c>
      <c r="O3600">
        <v>0.22636298453243656</v>
      </c>
      <c r="P3600">
        <v>0.27249286864242578</v>
      </c>
    </row>
    <row r="3601" spans="13:16">
      <c r="M3601">
        <v>0.31889540090681417</v>
      </c>
      <c r="N3601">
        <v>0.18038316963306636</v>
      </c>
      <c r="O3601">
        <v>0.24190706683055554</v>
      </c>
      <c r="P3601">
        <v>0.25881436262956398</v>
      </c>
    </row>
    <row r="3602" spans="13:16">
      <c r="M3602">
        <v>0.27603847845106533</v>
      </c>
      <c r="N3602">
        <v>0.18533883718421382</v>
      </c>
      <c r="O3602">
        <v>0.26152538945041515</v>
      </c>
      <c r="P3602">
        <v>0.27709729491430557</v>
      </c>
    </row>
    <row r="3603" spans="13:16">
      <c r="M3603">
        <v>0.27303178171820869</v>
      </c>
      <c r="N3603">
        <v>0.18974049147499314</v>
      </c>
      <c r="O3603">
        <v>0.27102250778945036</v>
      </c>
      <c r="P3603">
        <v>0.26620521901734778</v>
      </c>
    </row>
    <row r="3604" spans="13:16">
      <c r="M3604">
        <v>0.31253477844825378</v>
      </c>
      <c r="N3604">
        <v>0.17227359000064602</v>
      </c>
      <c r="O3604">
        <v>0.27108549918172892</v>
      </c>
      <c r="P3604">
        <v>0.24410613236937123</v>
      </c>
    </row>
    <row r="3605" spans="13:16">
      <c r="M3605">
        <v>0.29760407856312904</v>
      </c>
      <c r="N3605">
        <v>0.20713398698535718</v>
      </c>
      <c r="O3605">
        <v>0.23063289182828603</v>
      </c>
      <c r="P3605">
        <v>0.26462904262322773</v>
      </c>
    </row>
    <row r="3606" spans="13:16">
      <c r="M3606">
        <v>0.30257659121708058</v>
      </c>
      <c r="N3606">
        <v>0.17705002599918782</v>
      </c>
      <c r="O3606">
        <v>0.26257851707145646</v>
      </c>
      <c r="P3606">
        <v>0.25779486571227517</v>
      </c>
    </row>
    <row r="3607" spans="13:16">
      <c r="M3607">
        <v>0.2772277389853679</v>
      </c>
      <c r="N3607">
        <v>0.20744892468727036</v>
      </c>
      <c r="O3607">
        <v>0.23565545339698854</v>
      </c>
      <c r="P3607">
        <v>0.27966788293037326</v>
      </c>
    </row>
    <row r="3608" spans="13:16">
      <c r="M3608">
        <v>0.2889141989583342</v>
      </c>
      <c r="N3608">
        <v>0.177504722166096</v>
      </c>
      <c r="O3608">
        <v>0.28079633486452554</v>
      </c>
      <c r="P3608">
        <v>0.25278474401104434</v>
      </c>
    </row>
    <row r="3609" spans="13:16">
      <c r="M3609">
        <v>0.31739202057206406</v>
      </c>
      <c r="N3609">
        <v>0.16503128318237237</v>
      </c>
      <c r="O3609">
        <v>0.25363871143491901</v>
      </c>
      <c r="P3609">
        <v>0.26393798481064451</v>
      </c>
    </row>
    <row r="3610" spans="13:16">
      <c r="M3610">
        <v>0.27648996986218349</v>
      </c>
      <c r="N3610">
        <v>0.19320387390948843</v>
      </c>
      <c r="O3610">
        <v>0.26400334166466854</v>
      </c>
      <c r="P3610">
        <v>0.26630281456365945</v>
      </c>
    </row>
    <row r="3611" spans="13:16">
      <c r="M3611">
        <v>0.31211427706798983</v>
      </c>
      <c r="N3611">
        <v>0.17195568379692031</v>
      </c>
      <c r="O3611">
        <v>0.26375941713789236</v>
      </c>
      <c r="P3611">
        <v>0.25217062199719753</v>
      </c>
    </row>
    <row r="3612" spans="13:16">
      <c r="M3612">
        <v>0.27357743185354022</v>
      </c>
      <c r="N3612">
        <v>0.18639605433495376</v>
      </c>
      <c r="O3612">
        <v>0.28177124613320459</v>
      </c>
      <c r="P3612">
        <v>0.25825526767830148</v>
      </c>
    </row>
    <row r="3613" spans="13:16">
      <c r="M3613">
        <v>0.27099890849140407</v>
      </c>
      <c r="N3613">
        <v>0.21272069442036273</v>
      </c>
      <c r="O3613">
        <v>0.24425030447547327</v>
      </c>
      <c r="P3613">
        <v>0.27203009261275979</v>
      </c>
    </row>
    <row r="3614" spans="13:16">
      <c r="M3614">
        <v>0.28130616698995903</v>
      </c>
      <c r="N3614">
        <v>0.20687626961007102</v>
      </c>
      <c r="O3614">
        <v>0.24328125916017171</v>
      </c>
      <c r="P3614">
        <v>0.26853630423979835</v>
      </c>
    </row>
    <row r="3615" spans="13:16">
      <c r="M3615">
        <v>0.31247485049132873</v>
      </c>
      <c r="N3615">
        <v>0.18070024016655206</v>
      </c>
      <c r="O3615">
        <v>0.25379038622026329</v>
      </c>
      <c r="P3615">
        <v>0.25303452312185587</v>
      </c>
    </row>
    <row r="3616" spans="13:16">
      <c r="M3616">
        <v>0.31638002116906422</v>
      </c>
      <c r="N3616">
        <v>0.18502344558326247</v>
      </c>
      <c r="O3616">
        <v>0.21877835875650192</v>
      </c>
      <c r="P3616">
        <v>0.27981817449117141</v>
      </c>
    </row>
    <row r="3617" spans="13:16">
      <c r="M3617">
        <v>0.30214652047473711</v>
      </c>
      <c r="N3617">
        <v>0.19896569703545836</v>
      </c>
      <c r="O3617">
        <v>0.22543195626368123</v>
      </c>
      <c r="P3617">
        <v>0.27345582622612319</v>
      </c>
    </row>
    <row r="3618" spans="13:16">
      <c r="M3618">
        <v>0.28031339733292421</v>
      </c>
      <c r="N3618">
        <v>0.2071024245432774</v>
      </c>
      <c r="O3618">
        <v>0.24766557116316429</v>
      </c>
      <c r="P3618">
        <v>0.26491860696063402</v>
      </c>
    </row>
    <row r="3619" spans="13:16">
      <c r="M3619">
        <v>0.29444702884529861</v>
      </c>
      <c r="N3619">
        <v>0.17790007185685677</v>
      </c>
      <c r="O3619">
        <v>0.25586445908180677</v>
      </c>
      <c r="P3619">
        <v>0.27178844021603776</v>
      </c>
    </row>
    <row r="3620" spans="13:16">
      <c r="M3620">
        <v>0.2840832734013804</v>
      </c>
      <c r="N3620">
        <v>0.19149451092500511</v>
      </c>
      <c r="O3620">
        <v>0.26042261177446097</v>
      </c>
      <c r="P3620">
        <v>0.2639996038991535</v>
      </c>
    </row>
    <row r="3621" spans="13:16">
      <c r="M3621">
        <v>0.27462117901541222</v>
      </c>
      <c r="N3621">
        <v>0.17653570300006949</v>
      </c>
      <c r="O3621">
        <v>0.28413794747076099</v>
      </c>
      <c r="P3621">
        <v>0.26470517051375714</v>
      </c>
    </row>
    <row r="3622" spans="13:16">
      <c r="M3622">
        <v>0.30801728813032897</v>
      </c>
      <c r="N3622">
        <v>0.17440360483840431</v>
      </c>
      <c r="O3622">
        <v>0.26672385674282478</v>
      </c>
      <c r="P3622">
        <v>0.25085525028844191</v>
      </c>
    </row>
    <row r="3623" spans="13:16">
      <c r="M3623">
        <v>0.31139806174806961</v>
      </c>
      <c r="N3623">
        <v>0.18288484492762686</v>
      </c>
      <c r="O3623">
        <v>0.23847401745257385</v>
      </c>
      <c r="P3623">
        <v>0.26724307587172969</v>
      </c>
    </row>
    <row r="3624" spans="13:16">
      <c r="M3624">
        <v>0.27474486797384118</v>
      </c>
      <c r="N3624">
        <v>0.18509035703895318</v>
      </c>
      <c r="O3624">
        <v>0.28161458165901254</v>
      </c>
      <c r="P3624">
        <v>0.25855019332819307</v>
      </c>
    </row>
    <row r="3625" spans="13:16">
      <c r="M3625">
        <v>0.30958850343684829</v>
      </c>
      <c r="N3625">
        <v>0.20123441528279787</v>
      </c>
      <c r="O3625">
        <v>0.20526348743472991</v>
      </c>
      <c r="P3625">
        <v>0.28391359384562387</v>
      </c>
    </row>
    <row r="3626" spans="13:16">
      <c r="M3626">
        <v>0.28107675971838325</v>
      </c>
      <c r="N3626">
        <v>0.18092132408078068</v>
      </c>
      <c r="O3626">
        <v>0.25109361348095516</v>
      </c>
      <c r="P3626">
        <v>0.28690830271988094</v>
      </c>
    </row>
    <row r="3627" spans="13:16">
      <c r="M3627">
        <v>0.28656479532818968</v>
      </c>
      <c r="N3627">
        <v>0.18868870431677834</v>
      </c>
      <c r="O3627">
        <v>0.24564064760292348</v>
      </c>
      <c r="P3627">
        <v>0.27910585275210853</v>
      </c>
    </row>
    <row r="3628" spans="13:16">
      <c r="M3628">
        <v>0.29802184858108771</v>
      </c>
      <c r="N3628">
        <v>0.18900897414397508</v>
      </c>
      <c r="O3628">
        <v>0.26110171706066398</v>
      </c>
      <c r="P3628">
        <v>0.25186746021427303</v>
      </c>
    </row>
    <row r="3629" spans="13:16">
      <c r="M3629">
        <v>0.30574187086368032</v>
      </c>
      <c r="N3629">
        <v>0.17946774777641811</v>
      </c>
      <c r="O3629">
        <v>0.25165960179219649</v>
      </c>
      <c r="P3629">
        <v>0.26313077956770509</v>
      </c>
    </row>
    <row r="3630" spans="13:16">
      <c r="M3630">
        <v>0.30020420107945939</v>
      </c>
      <c r="N3630">
        <v>0.17659862611645086</v>
      </c>
      <c r="O3630">
        <v>0.2479814612637147</v>
      </c>
      <c r="P3630">
        <v>0.27521571154037511</v>
      </c>
    </row>
    <row r="3631" spans="13:16">
      <c r="M3631">
        <v>0.29306176094136699</v>
      </c>
      <c r="N3631">
        <v>0.20280179145648147</v>
      </c>
      <c r="O3631">
        <v>0.22107748920292938</v>
      </c>
      <c r="P3631">
        <v>0.28305895839922207</v>
      </c>
    </row>
    <row r="3632" spans="13:16">
      <c r="M3632">
        <v>0.29897389578115924</v>
      </c>
      <c r="N3632">
        <v>0.18989978328753765</v>
      </c>
      <c r="O3632">
        <v>0.2440938386703512</v>
      </c>
      <c r="P3632">
        <v>0.26703248226095189</v>
      </c>
    </row>
    <row r="3633" spans="13:16">
      <c r="M3633">
        <v>0.31511683225894405</v>
      </c>
      <c r="N3633">
        <v>0.19527974957401967</v>
      </c>
      <c r="O3633">
        <v>0.22945407534860585</v>
      </c>
      <c r="P3633">
        <v>0.26014934281843033</v>
      </c>
    </row>
    <row r="3634" spans="13:16">
      <c r="M3634">
        <v>0.31255134532430634</v>
      </c>
      <c r="N3634">
        <v>0.16839276002002868</v>
      </c>
      <c r="O3634">
        <v>0.26691106516794089</v>
      </c>
      <c r="P3634">
        <v>0.25214482948772421</v>
      </c>
    </row>
    <row r="3635" spans="13:16">
      <c r="M3635">
        <v>0.29576004846857612</v>
      </c>
      <c r="N3635">
        <v>0.19217791211290927</v>
      </c>
      <c r="O3635">
        <v>0.23515419052648157</v>
      </c>
      <c r="P3635">
        <v>0.27690784889203318</v>
      </c>
    </row>
    <row r="3636" spans="13:16">
      <c r="M3636">
        <v>0.32522622972525161</v>
      </c>
      <c r="N3636">
        <v>0.19574050768395421</v>
      </c>
      <c r="O3636">
        <v>0.20798711949147014</v>
      </c>
      <c r="P3636">
        <v>0.27104614309932412</v>
      </c>
    </row>
    <row r="3637" spans="13:16">
      <c r="M3637">
        <v>0.27515652647799582</v>
      </c>
      <c r="N3637">
        <v>0.21120679371302714</v>
      </c>
      <c r="O3637">
        <v>0.24811081426521703</v>
      </c>
      <c r="P3637">
        <v>0.26552586554376001</v>
      </c>
    </row>
    <row r="3638" spans="13:16">
      <c r="M3638">
        <v>0.3214426325482081</v>
      </c>
      <c r="N3638">
        <v>0.18494706387871762</v>
      </c>
      <c r="O3638">
        <v>0.21920931913253891</v>
      </c>
      <c r="P3638">
        <v>0.2744009844405354</v>
      </c>
    </row>
    <row r="3639" spans="13:16">
      <c r="M3639">
        <v>0.30477292222735436</v>
      </c>
      <c r="N3639">
        <v>0.16985994575888569</v>
      </c>
      <c r="O3639">
        <v>0.28103942010103705</v>
      </c>
      <c r="P3639">
        <v>0.24432771191272293</v>
      </c>
    </row>
    <row r="3640" spans="13:16">
      <c r="M3640">
        <v>0.28347953025797762</v>
      </c>
      <c r="N3640">
        <v>0.19278509051986012</v>
      </c>
      <c r="O3640">
        <v>0.25764261011922507</v>
      </c>
      <c r="P3640">
        <v>0.26609276910293717</v>
      </c>
    </row>
    <row r="3641" spans="13:16">
      <c r="M3641">
        <v>0.30862261099477373</v>
      </c>
      <c r="N3641">
        <v>0.17170947179421031</v>
      </c>
      <c r="O3641">
        <v>0.27126164207893144</v>
      </c>
      <c r="P3641">
        <v>0.24840627513208441</v>
      </c>
    </row>
    <row r="3642" spans="13:16">
      <c r="M3642">
        <v>0.29205071894889129</v>
      </c>
      <c r="N3642">
        <v>0.17520161599073228</v>
      </c>
      <c r="O3642">
        <v>0.28054960624164405</v>
      </c>
      <c r="P3642">
        <v>0.25219805881873231</v>
      </c>
    </row>
    <row r="3643" spans="13:16">
      <c r="M3643">
        <v>0.27645658007990914</v>
      </c>
      <c r="N3643">
        <v>0.17439639546020019</v>
      </c>
      <c r="O3643">
        <v>0.28251550961757549</v>
      </c>
      <c r="P3643">
        <v>0.26663151484231518</v>
      </c>
    </row>
    <row r="3644" spans="13:16">
      <c r="M3644">
        <v>0.29092332803590926</v>
      </c>
      <c r="N3644">
        <v>0.18717128815643239</v>
      </c>
      <c r="O3644">
        <v>0.25907815010548535</v>
      </c>
      <c r="P3644">
        <v>0.26282723370217298</v>
      </c>
    </row>
    <row r="3645" spans="13:16">
      <c r="M3645">
        <v>0.28826556519712154</v>
      </c>
      <c r="N3645">
        <v>0.17398015785858142</v>
      </c>
      <c r="O3645">
        <v>0.2887247149439115</v>
      </c>
      <c r="P3645">
        <v>0.24902956200038548</v>
      </c>
    </row>
    <row r="3646" spans="13:16">
      <c r="M3646">
        <v>0.27662485429021194</v>
      </c>
      <c r="N3646">
        <v>0.18986939277458406</v>
      </c>
      <c r="O3646">
        <v>0.26860835114576026</v>
      </c>
      <c r="P3646">
        <v>0.26489740178944365</v>
      </c>
    </row>
    <row r="3647" spans="13:16">
      <c r="M3647">
        <v>0.28601176929723993</v>
      </c>
      <c r="N3647">
        <v>0.18171430885137743</v>
      </c>
      <c r="O3647">
        <v>0.2674922839109477</v>
      </c>
      <c r="P3647">
        <v>0.26478163794043491</v>
      </c>
    </row>
    <row r="3648" spans="13:16">
      <c r="M3648">
        <v>0.28334025272063856</v>
      </c>
      <c r="N3648">
        <v>0.1990693097202049</v>
      </c>
      <c r="O3648">
        <v>0.23429326838060408</v>
      </c>
      <c r="P3648">
        <v>0.28329716917855252</v>
      </c>
    </row>
    <row r="3649" spans="13:16">
      <c r="M3649">
        <v>0.29756286367258949</v>
      </c>
      <c r="N3649">
        <v>0.16804592678281338</v>
      </c>
      <c r="O3649">
        <v>0.28676862899741967</v>
      </c>
      <c r="P3649">
        <v>0.24762258054717751</v>
      </c>
    </row>
    <row r="3650" spans="13:16">
      <c r="M3650">
        <v>0.28789225078315916</v>
      </c>
      <c r="N3650">
        <v>0.18952733075145775</v>
      </c>
      <c r="O3650">
        <v>0.27111235560563152</v>
      </c>
      <c r="P3650">
        <v>0.2514680628597516</v>
      </c>
    </row>
    <row r="3651" spans="13:16">
      <c r="M3651">
        <v>0.31965157345182593</v>
      </c>
      <c r="N3651">
        <v>0.18641362333189609</v>
      </c>
      <c r="O3651">
        <v>0.21487771874414024</v>
      </c>
      <c r="P3651">
        <v>0.27905708447213773</v>
      </c>
    </row>
    <row r="3652" spans="13:16">
      <c r="M3652">
        <v>0.27492756282744713</v>
      </c>
      <c r="N3652">
        <v>0.1849440000741828</v>
      </c>
      <c r="O3652">
        <v>0.27486169209940192</v>
      </c>
      <c r="P3652">
        <v>0.26526674499896802</v>
      </c>
    </row>
    <row r="3653" spans="13:16">
      <c r="M3653">
        <v>0.30943255338321057</v>
      </c>
      <c r="N3653">
        <v>0.17791071639034906</v>
      </c>
      <c r="O3653">
        <v>0.25187966737265</v>
      </c>
      <c r="P3653">
        <v>0.26077706285379043</v>
      </c>
    </row>
    <row r="3654" spans="13:16">
      <c r="M3654">
        <v>0.27448756009040004</v>
      </c>
      <c r="N3654">
        <v>0.18595897459286231</v>
      </c>
      <c r="O3654">
        <v>0.27183148197661594</v>
      </c>
      <c r="P3654">
        <v>0.26772198334012165</v>
      </c>
    </row>
    <row r="3655" spans="13:16">
      <c r="M3655">
        <v>0.29931062004735742</v>
      </c>
      <c r="N3655">
        <v>0.20604871324526003</v>
      </c>
      <c r="O3655">
        <v>0.22672973877812019</v>
      </c>
      <c r="P3655">
        <v>0.26791092792926235</v>
      </c>
    </row>
    <row r="3656" spans="13:16">
      <c r="M3656">
        <v>0.31748306180610047</v>
      </c>
      <c r="N3656">
        <v>0.17394563201311311</v>
      </c>
      <c r="O3656">
        <v>0.24232776879640078</v>
      </c>
      <c r="P3656">
        <v>0.26624353738438566</v>
      </c>
    </row>
    <row r="3657" spans="13:16">
      <c r="M3657">
        <v>0.27132719696554741</v>
      </c>
      <c r="N3657">
        <v>0.18879793493037417</v>
      </c>
      <c r="O3657">
        <v>0.25971234980305141</v>
      </c>
      <c r="P3657">
        <v>0.28016251830102701</v>
      </c>
    </row>
    <row r="3658" spans="13:16">
      <c r="M3658">
        <v>0.25687702706127874</v>
      </c>
      <c r="N3658">
        <v>0.18727547811378026</v>
      </c>
      <c r="O3658">
        <v>0.28987185698494516</v>
      </c>
      <c r="P3658">
        <v>0.26597563783999578</v>
      </c>
    </row>
    <row r="3659" spans="13:16">
      <c r="M3659">
        <v>0.30506234842380953</v>
      </c>
      <c r="N3659">
        <v>0.16787582747943153</v>
      </c>
      <c r="O3659">
        <v>0.2793862520931446</v>
      </c>
      <c r="P3659">
        <v>0.24767557200361442</v>
      </c>
    </row>
    <row r="3660" spans="13:16">
      <c r="M3660">
        <v>0.29481638607990807</v>
      </c>
      <c r="N3660">
        <v>0.17107226149862764</v>
      </c>
      <c r="O3660">
        <v>0.26978751250853988</v>
      </c>
      <c r="P3660">
        <v>0.26432383991292446</v>
      </c>
    </row>
    <row r="3661" spans="13:16">
      <c r="M3661">
        <v>0.30094303777171427</v>
      </c>
      <c r="N3661">
        <v>0.17437566681689401</v>
      </c>
      <c r="O3661">
        <v>0.27395700271621481</v>
      </c>
      <c r="P3661">
        <v>0.25072429269517699</v>
      </c>
    </row>
    <row r="3662" spans="13:16">
      <c r="M3662">
        <v>0.30881041919547098</v>
      </c>
      <c r="N3662">
        <v>0.17192110609089972</v>
      </c>
      <c r="O3662">
        <v>0.25575718318926349</v>
      </c>
      <c r="P3662">
        <v>0.26351129152436586</v>
      </c>
    </row>
    <row r="3663" spans="13:16">
      <c r="M3663">
        <v>0.31141256777468923</v>
      </c>
      <c r="N3663">
        <v>0.18059576842640851</v>
      </c>
      <c r="O3663">
        <v>0.24067931703049608</v>
      </c>
      <c r="P3663">
        <v>0.26731234676840621</v>
      </c>
    </row>
    <row r="3664" spans="13:16">
      <c r="M3664">
        <v>0.29643079955716872</v>
      </c>
      <c r="N3664">
        <v>0.17527543702724213</v>
      </c>
      <c r="O3664">
        <v>0.25797571829027782</v>
      </c>
      <c r="P3664">
        <v>0.27031804512531127</v>
      </c>
    </row>
    <row r="3665" spans="13:16">
      <c r="M3665">
        <v>0.28245920536736979</v>
      </c>
      <c r="N3665">
        <v>0.18229211000553908</v>
      </c>
      <c r="O3665">
        <v>0.26945253695352722</v>
      </c>
      <c r="P3665">
        <v>0.26579614767356391</v>
      </c>
    </row>
    <row r="3666" spans="13:16">
      <c r="M3666">
        <v>0.31590823382183997</v>
      </c>
      <c r="N3666">
        <v>0.17608531272345621</v>
      </c>
      <c r="O3666">
        <v>0.24247827113842782</v>
      </c>
      <c r="P3666">
        <v>0.26552818231627606</v>
      </c>
    </row>
    <row r="3667" spans="13:16">
      <c r="M3667">
        <v>0.29044897287899901</v>
      </c>
      <c r="N3667">
        <v>0.17011993869322387</v>
      </c>
      <c r="O3667">
        <v>0.29105630267804211</v>
      </c>
      <c r="P3667">
        <v>0.24837478574973504</v>
      </c>
    </row>
    <row r="3668" spans="13:16">
      <c r="M3668">
        <v>0.32982413410698375</v>
      </c>
      <c r="N3668">
        <v>0.17553894440208884</v>
      </c>
      <c r="O3668">
        <v>0.22682011924014747</v>
      </c>
      <c r="P3668">
        <v>0.26781680225077992</v>
      </c>
    </row>
    <row r="3669" spans="13:16">
      <c r="M3669">
        <v>0.30798027855090332</v>
      </c>
      <c r="N3669">
        <v>0.17201590986442178</v>
      </c>
      <c r="O3669">
        <v>0.26369089408551399</v>
      </c>
      <c r="P3669">
        <v>0.25631291749916096</v>
      </c>
    </row>
    <row r="3670" spans="13:16">
      <c r="M3670">
        <v>0.29706050532026312</v>
      </c>
      <c r="N3670">
        <v>0.20955619996069702</v>
      </c>
      <c r="O3670">
        <v>0.22350547058572329</v>
      </c>
      <c r="P3670">
        <v>0.26987782413331662</v>
      </c>
    </row>
    <row r="3671" spans="13:16">
      <c r="M3671">
        <v>0.28886087485445011</v>
      </c>
      <c r="N3671">
        <v>0.18398330102108187</v>
      </c>
      <c r="O3671">
        <v>0.26188325637745158</v>
      </c>
      <c r="P3671">
        <v>0.2652725677470163</v>
      </c>
    </row>
    <row r="3672" spans="13:16">
      <c r="M3672">
        <v>0.31452734513472763</v>
      </c>
      <c r="N3672">
        <v>0.1768134881993943</v>
      </c>
      <c r="O3672">
        <v>0.26232923010067316</v>
      </c>
      <c r="P3672">
        <v>0.24632993656520499</v>
      </c>
    </row>
    <row r="3673" spans="13:16">
      <c r="M3673">
        <v>0.30242753613499151</v>
      </c>
      <c r="N3673">
        <v>0.18410426861682389</v>
      </c>
      <c r="O3673">
        <v>0.23754231184717714</v>
      </c>
      <c r="P3673">
        <v>0.27592588340100738</v>
      </c>
    </row>
    <row r="3674" spans="13:16">
      <c r="M3674">
        <v>0.29155315457218928</v>
      </c>
      <c r="N3674">
        <v>0.17998039038452093</v>
      </c>
      <c r="O3674">
        <v>0.24797544725206602</v>
      </c>
      <c r="P3674">
        <v>0.28049100779122377</v>
      </c>
    </row>
    <row r="3675" spans="13:16">
      <c r="M3675">
        <v>0.2870443390275344</v>
      </c>
      <c r="N3675">
        <v>0.18288927486725357</v>
      </c>
      <c r="O3675">
        <v>0.27114957557930003</v>
      </c>
      <c r="P3675">
        <v>0.25891681052591198</v>
      </c>
    </row>
    <row r="3676" spans="13:16">
      <c r="M3676">
        <v>0.28988524005778482</v>
      </c>
      <c r="N3676">
        <v>0.17081558023806126</v>
      </c>
      <c r="O3676">
        <v>0.28627772827606296</v>
      </c>
      <c r="P3676">
        <v>0.2530214514280909</v>
      </c>
    </row>
    <row r="3677" spans="13:16">
      <c r="M3677">
        <v>0.28066695665074159</v>
      </c>
      <c r="N3677">
        <v>0.17165319818333657</v>
      </c>
      <c r="O3677">
        <v>0.28523798657813859</v>
      </c>
      <c r="P3677">
        <v>0.26244185858778329</v>
      </c>
    </row>
    <row r="3678" spans="13:16">
      <c r="M3678">
        <v>0.32152065622142623</v>
      </c>
      <c r="N3678">
        <v>0.18763435930178635</v>
      </c>
      <c r="O3678">
        <v>0.23252151890241934</v>
      </c>
      <c r="P3678">
        <v>0.25832346557436825</v>
      </c>
    </row>
    <row r="3679" spans="13:16">
      <c r="M3679">
        <v>0.29401497015711359</v>
      </c>
      <c r="N3679">
        <v>0.19747487382031942</v>
      </c>
      <c r="O3679">
        <v>0.24799816817218703</v>
      </c>
      <c r="P3679">
        <v>0.26051198785038004</v>
      </c>
    </row>
    <row r="3680" spans="13:16">
      <c r="M3680">
        <v>0.28847862767908178</v>
      </c>
      <c r="N3680">
        <v>0.20620856791577311</v>
      </c>
      <c r="O3680">
        <v>0.23999329476689391</v>
      </c>
      <c r="P3680">
        <v>0.26531950963825129</v>
      </c>
    </row>
    <row r="3681" spans="13:16">
      <c r="M3681">
        <v>0.29883840379000504</v>
      </c>
      <c r="N3681">
        <v>0.19317395900495687</v>
      </c>
      <c r="O3681">
        <v>0.24263523556790814</v>
      </c>
      <c r="P3681">
        <v>0.26535240163712998</v>
      </c>
    </row>
    <row r="3682" spans="13:16">
      <c r="M3682">
        <v>0.31977012517073905</v>
      </c>
      <c r="N3682">
        <v>0.19020970631147141</v>
      </c>
      <c r="O3682">
        <v>0.22906074598383355</v>
      </c>
      <c r="P3682">
        <v>0.26095942253395604</v>
      </c>
    </row>
    <row r="3683" spans="13:16">
      <c r="M3683">
        <v>0.31194296420360124</v>
      </c>
      <c r="N3683">
        <v>0.1883129717933103</v>
      </c>
      <c r="O3683">
        <v>0.23754814737890576</v>
      </c>
      <c r="P3683">
        <v>0.26219591662418268</v>
      </c>
    </row>
    <row r="3684" spans="13:16">
      <c r="M3684">
        <v>0.28346072446769033</v>
      </c>
      <c r="N3684">
        <v>0.18341907496949353</v>
      </c>
      <c r="O3684">
        <v>0.25153254614559029</v>
      </c>
      <c r="P3684">
        <v>0.28158765441722577</v>
      </c>
    </row>
    <row r="3685" spans="13:16">
      <c r="M3685">
        <v>0.2767170648335513</v>
      </c>
      <c r="N3685">
        <v>0.18510748205091684</v>
      </c>
      <c r="O3685">
        <v>0.28190190757063444</v>
      </c>
      <c r="P3685">
        <v>0.25627354554489756</v>
      </c>
    </row>
    <row r="3686" spans="13:16">
      <c r="M3686">
        <v>0.29263429827606491</v>
      </c>
      <c r="N3686">
        <v>0.17910213569120101</v>
      </c>
      <c r="O3686">
        <v>0.25334487404640749</v>
      </c>
      <c r="P3686">
        <v>0.27491869198632668</v>
      </c>
    </row>
    <row r="3687" spans="13:16">
      <c r="M3687">
        <v>0.29137029756890498</v>
      </c>
      <c r="N3687">
        <v>0.19383392040462691</v>
      </c>
      <c r="O3687">
        <v>0.24613007988990526</v>
      </c>
      <c r="P3687">
        <v>0.26866570213656299</v>
      </c>
    </row>
    <row r="3688" spans="13:16">
      <c r="M3688">
        <v>0.26182513412626934</v>
      </c>
      <c r="N3688">
        <v>0.1890982050708182</v>
      </c>
      <c r="O3688">
        <v>0.28480573985710406</v>
      </c>
      <c r="P3688">
        <v>0.26427092094580834</v>
      </c>
    </row>
    <row r="3689" spans="13:16">
      <c r="M3689">
        <v>0.27986778670039197</v>
      </c>
      <c r="N3689">
        <v>0.19577373503095577</v>
      </c>
      <c r="O3689">
        <v>0.25363304129866676</v>
      </c>
      <c r="P3689">
        <v>0.27072543696998558</v>
      </c>
    </row>
    <row r="3690" spans="13:16">
      <c r="M3690">
        <v>0.31660055810212601</v>
      </c>
      <c r="N3690">
        <v>0.17232023868366397</v>
      </c>
      <c r="O3690">
        <v>0.23781155392188053</v>
      </c>
      <c r="P3690">
        <v>0.27326764929232938</v>
      </c>
    </row>
    <row r="3691" spans="13:16">
      <c r="M3691">
        <v>0.28352659506655203</v>
      </c>
      <c r="N3691">
        <v>0.19955615113580502</v>
      </c>
      <c r="O3691">
        <v>0.25037273402224824</v>
      </c>
      <c r="P3691">
        <v>0.26654451977539473</v>
      </c>
    </row>
    <row r="3692" spans="13:16">
      <c r="M3692">
        <v>0.30849832563694923</v>
      </c>
      <c r="N3692">
        <v>0.16014580142522244</v>
      </c>
      <c r="O3692">
        <v>0.28740229623909391</v>
      </c>
      <c r="P3692">
        <v>0.24395357669873433</v>
      </c>
    </row>
    <row r="3693" spans="13:16">
      <c r="M3693">
        <v>0.32570236716368317</v>
      </c>
      <c r="N3693">
        <v>0.17914496104735292</v>
      </c>
      <c r="O3693">
        <v>0.23497580149006267</v>
      </c>
      <c r="P3693">
        <v>0.2601768702989013</v>
      </c>
    </row>
    <row r="3694" spans="13:16">
      <c r="M3694">
        <v>0.30417852669524825</v>
      </c>
      <c r="N3694">
        <v>0.17031649113487782</v>
      </c>
      <c r="O3694">
        <v>0.28160522420533035</v>
      </c>
      <c r="P3694">
        <v>0.24389975796454352</v>
      </c>
    </row>
    <row r="3695" spans="13:16">
      <c r="M3695">
        <v>0.31361651618986625</v>
      </c>
      <c r="N3695">
        <v>0.17802987528031244</v>
      </c>
      <c r="O3695">
        <v>0.26011570942452555</v>
      </c>
      <c r="P3695">
        <v>0.24823789910529562</v>
      </c>
    </row>
    <row r="3696" spans="13:16">
      <c r="M3696">
        <v>0.30197649373618801</v>
      </c>
      <c r="N3696">
        <v>0.19473112164913262</v>
      </c>
      <c r="O3696">
        <v>0.25047509664174844</v>
      </c>
      <c r="P3696">
        <v>0.25281728797293107</v>
      </c>
    </row>
    <row r="3697" spans="13:16">
      <c r="M3697">
        <v>0.3016942754205213</v>
      </c>
      <c r="N3697">
        <v>0.16531445745417517</v>
      </c>
      <c r="O3697">
        <v>0.28271527326101031</v>
      </c>
      <c r="P3697">
        <v>0.25027599386429311</v>
      </c>
    </row>
    <row r="3698" spans="13:16">
      <c r="M3698">
        <v>0.2953346039662646</v>
      </c>
      <c r="N3698">
        <v>0.19518783333051784</v>
      </c>
      <c r="O3698">
        <v>0.23616196624597147</v>
      </c>
      <c r="P3698">
        <v>0.27331559645724607</v>
      </c>
    </row>
    <row r="3699" spans="13:16">
      <c r="M3699">
        <v>0.3089211229138949</v>
      </c>
      <c r="N3699">
        <v>0.17492238179260094</v>
      </c>
      <c r="O3699">
        <v>0.26003250777701142</v>
      </c>
      <c r="P3699">
        <v>0.25612398751649279</v>
      </c>
    </row>
    <row r="3700" spans="13:16">
      <c r="M3700">
        <v>0.30216885940363691</v>
      </c>
      <c r="N3700">
        <v>0.17373151528941042</v>
      </c>
      <c r="O3700">
        <v>0.27527808607812981</v>
      </c>
      <c r="P3700">
        <v>0.24882153922882291</v>
      </c>
    </row>
    <row r="3701" spans="13:16">
      <c r="M3701">
        <v>0.29483263633050921</v>
      </c>
      <c r="N3701">
        <v>0.18599552926309487</v>
      </c>
      <c r="O3701">
        <v>0.24068432857046598</v>
      </c>
      <c r="P3701">
        <v>0.2784875058359299</v>
      </c>
    </row>
    <row r="3702" spans="13:16">
      <c r="M3702">
        <v>0.3217582452160021</v>
      </c>
      <c r="N3702">
        <v>0.16821586445172115</v>
      </c>
      <c r="O3702">
        <v>0.24449151489381404</v>
      </c>
      <c r="P3702">
        <v>0.2655343754384627</v>
      </c>
    </row>
    <row r="3703" spans="13:16">
      <c r="M3703">
        <v>0.28212818399627643</v>
      </c>
      <c r="N3703">
        <v>0.2038125510272141</v>
      </c>
      <c r="O3703">
        <v>0.24079805909526006</v>
      </c>
      <c r="P3703">
        <v>0.27326120588124947</v>
      </c>
    </row>
    <row r="3704" spans="13:16">
      <c r="M3704">
        <v>0.31376034908360861</v>
      </c>
      <c r="N3704">
        <v>0.18497488796970951</v>
      </c>
      <c r="O3704">
        <v>0.23203980921143502</v>
      </c>
      <c r="P3704">
        <v>0.26922495373524691</v>
      </c>
    </row>
    <row r="3705" spans="13:16">
      <c r="M3705">
        <v>0.27781041748224999</v>
      </c>
      <c r="N3705">
        <v>0.20249402479948989</v>
      </c>
      <c r="O3705">
        <v>0.25674551629926934</v>
      </c>
      <c r="P3705">
        <v>0.26295004141899064</v>
      </c>
    </row>
    <row r="3706" spans="13:16">
      <c r="M3706">
        <v>0.30097404209746026</v>
      </c>
      <c r="N3706">
        <v>0.16427991984178619</v>
      </c>
      <c r="O3706">
        <v>0.28246045536376163</v>
      </c>
      <c r="P3706">
        <v>0.25228558269699181</v>
      </c>
    </row>
    <row r="3707" spans="13:16">
      <c r="M3707">
        <v>0.28621431983500895</v>
      </c>
      <c r="N3707">
        <v>0.17926034856366191</v>
      </c>
      <c r="O3707">
        <v>0.27789408332753063</v>
      </c>
      <c r="P3707">
        <v>0.25663124827379846</v>
      </c>
    </row>
    <row r="3708" spans="13:16">
      <c r="M3708">
        <v>0.28572918016613963</v>
      </c>
      <c r="N3708">
        <v>0.19579493464882408</v>
      </c>
      <c r="O3708">
        <v>0.26584027514068465</v>
      </c>
      <c r="P3708">
        <v>0.25263561004435148</v>
      </c>
    </row>
    <row r="3709" spans="13:16">
      <c r="M3709">
        <v>0.30182605779481497</v>
      </c>
      <c r="N3709">
        <v>0.19408055385966466</v>
      </c>
      <c r="O3709">
        <v>0.2350722955168176</v>
      </c>
      <c r="P3709">
        <v>0.26902109282870285</v>
      </c>
    </row>
    <row r="3710" spans="13:16">
      <c r="M3710">
        <v>0.28634327083679995</v>
      </c>
      <c r="N3710">
        <v>0.19182611828136675</v>
      </c>
      <c r="O3710">
        <v>0.26058935259089411</v>
      </c>
      <c r="P3710">
        <v>0.26124125829093925</v>
      </c>
    </row>
    <row r="3711" spans="13:16">
      <c r="M3711">
        <v>0.30323821429947062</v>
      </c>
      <c r="N3711">
        <v>0.18400235076444782</v>
      </c>
      <c r="O3711">
        <v>0.23337346866196326</v>
      </c>
      <c r="P3711">
        <v>0.27938596627411821</v>
      </c>
    </row>
    <row r="3712" spans="13:16">
      <c r="M3712">
        <v>0.29120886313375194</v>
      </c>
      <c r="N3712">
        <v>0.18120088935879913</v>
      </c>
      <c r="O3712">
        <v>0.27136113310877735</v>
      </c>
      <c r="P3712">
        <v>0.25622911439867163</v>
      </c>
    </row>
    <row r="3713" spans="13:16">
      <c r="M3713">
        <v>0.33076712236811268</v>
      </c>
      <c r="N3713">
        <v>0.17064605484804501</v>
      </c>
      <c r="O3713">
        <v>0.24265356822948722</v>
      </c>
      <c r="P3713">
        <v>0.25593325455435506</v>
      </c>
    </row>
    <row r="3714" spans="13:16">
      <c r="M3714">
        <v>0.28463686917807479</v>
      </c>
      <c r="N3714">
        <v>0.19208760006488315</v>
      </c>
      <c r="O3714">
        <v>0.25188847063821473</v>
      </c>
      <c r="P3714">
        <v>0.27138706011882746</v>
      </c>
    </row>
    <row r="3715" spans="13:16">
      <c r="M3715">
        <v>0.33895354272723849</v>
      </c>
      <c r="N3715">
        <v>0.16449733905372679</v>
      </c>
      <c r="O3715">
        <v>0.24297101487919781</v>
      </c>
      <c r="P3715">
        <v>0.25357810333983705</v>
      </c>
    </row>
    <row r="3716" spans="13:16">
      <c r="M3716">
        <v>0.31709423197531078</v>
      </c>
      <c r="N3716">
        <v>0.17403762780822229</v>
      </c>
      <c r="O3716">
        <v>0.25885251508971213</v>
      </c>
      <c r="P3716">
        <v>0.25001562512675468</v>
      </c>
    </row>
    <row r="3717" spans="13:16">
      <c r="M3717">
        <v>0.27655521849677833</v>
      </c>
      <c r="N3717">
        <v>0.19313431350126889</v>
      </c>
      <c r="O3717">
        <v>0.25266791479602008</v>
      </c>
      <c r="P3717">
        <v>0.27764255320593262</v>
      </c>
    </row>
    <row r="3718" spans="13:16">
      <c r="M3718">
        <v>0.27529393526819812</v>
      </c>
      <c r="N3718">
        <v>0.19167282518655437</v>
      </c>
      <c r="O3718">
        <v>0.24561547924279573</v>
      </c>
      <c r="P3718">
        <v>0.28741776030245181</v>
      </c>
    </row>
    <row r="3719" spans="13:16">
      <c r="M3719">
        <v>0.2986584534906816</v>
      </c>
      <c r="N3719">
        <v>0.17356990396684227</v>
      </c>
      <c r="O3719">
        <v>0.26897854680773731</v>
      </c>
      <c r="P3719">
        <v>0.25879309573473885</v>
      </c>
    </row>
    <row r="3720" spans="13:16">
      <c r="M3720">
        <v>0.27291345053599086</v>
      </c>
      <c r="N3720">
        <v>0.19361218084613788</v>
      </c>
      <c r="O3720">
        <v>0.26520554113685302</v>
      </c>
      <c r="P3720">
        <v>0.26826882748101816</v>
      </c>
    </row>
    <row r="3721" spans="13:16">
      <c r="M3721">
        <v>0.29935052161066794</v>
      </c>
      <c r="N3721">
        <v>0.19719103442776345</v>
      </c>
      <c r="O3721">
        <v>0.23326160233001919</v>
      </c>
      <c r="P3721">
        <v>0.27019684163154939</v>
      </c>
    </row>
    <row r="3722" spans="13:16">
      <c r="M3722">
        <v>0.30323971323860344</v>
      </c>
      <c r="N3722">
        <v>0.19140789879008965</v>
      </c>
      <c r="O3722">
        <v>0.24724269958728917</v>
      </c>
      <c r="P3722">
        <v>0.25810968838401777</v>
      </c>
    </row>
    <row r="3723" spans="13:16">
      <c r="M3723">
        <v>0.31775871589180582</v>
      </c>
      <c r="N3723">
        <v>0.18467599019999706</v>
      </c>
      <c r="O3723">
        <v>0.23919929093708514</v>
      </c>
      <c r="P3723">
        <v>0.25836600297111195</v>
      </c>
    </row>
    <row r="3724" spans="13:16">
      <c r="M3724">
        <v>0.27675237052967688</v>
      </c>
      <c r="N3724">
        <v>0.18922335110290397</v>
      </c>
      <c r="O3724">
        <v>0.27182411482192181</v>
      </c>
      <c r="P3724">
        <v>0.26220016354549747</v>
      </c>
    </row>
    <row r="3725" spans="13:16">
      <c r="M3725">
        <v>0.26875293384194454</v>
      </c>
      <c r="N3725">
        <v>0.21231066968597323</v>
      </c>
      <c r="O3725">
        <v>0.23553752694699445</v>
      </c>
      <c r="P3725">
        <v>0.28339886952508786</v>
      </c>
    </row>
    <row r="3726" spans="13:16">
      <c r="M3726">
        <v>0.29061857410147213</v>
      </c>
      <c r="N3726">
        <v>0.18451295923068842</v>
      </c>
      <c r="O3726">
        <v>0.27622926152923821</v>
      </c>
      <c r="P3726">
        <v>0.24863920513860124</v>
      </c>
    </row>
    <row r="3727" spans="13:16">
      <c r="M3727">
        <v>0.30083377595819455</v>
      </c>
      <c r="N3727">
        <v>0.19824965793394081</v>
      </c>
      <c r="O3727">
        <v>0.21991014701655504</v>
      </c>
      <c r="P3727">
        <v>0.28100641909130963</v>
      </c>
    </row>
    <row r="3728" spans="13:16">
      <c r="M3728">
        <v>0.28818811373253517</v>
      </c>
      <c r="N3728">
        <v>0.1745723338880858</v>
      </c>
      <c r="O3728">
        <v>0.28886125528886514</v>
      </c>
      <c r="P3728">
        <v>0.24837829709051382</v>
      </c>
    </row>
    <row r="3729" spans="13:16">
      <c r="M3729">
        <v>0.28984075087421052</v>
      </c>
      <c r="N3729">
        <v>0.17649357735704482</v>
      </c>
      <c r="O3729">
        <v>0.27175731967937239</v>
      </c>
      <c r="P3729">
        <v>0.26190835208937224</v>
      </c>
    </row>
    <row r="3730" spans="13:16">
      <c r="M3730">
        <v>0.31074635038346515</v>
      </c>
      <c r="N3730">
        <v>0.17303884181483298</v>
      </c>
      <c r="O3730">
        <v>0.25081968488312073</v>
      </c>
      <c r="P3730">
        <v>0.26539512291858108</v>
      </c>
    </row>
    <row r="3731" spans="13:16">
      <c r="M3731">
        <v>0.27638542372372971</v>
      </c>
      <c r="N3731">
        <v>0.19517392075559892</v>
      </c>
      <c r="O3731">
        <v>0.25210988300202636</v>
      </c>
      <c r="P3731">
        <v>0.27633077251864496</v>
      </c>
    </row>
    <row r="3732" spans="13:16">
      <c r="M3732">
        <v>0.30251407211112491</v>
      </c>
      <c r="N3732">
        <v>0.17534770668999061</v>
      </c>
      <c r="O3732">
        <v>0.25359555208389706</v>
      </c>
      <c r="P3732">
        <v>0.26854266911498742</v>
      </c>
    </row>
    <row r="3733" spans="13:16">
      <c r="M3733">
        <v>0.28676515109842626</v>
      </c>
      <c r="N3733">
        <v>0.19425163573194451</v>
      </c>
      <c r="O3733">
        <v>0.26596371645099842</v>
      </c>
      <c r="P3733">
        <v>0.25301949671863083</v>
      </c>
    </row>
    <row r="3734" spans="13:16">
      <c r="M3734">
        <v>0.31270883543259109</v>
      </c>
      <c r="N3734">
        <v>0.19682137347487907</v>
      </c>
      <c r="O3734">
        <v>0.22603974076321662</v>
      </c>
      <c r="P3734">
        <v>0.26443005032931322</v>
      </c>
    </row>
    <row r="3735" spans="13:16">
      <c r="M3735">
        <v>0.30585431860812329</v>
      </c>
      <c r="N3735">
        <v>0.15757086710066695</v>
      </c>
      <c r="O3735">
        <v>0.30308752701896974</v>
      </c>
      <c r="P3735">
        <v>0.23348728727224008</v>
      </c>
    </row>
    <row r="3736" spans="13:16">
      <c r="M3736">
        <v>0.26209330811799714</v>
      </c>
      <c r="N3736">
        <v>0.17474014303015217</v>
      </c>
      <c r="O3736">
        <v>0.30161154105212928</v>
      </c>
      <c r="P3736">
        <v>0.26155500779972141</v>
      </c>
    </row>
    <row r="3737" spans="13:16">
      <c r="M3737">
        <v>0.27999341076777634</v>
      </c>
      <c r="N3737">
        <v>0.18326032012832422</v>
      </c>
      <c r="O3737">
        <v>0.27014716804686217</v>
      </c>
      <c r="P3737">
        <v>0.26659910105703716</v>
      </c>
    </row>
    <row r="3738" spans="13:16">
      <c r="M3738">
        <v>0.30321190179400387</v>
      </c>
      <c r="N3738">
        <v>0.18870802032047351</v>
      </c>
      <c r="O3738">
        <v>0.24504510637952695</v>
      </c>
      <c r="P3738">
        <v>0.2630349715059957</v>
      </c>
    </row>
    <row r="3739" spans="13:16">
      <c r="M3739">
        <v>0.29025277954111395</v>
      </c>
      <c r="N3739">
        <v>0.17519397316332636</v>
      </c>
      <c r="O3739">
        <v>0.27396105946267857</v>
      </c>
      <c r="P3739">
        <v>0.26059218783288118</v>
      </c>
    </row>
    <row r="3740" spans="13:16">
      <c r="M3740">
        <v>0.30856799134182233</v>
      </c>
      <c r="N3740">
        <v>0.19676950199494489</v>
      </c>
      <c r="O3740">
        <v>0.23428490802279228</v>
      </c>
      <c r="P3740">
        <v>0.26037759864044052</v>
      </c>
    </row>
    <row r="3741" spans="13:16">
      <c r="M3741">
        <v>0.29039786135785417</v>
      </c>
      <c r="N3741">
        <v>0.20065617801858787</v>
      </c>
      <c r="O3741">
        <v>0.23918118579432501</v>
      </c>
      <c r="P3741">
        <v>0.26976477482923283</v>
      </c>
    </row>
    <row r="3742" spans="13:16">
      <c r="M3742">
        <v>0.33153217324624584</v>
      </c>
      <c r="N3742">
        <v>0.17372763520447501</v>
      </c>
      <c r="O3742">
        <v>0.23434022925734718</v>
      </c>
      <c r="P3742">
        <v>0.26039996229193191</v>
      </c>
    </row>
    <row r="3743" spans="13:16">
      <c r="M3743">
        <v>0.27955234981652527</v>
      </c>
      <c r="N3743">
        <v>0.19132657990063381</v>
      </c>
      <c r="O3743">
        <v>0.27286222384474801</v>
      </c>
      <c r="P3743">
        <v>0.25625884643809294</v>
      </c>
    </row>
    <row r="3744" spans="13:16">
      <c r="M3744">
        <v>0.29481697833567422</v>
      </c>
      <c r="N3744">
        <v>0.19843015148954699</v>
      </c>
      <c r="O3744">
        <v>0.25634387212837834</v>
      </c>
      <c r="P3744">
        <v>0.25040899804640049</v>
      </c>
    </row>
    <row r="3745" spans="13:16">
      <c r="M3745">
        <v>0.27179422125008429</v>
      </c>
      <c r="N3745">
        <v>0.18975660737035216</v>
      </c>
      <c r="O3745">
        <v>0.27619275501149831</v>
      </c>
      <c r="P3745">
        <v>0.26225641636806513</v>
      </c>
    </row>
    <row r="3746" spans="13:16">
      <c r="M3746">
        <v>0.32509438297539661</v>
      </c>
      <c r="N3746">
        <v>0.16682333919034717</v>
      </c>
      <c r="O3746">
        <v>0.25194202345774891</v>
      </c>
      <c r="P3746">
        <v>0.25614025437650745</v>
      </c>
    </row>
    <row r="3747" spans="13:16">
      <c r="M3747">
        <v>0.31101546017410536</v>
      </c>
      <c r="N3747">
        <v>0.18436214100582463</v>
      </c>
      <c r="O3747">
        <v>0.23809695088921998</v>
      </c>
      <c r="P3747">
        <v>0.26652544793084992</v>
      </c>
    </row>
    <row r="3748" spans="13:16">
      <c r="M3748">
        <v>0.30148725985682562</v>
      </c>
      <c r="N3748">
        <v>0.18608735097445703</v>
      </c>
      <c r="O3748">
        <v>0.25632208334610629</v>
      </c>
      <c r="P3748">
        <v>0.25610330582261098</v>
      </c>
    </row>
    <row r="3749" spans="13:16">
      <c r="M3749">
        <v>0.31592855118618857</v>
      </c>
      <c r="N3749">
        <v>0.18143501597986153</v>
      </c>
      <c r="O3749">
        <v>0.24352372007272038</v>
      </c>
      <c r="P3749">
        <v>0.25911271276122944</v>
      </c>
    </row>
    <row r="3750" spans="13:16">
      <c r="M3750">
        <v>0.28998048983880703</v>
      </c>
      <c r="N3750">
        <v>0.17167917588051776</v>
      </c>
      <c r="O3750">
        <v>0.2772211768883136</v>
      </c>
      <c r="P3750">
        <v>0.26111915739236163</v>
      </c>
    </row>
    <row r="3751" spans="13:16">
      <c r="M3751">
        <v>0.2817436212483404</v>
      </c>
      <c r="N3751">
        <v>0.1807645201568705</v>
      </c>
      <c r="O3751">
        <v>0.28308125252563859</v>
      </c>
      <c r="P3751">
        <v>0.2544106060691505</v>
      </c>
    </row>
    <row r="3752" spans="13:16">
      <c r="M3752">
        <v>0.29659301371499758</v>
      </c>
      <c r="N3752">
        <v>0.17057040254071795</v>
      </c>
      <c r="O3752">
        <v>0.26495429756816297</v>
      </c>
      <c r="P3752">
        <v>0.26788228617612136</v>
      </c>
    </row>
    <row r="3753" spans="13:16">
      <c r="M3753">
        <v>0.30714899735926654</v>
      </c>
      <c r="N3753">
        <v>0.18516940844200391</v>
      </c>
      <c r="O3753">
        <v>0.25060475115250425</v>
      </c>
      <c r="P3753">
        <v>0.25707684304622525</v>
      </c>
    </row>
    <row r="3754" spans="13:16">
      <c r="M3754">
        <v>0.30793906781976416</v>
      </c>
      <c r="N3754">
        <v>0.19173697885814928</v>
      </c>
      <c r="O3754">
        <v>0.2508007426091674</v>
      </c>
      <c r="P3754">
        <v>0.249523210712919</v>
      </c>
    </row>
    <row r="3755" spans="13:16">
      <c r="M3755">
        <v>0.26960851070306108</v>
      </c>
      <c r="N3755">
        <v>0.20089547430573423</v>
      </c>
      <c r="O3755">
        <v>0.25967426938178906</v>
      </c>
      <c r="P3755">
        <v>0.26982174560941574</v>
      </c>
    </row>
    <row r="3756" spans="13:16">
      <c r="M3756">
        <v>0.29325298250263526</v>
      </c>
      <c r="N3756">
        <v>0.19423278485096548</v>
      </c>
      <c r="O3756">
        <v>0.23057816877349455</v>
      </c>
      <c r="P3756">
        <v>0.28193606387290476</v>
      </c>
    </row>
    <row r="3757" spans="13:16">
      <c r="M3757">
        <v>0.29579302262316021</v>
      </c>
      <c r="N3757">
        <v>0.1878680523008526</v>
      </c>
      <c r="O3757">
        <v>0.22731111620970373</v>
      </c>
      <c r="P3757">
        <v>0.28902780886628338</v>
      </c>
    </row>
    <row r="3758" spans="13:16">
      <c r="M3758">
        <v>0.30944888461164738</v>
      </c>
      <c r="N3758">
        <v>0.18295342817998464</v>
      </c>
      <c r="O3758">
        <v>0.23905303724515725</v>
      </c>
      <c r="P3758">
        <v>0.26854464996321081</v>
      </c>
    </row>
    <row r="3759" spans="13:16">
      <c r="M3759">
        <v>0.33539555772099267</v>
      </c>
      <c r="N3759">
        <v>0.18281433550283685</v>
      </c>
      <c r="O3759">
        <v>0.24143741832102833</v>
      </c>
      <c r="P3759">
        <v>0.24035268845514215</v>
      </c>
    </row>
    <row r="3760" spans="13:16">
      <c r="M3760">
        <v>0.27790113283808326</v>
      </c>
      <c r="N3760">
        <v>0.18568600695436652</v>
      </c>
      <c r="O3760">
        <v>0.26988077271518318</v>
      </c>
      <c r="P3760">
        <v>0.26653208749236701</v>
      </c>
    </row>
    <row r="3761" spans="13:16">
      <c r="M3761">
        <v>0.30966860924449074</v>
      </c>
      <c r="N3761">
        <v>0.17740539705843181</v>
      </c>
      <c r="O3761">
        <v>0.25994084732482986</v>
      </c>
      <c r="P3761">
        <v>0.25298514637224767</v>
      </c>
    </row>
    <row r="3762" spans="13:16">
      <c r="M3762">
        <v>0.30288048849031823</v>
      </c>
      <c r="N3762">
        <v>0.19845291635741055</v>
      </c>
      <c r="O3762">
        <v>0.21076487684372486</v>
      </c>
      <c r="P3762">
        <v>0.28790171830854633</v>
      </c>
    </row>
    <row r="3763" spans="13:16">
      <c r="M3763">
        <v>0.28387991297046983</v>
      </c>
      <c r="N3763">
        <v>0.1843986777334371</v>
      </c>
      <c r="O3763">
        <v>0.2737200400606013</v>
      </c>
      <c r="P3763">
        <v>0.25800136923549177</v>
      </c>
    </row>
    <row r="3764" spans="13:16">
      <c r="M3764">
        <v>0.33925091135128493</v>
      </c>
      <c r="N3764">
        <v>0.18538130550298762</v>
      </c>
      <c r="O3764">
        <v>0.21171776723636926</v>
      </c>
      <c r="P3764">
        <v>0.26365001590935827</v>
      </c>
    </row>
    <row r="3765" spans="13:16">
      <c r="M3765">
        <v>0.30178930987786146</v>
      </c>
      <c r="N3765">
        <v>0.18673468146212391</v>
      </c>
      <c r="O3765">
        <v>0.25608401474017412</v>
      </c>
      <c r="P3765">
        <v>0.25539199391984052</v>
      </c>
    </row>
    <row r="3766" spans="13:16">
      <c r="M3766">
        <v>0.30062384657676511</v>
      </c>
      <c r="N3766">
        <v>0.18388825696621111</v>
      </c>
      <c r="O3766">
        <v>0.26010297285795508</v>
      </c>
      <c r="P3766">
        <v>0.25538492359906878</v>
      </c>
    </row>
    <row r="3767" spans="13:16">
      <c r="M3767">
        <v>0.26394404321223042</v>
      </c>
      <c r="N3767">
        <v>0.19818405808758463</v>
      </c>
      <c r="O3767">
        <v>0.27295230630784278</v>
      </c>
      <c r="P3767">
        <v>0.2649195923923422</v>
      </c>
    </row>
    <row r="3768" spans="13:16">
      <c r="M3768">
        <v>0.29081670929707132</v>
      </c>
      <c r="N3768">
        <v>0.18682760517564106</v>
      </c>
      <c r="O3768">
        <v>0.26447656176203005</v>
      </c>
      <c r="P3768">
        <v>0.25787912376525751</v>
      </c>
    </row>
    <row r="3769" spans="13:16">
      <c r="M3769">
        <v>0.30121643515426905</v>
      </c>
      <c r="N3769">
        <v>0.17617826271094986</v>
      </c>
      <c r="O3769">
        <v>0.26164427495896392</v>
      </c>
      <c r="P3769">
        <v>0.26096102717581726</v>
      </c>
    </row>
    <row r="3770" spans="13:16">
      <c r="M3770">
        <v>0.28516253083786147</v>
      </c>
      <c r="N3770">
        <v>0.18556127463727506</v>
      </c>
      <c r="O3770">
        <v>0.25741820151281264</v>
      </c>
      <c r="P3770">
        <v>0.27185799301205099</v>
      </c>
    </row>
    <row r="3771" spans="13:16">
      <c r="M3771">
        <v>0.31648613450185165</v>
      </c>
      <c r="N3771">
        <v>0.18393837001648997</v>
      </c>
      <c r="O3771">
        <v>0.23026360520446937</v>
      </c>
      <c r="P3771">
        <v>0.26931189027718894</v>
      </c>
    </row>
    <row r="3772" spans="13:16">
      <c r="M3772">
        <v>0.30291002235511139</v>
      </c>
      <c r="N3772">
        <v>0.20187551764666212</v>
      </c>
      <c r="O3772">
        <v>0.22037686290836034</v>
      </c>
      <c r="P3772">
        <v>0.27483759708986616</v>
      </c>
    </row>
    <row r="3773" spans="13:16">
      <c r="M3773">
        <v>0.30122798669163475</v>
      </c>
      <c r="N3773">
        <v>0.17484040712041737</v>
      </c>
      <c r="O3773">
        <v>0.2495289824013078</v>
      </c>
      <c r="P3773">
        <v>0.2744026237866401</v>
      </c>
    </row>
    <row r="3774" spans="13:16">
      <c r="M3774">
        <v>0.29132272026336831</v>
      </c>
      <c r="N3774">
        <v>0.17998198701697729</v>
      </c>
      <c r="O3774">
        <v>0.26351950960511561</v>
      </c>
      <c r="P3774">
        <v>0.26517578311453888</v>
      </c>
    </row>
    <row r="3775" spans="13:16">
      <c r="M3775">
        <v>0.30221422883740201</v>
      </c>
      <c r="N3775">
        <v>0.1837778969629312</v>
      </c>
      <c r="O3775">
        <v>0.21907620473474035</v>
      </c>
      <c r="P3775">
        <v>0.29493166946492649</v>
      </c>
    </row>
    <row r="3776" spans="13:16">
      <c r="M3776">
        <v>0.2907562190459213</v>
      </c>
      <c r="N3776">
        <v>0.18812685458877221</v>
      </c>
      <c r="O3776">
        <v>0.26675632237519281</v>
      </c>
      <c r="P3776">
        <v>0.25436060399011362</v>
      </c>
    </row>
    <row r="3777" spans="13:16">
      <c r="M3777">
        <v>0.28398986719641839</v>
      </c>
      <c r="N3777">
        <v>0.21445839297305577</v>
      </c>
      <c r="O3777">
        <v>0.22966362576087448</v>
      </c>
      <c r="P3777">
        <v>0.27188811406965135</v>
      </c>
    </row>
    <row r="3778" spans="13:16">
      <c r="M3778">
        <v>0.28499041200078307</v>
      </c>
      <c r="N3778">
        <v>0.17699617993240074</v>
      </c>
      <c r="O3778">
        <v>0.28261915130475229</v>
      </c>
      <c r="P3778">
        <v>0.25539425676206401</v>
      </c>
    </row>
    <row r="3779" spans="13:16">
      <c r="M3779">
        <v>0.28059036751849131</v>
      </c>
      <c r="N3779">
        <v>0.19762032869001425</v>
      </c>
      <c r="O3779">
        <v>0.24681966251310181</v>
      </c>
      <c r="P3779">
        <v>0.27496964127839274</v>
      </c>
    </row>
    <row r="3780" spans="13:16">
      <c r="M3780">
        <v>0.26876237598290376</v>
      </c>
      <c r="N3780">
        <v>0.18877081728734252</v>
      </c>
      <c r="O3780">
        <v>0.27961967704778545</v>
      </c>
      <c r="P3780">
        <v>0.26284712968196822</v>
      </c>
    </row>
    <row r="3781" spans="13:16">
      <c r="M3781">
        <v>0.28834536417802303</v>
      </c>
      <c r="N3781">
        <v>0.17643635039103078</v>
      </c>
      <c r="O3781">
        <v>0.25861003686315043</v>
      </c>
      <c r="P3781">
        <v>0.27660824856779576</v>
      </c>
    </row>
    <row r="3782" spans="13:16">
      <c r="M3782">
        <v>0.28389917883358007</v>
      </c>
      <c r="N3782">
        <v>0.18138097159727876</v>
      </c>
      <c r="O3782">
        <v>0.26466198610433411</v>
      </c>
      <c r="P3782">
        <v>0.27005786346480704</v>
      </c>
    </row>
    <row r="3783" spans="13:16">
      <c r="M3783">
        <v>0.2778972626255114</v>
      </c>
      <c r="N3783">
        <v>0.18378966985732165</v>
      </c>
      <c r="O3783">
        <v>0.28140034069017295</v>
      </c>
      <c r="P3783">
        <v>0.25691272682699412</v>
      </c>
    </row>
    <row r="3784" spans="13:16">
      <c r="M3784">
        <v>0.27439679271892942</v>
      </c>
      <c r="N3784">
        <v>0.18757065622299496</v>
      </c>
      <c r="O3784">
        <v>0.27237696752231683</v>
      </c>
      <c r="P3784">
        <v>0.26565558353575885</v>
      </c>
    </row>
    <row r="3785" spans="13:16">
      <c r="M3785">
        <v>0.26431103027071962</v>
      </c>
      <c r="N3785">
        <v>0.19671177622916217</v>
      </c>
      <c r="O3785">
        <v>0.2694622783754354</v>
      </c>
      <c r="P3785">
        <v>0.2695149151246829</v>
      </c>
    </row>
    <row r="3786" spans="13:16">
      <c r="M3786">
        <v>0.32119736522921893</v>
      </c>
      <c r="N3786">
        <v>0.17408089409458422</v>
      </c>
      <c r="O3786">
        <v>0.2349166668408593</v>
      </c>
      <c r="P3786">
        <v>0.26980507383533747</v>
      </c>
    </row>
    <row r="3787" spans="13:16">
      <c r="M3787">
        <v>0.28029659618999025</v>
      </c>
      <c r="N3787">
        <v>0.17570263787187171</v>
      </c>
      <c r="O3787">
        <v>0.2778333265986706</v>
      </c>
      <c r="P3787">
        <v>0.26616743933946752</v>
      </c>
    </row>
    <row r="3788" spans="13:16">
      <c r="M3788">
        <v>0.30596320741867872</v>
      </c>
      <c r="N3788">
        <v>0.1944778041774666</v>
      </c>
      <c r="O3788">
        <v>0.22863790428799471</v>
      </c>
      <c r="P3788">
        <v>0.27092108411585997</v>
      </c>
    </row>
    <row r="3789" spans="13:16">
      <c r="M3789">
        <v>0.27202759667654186</v>
      </c>
      <c r="N3789">
        <v>0.18493963457741625</v>
      </c>
      <c r="O3789">
        <v>0.27504441800629592</v>
      </c>
      <c r="P3789">
        <v>0.26798835073974597</v>
      </c>
    </row>
    <row r="3790" spans="13:16">
      <c r="M3790">
        <v>0.31378125072743729</v>
      </c>
      <c r="N3790">
        <v>0.18955716242833681</v>
      </c>
      <c r="O3790">
        <v>0.22900453166229268</v>
      </c>
      <c r="P3790">
        <v>0.26765705518193317</v>
      </c>
    </row>
    <row r="3791" spans="13:16">
      <c r="M3791">
        <v>0.28945881830563769</v>
      </c>
      <c r="N3791">
        <v>0.18826216480782881</v>
      </c>
      <c r="O3791">
        <v>0.24687082470594635</v>
      </c>
      <c r="P3791">
        <v>0.27540819218058704</v>
      </c>
    </row>
    <row r="3792" spans="13:16">
      <c r="M3792">
        <v>0.30866489702590022</v>
      </c>
      <c r="N3792">
        <v>0.17261547936662183</v>
      </c>
      <c r="O3792">
        <v>0.27189519416014146</v>
      </c>
      <c r="P3792">
        <v>0.24682442944733649</v>
      </c>
    </row>
    <row r="3793" spans="13:16">
      <c r="M3793">
        <v>0.2917803711135038</v>
      </c>
      <c r="N3793">
        <v>0.18811669562343308</v>
      </c>
      <c r="O3793">
        <v>0.27064807597034907</v>
      </c>
      <c r="P3793">
        <v>0.24945485729271397</v>
      </c>
    </row>
    <row r="3794" spans="13:16">
      <c r="M3794">
        <v>0.29314770469968288</v>
      </c>
      <c r="N3794">
        <v>0.1761419784808608</v>
      </c>
      <c r="O3794">
        <v>0.27113603301473715</v>
      </c>
      <c r="P3794">
        <v>0.2595742838047192</v>
      </c>
    </row>
    <row r="3795" spans="13:16">
      <c r="M3795">
        <v>0.33915891905876999</v>
      </c>
      <c r="N3795">
        <v>0.15632065699247161</v>
      </c>
      <c r="O3795">
        <v>0.26091153340140361</v>
      </c>
      <c r="P3795">
        <v>0.24360889054735468</v>
      </c>
    </row>
    <row r="3796" spans="13:16">
      <c r="M3796">
        <v>0.27932221588988843</v>
      </c>
      <c r="N3796">
        <v>0.180412267429787</v>
      </c>
      <c r="O3796">
        <v>0.28771407060551346</v>
      </c>
      <c r="P3796">
        <v>0.25255144607481128</v>
      </c>
    </row>
    <row r="3797" spans="13:16">
      <c r="M3797">
        <v>0.28403764484319227</v>
      </c>
      <c r="N3797">
        <v>0.19312126902198376</v>
      </c>
      <c r="O3797">
        <v>0.257556845174365</v>
      </c>
      <c r="P3797">
        <v>0.26528424096045899</v>
      </c>
    </row>
    <row r="3798" spans="13:16">
      <c r="M3798">
        <v>0.29822203849008516</v>
      </c>
      <c r="N3798">
        <v>0.19224607952009412</v>
      </c>
      <c r="O3798">
        <v>0.25311837050688241</v>
      </c>
      <c r="P3798">
        <v>0.25641351148293828</v>
      </c>
    </row>
    <row r="3799" spans="13:16">
      <c r="M3799">
        <v>0.32308854271956161</v>
      </c>
      <c r="N3799">
        <v>0.18826834280683463</v>
      </c>
      <c r="O3799">
        <v>0.22852690127392136</v>
      </c>
      <c r="P3799">
        <v>0.26011621319968242</v>
      </c>
    </row>
    <row r="3800" spans="13:16">
      <c r="M3800">
        <v>0.26653290138365759</v>
      </c>
      <c r="N3800">
        <v>0.17621135273523458</v>
      </c>
      <c r="O3800">
        <v>0.2996022909785242</v>
      </c>
      <c r="P3800">
        <v>0.25765345490258373</v>
      </c>
    </row>
    <row r="3801" spans="13:16">
      <c r="M3801">
        <v>0.25622788513823425</v>
      </c>
      <c r="N3801">
        <v>0.1934205887471393</v>
      </c>
      <c r="O3801">
        <v>0.28843862118828628</v>
      </c>
      <c r="P3801">
        <v>0.26191290492634023</v>
      </c>
    </row>
    <row r="3802" spans="13:16">
      <c r="M3802">
        <v>0.28305316602272362</v>
      </c>
      <c r="N3802">
        <v>0.18749678173336884</v>
      </c>
      <c r="O3802">
        <v>0.27698468671467275</v>
      </c>
      <c r="P3802">
        <v>0.25246536552923476</v>
      </c>
    </row>
    <row r="3803" spans="13:16">
      <c r="M3803">
        <v>0.2879341092920582</v>
      </c>
      <c r="N3803">
        <v>0.16908436595271337</v>
      </c>
      <c r="O3803">
        <v>0.29762999991164096</v>
      </c>
      <c r="P3803">
        <v>0.24535152484358744</v>
      </c>
    </row>
    <row r="3804" spans="13:16">
      <c r="M3804">
        <v>0.28186126302349707</v>
      </c>
      <c r="N3804">
        <v>0.19718499151251673</v>
      </c>
      <c r="O3804">
        <v>0.24404767394988086</v>
      </c>
      <c r="P3804">
        <v>0.27690607151410535</v>
      </c>
    </row>
    <row r="3805" spans="13:16">
      <c r="M3805">
        <v>0.28828335116407838</v>
      </c>
      <c r="N3805">
        <v>0.19328683961443288</v>
      </c>
      <c r="O3805">
        <v>0.25306845393332655</v>
      </c>
      <c r="P3805">
        <v>0.26536135528816207</v>
      </c>
    </row>
    <row r="3806" spans="13:16">
      <c r="M3806">
        <v>0.31025157512196411</v>
      </c>
      <c r="N3806">
        <v>0.16305834997471783</v>
      </c>
      <c r="O3806">
        <v>0.27927100725405629</v>
      </c>
      <c r="P3806">
        <v>0.24741906764926189</v>
      </c>
    </row>
    <row r="3807" spans="13:16">
      <c r="M3807">
        <v>0.25999664710116233</v>
      </c>
      <c r="N3807">
        <v>0.19144368741694209</v>
      </c>
      <c r="O3807">
        <v>0.28758298833549939</v>
      </c>
      <c r="P3807">
        <v>0.26097667714639605</v>
      </c>
    </row>
    <row r="3808" spans="13:16">
      <c r="M3808">
        <v>0.30677226325886969</v>
      </c>
      <c r="N3808">
        <v>0.19292698768267053</v>
      </c>
      <c r="O3808">
        <v>0.2558024271014594</v>
      </c>
      <c r="P3808">
        <v>0.24449832195700053</v>
      </c>
    </row>
    <row r="3809" spans="13:16">
      <c r="M3809">
        <v>0.27668974831435256</v>
      </c>
      <c r="N3809">
        <v>0.19731736268184713</v>
      </c>
      <c r="O3809">
        <v>0.24608544594706105</v>
      </c>
      <c r="P3809">
        <v>0.2799074430567392</v>
      </c>
    </row>
    <row r="3810" spans="13:16">
      <c r="M3810">
        <v>0.28171972135501244</v>
      </c>
      <c r="N3810">
        <v>0.17369435544375067</v>
      </c>
      <c r="O3810">
        <v>0.28007784644066308</v>
      </c>
      <c r="P3810">
        <v>0.26450807676057392</v>
      </c>
    </row>
    <row r="3811" spans="13:16">
      <c r="M3811">
        <v>0.31144522698492916</v>
      </c>
      <c r="N3811">
        <v>0.17466496314301819</v>
      </c>
      <c r="O3811">
        <v>0.26664314188873284</v>
      </c>
      <c r="P3811">
        <v>0.24724666798331993</v>
      </c>
    </row>
    <row r="3812" spans="13:16">
      <c r="M3812">
        <v>0.28920048488232675</v>
      </c>
      <c r="N3812">
        <v>0.17235548299575706</v>
      </c>
      <c r="O3812">
        <v>0.28013404319957586</v>
      </c>
      <c r="P3812">
        <v>0.25830998892234031</v>
      </c>
    </row>
    <row r="3813" spans="13:16">
      <c r="M3813">
        <v>0.30238976410949292</v>
      </c>
      <c r="N3813">
        <v>0.19848122995024595</v>
      </c>
      <c r="O3813">
        <v>0.22514390447559054</v>
      </c>
      <c r="P3813">
        <v>0.27398510146467048</v>
      </c>
    </row>
    <row r="3814" spans="13:16">
      <c r="M3814">
        <v>0.28961384700061588</v>
      </c>
      <c r="N3814">
        <v>0.18962543807915938</v>
      </c>
      <c r="O3814">
        <v>0.2297825100726002</v>
      </c>
      <c r="P3814">
        <v>0.2909782048476246</v>
      </c>
    </row>
    <row r="3815" spans="13:16">
      <c r="M3815">
        <v>0.2872473576781937</v>
      </c>
      <c r="N3815">
        <v>0.18459059302016192</v>
      </c>
      <c r="O3815">
        <v>0.26043401192371712</v>
      </c>
      <c r="P3815">
        <v>0.26772803737792727</v>
      </c>
    </row>
    <row r="3816" spans="13:16">
      <c r="M3816">
        <v>0.28630952139831173</v>
      </c>
      <c r="N3816">
        <v>0.21144199886832593</v>
      </c>
      <c r="O3816">
        <v>0.23044106269439324</v>
      </c>
      <c r="P3816">
        <v>0.27180741703896916</v>
      </c>
    </row>
    <row r="3817" spans="13:16">
      <c r="M3817">
        <v>0.25835901718785509</v>
      </c>
      <c r="N3817">
        <v>0.19947273374673558</v>
      </c>
      <c r="O3817">
        <v>0.28298081584933643</v>
      </c>
      <c r="P3817">
        <v>0.25918743321607279</v>
      </c>
    </row>
    <row r="3818" spans="13:16">
      <c r="M3818">
        <v>0.29035538477336631</v>
      </c>
      <c r="N3818">
        <v>0.17311929602248566</v>
      </c>
      <c r="O3818">
        <v>0.29089850971958647</v>
      </c>
      <c r="P3818">
        <v>0.24562680948456156</v>
      </c>
    </row>
    <row r="3819" spans="13:16">
      <c r="M3819">
        <v>0.27323715762570222</v>
      </c>
      <c r="N3819">
        <v>0.19706518940351919</v>
      </c>
      <c r="O3819">
        <v>0.25678579945794433</v>
      </c>
      <c r="P3819">
        <v>0.27291185351283431</v>
      </c>
    </row>
    <row r="3820" spans="13:16">
      <c r="M3820">
        <v>0.28891617777649653</v>
      </c>
      <c r="N3820">
        <v>0.20057860022478716</v>
      </c>
      <c r="O3820">
        <v>0.21176866924119034</v>
      </c>
      <c r="P3820">
        <v>0.29873655275752592</v>
      </c>
    </row>
    <row r="3821" spans="13:16">
      <c r="M3821">
        <v>0.29554528544954684</v>
      </c>
      <c r="N3821">
        <v>0.165598535720618</v>
      </c>
      <c r="O3821">
        <v>0.29558755461628244</v>
      </c>
      <c r="P3821">
        <v>0.2432686242135528</v>
      </c>
    </row>
    <row r="3822" spans="13:16">
      <c r="M3822">
        <v>0.29870451538521081</v>
      </c>
      <c r="N3822">
        <v>0.17020451056651992</v>
      </c>
      <c r="O3822">
        <v>0.27630412113773256</v>
      </c>
      <c r="P3822">
        <v>0.25478685291053665</v>
      </c>
    </row>
    <row r="3823" spans="13:16">
      <c r="M3823">
        <v>0.30501152791568059</v>
      </c>
      <c r="N3823">
        <v>0.18352136082807283</v>
      </c>
      <c r="O3823">
        <v>0.24700130705246751</v>
      </c>
      <c r="P3823">
        <v>0.26446580420377902</v>
      </c>
    </row>
    <row r="3824" spans="13:16">
      <c r="M3824">
        <v>0.28380398172621429</v>
      </c>
      <c r="N3824">
        <v>0.21268400494688508</v>
      </c>
      <c r="O3824">
        <v>0.23040461660677133</v>
      </c>
      <c r="P3824">
        <v>0.27310739672012924</v>
      </c>
    </row>
    <row r="3825" spans="13:16">
      <c r="M3825">
        <v>0.32075355537901412</v>
      </c>
      <c r="N3825">
        <v>0.17385881264819053</v>
      </c>
      <c r="O3825">
        <v>0.24138143835343806</v>
      </c>
      <c r="P3825">
        <v>0.26400619361935723</v>
      </c>
    </row>
    <row r="3826" spans="13:16">
      <c r="M3826">
        <v>0.29012677095166944</v>
      </c>
      <c r="N3826">
        <v>0.17164025837870334</v>
      </c>
      <c r="O3826">
        <v>0.28016109521699822</v>
      </c>
      <c r="P3826">
        <v>0.258071875452629</v>
      </c>
    </row>
    <row r="3827" spans="13:16">
      <c r="M3827">
        <v>0.30811950325015081</v>
      </c>
      <c r="N3827">
        <v>0.16635096465228588</v>
      </c>
      <c r="O3827">
        <v>0.27740110228492604</v>
      </c>
      <c r="P3827">
        <v>0.24812842981263716</v>
      </c>
    </row>
    <row r="3828" spans="13:16">
      <c r="M3828">
        <v>0.32303196931862133</v>
      </c>
      <c r="N3828">
        <v>0.17612392672441105</v>
      </c>
      <c r="O3828">
        <v>0.25293362933743485</v>
      </c>
      <c r="P3828">
        <v>0.24791047461953283</v>
      </c>
    </row>
    <row r="3829" spans="13:16">
      <c r="M3829">
        <v>0.31687319827039667</v>
      </c>
      <c r="N3829">
        <v>0.17647667657883898</v>
      </c>
      <c r="O3829">
        <v>0.24740998435837155</v>
      </c>
      <c r="P3829">
        <v>0.25924014079239271</v>
      </c>
    </row>
    <row r="3830" spans="13:16">
      <c r="M3830">
        <v>0.29742331500893482</v>
      </c>
      <c r="N3830">
        <v>0.17955090022670789</v>
      </c>
      <c r="O3830">
        <v>0.27330554600043022</v>
      </c>
      <c r="P3830">
        <v>0.24972023876392707</v>
      </c>
    </row>
    <row r="3831" spans="13:16">
      <c r="M3831">
        <v>0.32135188672924969</v>
      </c>
      <c r="N3831">
        <v>0.18332556599304575</v>
      </c>
      <c r="O3831">
        <v>0.21463889788284618</v>
      </c>
      <c r="P3831">
        <v>0.2806836493948584</v>
      </c>
    </row>
    <row r="3832" spans="13:16">
      <c r="M3832">
        <v>0.26537309158091227</v>
      </c>
      <c r="N3832">
        <v>0.19631531005402289</v>
      </c>
      <c r="O3832">
        <v>0.28368913526627576</v>
      </c>
      <c r="P3832">
        <v>0.25462246309878911</v>
      </c>
    </row>
    <row r="3833" spans="13:16">
      <c r="M3833">
        <v>0.28115666833687397</v>
      </c>
      <c r="N3833">
        <v>0.16525798739236811</v>
      </c>
      <c r="O3833">
        <v>0.30322706990875625</v>
      </c>
      <c r="P3833">
        <v>0.25035827436200164</v>
      </c>
    </row>
    <row r="3834" spans="13:16">
      <c r="M3834">
        <v>0.28212896274480614</v>
      </c>
      <c r="N3834">
        <v>0.20042731141663014</v>
      </c>
      <c r="O3834">
        <v>0.24118987139309525</v>
      </c>
      <c r="P3834">
        <v>0.27625385444546846</v>
      </c>
    </row>
    <row r="3835" spans="13:16">
      <c r="M3835">
        <v>0.26409272215187107</v>
      </c>
      <c r="N3835">
        <v>0.19145427799403783</v>
      </c>
      <c r="O3835">
        <v>0.28298467784678877</v>
      </c>
      <c r="P3835">
        <v>0.26146832200730241</v>
      </c>
    </row>
    <row r="3836" spans="13:16">
      <c r="M3836">
        <v>0.28568277850266344</v>
      </c>
      <c r="N3836">
        <v>0.18708566132526833</v>
      </c>
      <c r="O3836">
        <v>0.27032362414826855</v>
      </c>
      <c r="P3836">
        <v>0.25690793602379963</v>
      </c>
    </row>
    <row r="3837" spans="13:16">
      <c r="M3837">
        <v>0.28909110382756692</v>
      </c>
      <c r="N3837">
        <v>0.18433593384294383</v>
      </c>
      <c r="O3837">
        <v>0.24722729992848638</v>
      </c>
      <c r="P3837">
        <v>0.27934566240100289</v>
      </c>
    </row>
    <row r="3838" spans="13:16">
      <c r="M3838">
        <v>0.28144804333539691</v>
      </c>
      <c r="N3838">
        <v>0.20194375332265216</v>
      </c>
      <c r="O3838">
        <v>0.26290842966141365</v>
      </c>
      <c r="P3838">
        <v>0.25369977368053742</v>
      </c>
    </row>
    <row r="3839" spans="13:16">
      <c r="M3839">
        <v>0.27763291265024376</v>
      </c>
      <c r="N3839">
        <v>0.18589587164327295</v>
      </c>
      <c r="O3839">
        <v>0.26738160645071241</v>
      </c>
      <c r="P3839">
        <v>0.26908960925577075</v>
      </c>
    </row>
    <row r="3840" spans="13:16">
      <c r="M3840">
        <v>0.29352391653680782</v>
      </c>
      <c r="N3840">
        <v>0.18872710990666769</v>
      </c>
      <c r="O3840">
        <v>0.26328777669289322</v>
      </c>
      <c r="P3840">
        <v>0.25446119686363128</v>
      </c>
    </row>
    <row r="3841" spans="13:16">
      <c r="M3841">
        <v>0.30956346812856295</v>
      </c>
      <c r="N3841">
        <v>0.18784588151976708</v>
      </c>
      <c r="O3841">
        <v>0.22940884928142577</v>
      </c>
      <c r="P3841">
        <v>0.27318180107024426</v>
      </c>
    </row>
    <row r="3842" spans="13:16">
      <c r="M3842">
        <v>0.26797443285129902</v>
      </c>
      <c r="N3842">
        <v>0.18679399948536862</v>
      </c>
      <c r="O3842">
        <v>0.27881167208531188</v>
      </c>
      <c r="P3842">
        <v>0.26641989557802054</v>
      </c>
    </row>
    <row r="3843" spans="13:16">
      <c r="M3843">
        <v>0.28283367337729404</v>
      </c>
      <c r="N3843">
        <v>0.21192064646389278</v>
      </c>
      <c r="O3843">
        <v>0.24450342562301519</v>
      </c>
      <c r="P3843">
        <v>0.26074225453579802</v>
      </c>
    </row>
    <row r="3844" spans="13:16">
      <c r="M3844">
        <v>0.26862074348514547</v>
      </c>
      <c r="N3844">
        <v>0.19183282053762274</v>
      </c>
      <c r="O3844">
        <v>0.26780156388897097</v>
      </c>
      <c r="P3844">
        <v>0.27174487208826076</v>
      </c>
    </row>
    <row r="3845" spans="13:16">
      <c r="M3845">
        <v>0.27767726128518211</v>
      </c>
      <c r="N3845">
        <v>0.19832070688091247</v>
      </c>
      <c r="O3845">
        <v>0.25955168564541781</v>
      </c>
      <c r="P3845">
        <v>0.26445034618848762</v>
      </c>
    </row>
    <row r="3846" spans="13:16">
      <c r="M3846">
        <v>0.31165852100938179</v>
      </c>
      <c r="N3846">
        <v>0.16528866087705585</v>
      </c>
      <c r="O3846">
        <v>0.2769996326421888</v>
      </c>
      <c r="P3846">
        <v>0.24605318547137353</v>
      </c>
    </row>
    <row r="3847" spans="13:16">
      <c r="M3847">
        <v>0.29255562067830132</v>
      </c>
      <c r="N3847">
        <v>0.19226982272008905</v>
      </c>
      <c r="O3847">
        <v>0.26581101782935457</v>
      </c>
      <c r="P3847">
        <v>0.24936353877225512</v>
      </c>
    </row>
    <row r="3848" spans="13:16">
      <c r="M3848">
        <v>0.2821427649608137</v>
      </c>
      <c r="N3848">
        <v>0.19826775568864552</v>
      </c>
      <c r="O3848">
        <v>0.25319912239383646</v>
      </c>
      <c r="P3848">
        <v>0.26639035695670427</v>
      </c>
    </row>
    <row r="3849" spans="13:16">
      <c r="M3849">
        <v>0.31052959655386048</v>
      </c>
      <c r="N3849">
        <v>0.18709223827128582</v>
      </c>
      <c r="O3849">
        <v>0.22457022963512871</v>
      </c>
      <c r="P3849">
        <v>0.27780793553972499</v>
      </c>
    </row>
    <row r="3850" spans="13:16">
      <c r="M3850">
        <v>0.29205221753674737</v>
      </c>
      <c r="N3850">
        <v>0.16959297012122176</v>
      </c>
      <c r="O3850">
        <v>0.27486968732575384</v>
      </c>
      <c r="P3850">
        <v>0.26348512501627697</v>
      </c>
    </row>
    <row r="3851" spans="13:16">
      <c r="M3851">
        <v>0.27527697443239701</v>
      </c>
      <c r="N3851">
        <v>0.18915745054437319</v>
      </c>
      <c r="O3851">
        <v>0.2650633192789556</v>
      </c>
      <c r="P3851">
        <v>0.27050225574427422</v>
      </c>
    </row>
    <row r="3852" spans="13:16">
      <c r="M3852">
        <v>0.27302240026137192</v>
      </c>
      <c r="N3852">
        <v>0.20414034236752143</v>
      </c>
      <c r="O3852">
        <v>0.26260304338189477</v>
      </c>
      <c r="P3852">
        <v>0.26023421398921182</v>
      </c>
    </row>
    <row r="3853" spans="13:16">
      <c r="M3853">
        <v>0.28484531226860593</v>
      </c>
      <c r="N3853">
        <v>0.18727309327086231</v>
      </c>
      <c r="O3853">
        <v>0.26748216849996731</v>
      </c>
      <c r="P3853">
        <v>0.26039942596056442</v>
      </c>
    </row>
    <row r="3854" spans="13:16">
      <c r="M3854">
        <v>0.30472773945498477</v>
      </c>
      <c r="N3854">
        <v>0.1732401975786195</v>
      </c>
      <c r="O3854">
        <v>0.2637695615766088</v>
      </c>
      <c r="P3854">
        <v>0.25826250138978701</v>
      </c>
    </row>
    <row r="3855" spans="13:16">
      <c r="M3855">
        <v>0.31986504609740374</v>
      </c>
      <c r="N3855">
        <v>0.19353633113845997</v>
      </c>
      <c r="O3855">
        <v>0.21099974172337832</v>
      </c>
      <c r="P3855">
        <v>0.27559888104075803</v>
      </c>
    </row>
    <row r="3856" spans="13:16">
      <c r="M3856">
        <v>0.28510731016971275</v>
      </c>
      <c r="N3856">
        <v>0.17900143695538856</v>
      </c>
      <c r="O3856">
        <v>0.2538646050178841</v>
      </c>
      <c r="P3856">
        <v>0.28202664785701465</v>
      </c>
    </row>
    <row r="3857" spans="13:16">
      <c r="M3857">
        <v>0.28203165781335637</v>
      </c>
      <c r="N3857">
        <v>0.19475875543134585</v>
      </c>
      <c r="O3857">
        <v>0.26840156921816172</v>
      </c>
      <c r="P3857">
        <v>0.25480801753713622</v>
      </c>
    </row>
    <row r="3858" spans="13:16">
      <c r="M3858">
        <v>0.30280506056008638</v>
      </c>
      <c r="N3858">
        <v>0.18348950767524394</v>
      </c>
      <c r="O3858">
        <v>0.25020571450254941</v>
      </c>
      <c r="P3858">
        <v>0.26349971726212024</v>
      </c>
    </row>
    <row r="3859" spans="13:16">
      <c r="M3859">
        <v>0.28587479627246587</v>
      </c>
      <c r="N3859">
        <v>0.18328883864649581</v>
      </c>
      <c r="O3859">
        <v>0.26113789405383181</v>
      </c>
      <c r="P3859">
        <v>0.26969847102720651</v>
      </c>
    </row>
    <row r="3860" spans="13:16">
      <c r="M3860">
        <v>0.28348513810323883</v>
      </c>
      <c r="N3860">
        <v>0.20027375548266493</v>
      </c>
      <c r="O3860">
        <v>0.26447691861278427</v>
      </c>
      <c r="P3860">
        <v>0.25176418780131199</v>
      </c>
    </row>
    <row r="3861" spans="13:16">
      <c r="M3861">
        <v>0.25963275345976022</v>
      </c>
      <c r="N3861">
        <v>0.20196195903854108</v>
      </c>
      <c r="O3861">
        <v>0.26783053451430677</v>
      </c>
      <c r="P3861">
        <v>0.27057475298739198</v>
      </c>
    </row>
    <row r="3862" spans="13:16">
      <c r="M3862">
        <v>0.30039372991244601</v>
      </c>
      <c r="N3862">
        <v>0.19352166424636019</v>
      </c>
      <c r="O3862">
        <v>0.25323891170449497</v>
      </c>
      <c r="P3862">
        <v>0.25284569413669883</v>
      </c>
    </row>
    <row r="3863" spans="13:16">
      <c r="M3863">
        <v>0.32842571752946786</v>
      </c>
      <c r="N3863">
        <v>0.16374193171989257</v>
      </c>
      <c r="O3863">
        <v>0.25181036993676498</v>
      </c>
      <c r="P3863">
        <v>0.25602198081387462</v>
      </c>
    </row>
    <row r="3864" spans="13:16">
      <c r="M3864">
        <v>0.28684047917239675</v>
      </c>
      <c r="N3864">
        <v>0.18173898503618721</v>
      </c>
      <c r="O3864">
        <v>0.24004036251288691</v>
      </c>
      <c r="P3864">
        <v>0.29138017327852911</v>
      </c>
    </row>
    <row r="3865" spans="13:16">
      <c r="M3865">
        <v>0.25882635450715197</v>
      </c>
      <c r="N3865">
        <v>0.19127443419888218</v>
      </c>
      <c r="O3865">
        <v>0.2901212703463294</v>
      </c>
      <c r="P3865">
        <v>0.25977794094763645</v>
      </c>
    </row>
    <row r="3866" spans="13:16">
      <c r="M3866">
        <v>0.27080867819711407</v>
      </c>
      <c r="N3866">
        <v>0.19713883296912493</v>
      </c>
      <c r="O3866">
        <v>0.25794533987448215</v>
      </c>
      <c r="P3866">
        <v>0.27410714895927901</v>
      </c>
    </row>
    <row r="3867" spans="13:16">
      <c r="M3867">
        <v>0.28158846742413157</v>
      </c>
      <c r="N3867">
        <v>0.18442418960872609</v>
      </c>
      <c r="O3867">
        <v>0.27074576845986115</v>
      </c>
      <c r="P3867">
        <v>0.26324157450728125</v>
      </c>
    </row>
    <row r="3868" spans="13:16">
      <c r="M3868">
        <v>0.27633766834957746</v>
      </c>
      <c r="N3868">
        <v>0.19360150309806035</v>
      </c>
      <c r="O3868">
        <v>0.25464213567874</v>
      </c>
      <c r="P3868">
        <v>0.2754186928736222</v>
      </c>
    </row>
    <row r="3869" spans="13:16">
      <c r="M3869">
        <v>0.29088439593492832</v>
      </c>
      <c r="N3869">
        <v>0.20292301814991467</v>
      </c>
      <c r="O3869">
        <v>0.23502280519675556</v>
      </c>
      <c r="P3869">
        <v>0.27116978071840125</v>
      </c>
    </row>
    <row r="3870" spans="13:16">
      <c r="M3870">
        <v>0.31157487296390818</v>
      </c>
      <c r="N3870">
        <v>0.17813078023452389</v>
      </c>
      <c r="O3870">
        <v>0.25959922222654774</v>
      </c>
      <c r="P3870">
        <v>0.25069512457502025</v>
      </c>
    </row>
    <row r="3871" spans="13:16">
      <c r="M3871">
        <v>0.27654929121764887</v>
      </c>
      <c r="N3871">
        <v>0.19920337476045225</v>
      </c>
      <c r="O3871">
        <v>0.25218895888797543</v>
      </c>
      <c r="P3871">
        <v>0.27205837513392356</v>
      </c>
    </row>
    <row r="3872" spans="13:16">
      <c r="M3872">
        <v>0.30092349243072264</v>
      </c>
      <c r="N3872">
        <v>0.19194841878655128</v>
      </c>
      <c r="O3872">
        <v>0.25619510069365736</v>
      </c>
      <c r="P3872">
        <v>0.25093298808906878</v>
      </c>
    </row>
    <row r="3873" spans="13:16">
      <c r="M3873">
        <v>0.2940695719079634</v>
      </c>
      <c r="N3873">
        <v>0.1746799616194418</v>
      </c>
      <c r="O3873">
        <v>0.26008912559968322</v>
      </c>
      <c r="P3873">
        <v>0.27116134087291155</v>
      </c>
    </row>
    <row r="3874" spans="13:16">
      <c r="M3874">
        <v>0.28729039679941593</v>
      </c>
      <c r="N3874">
        <v>0.18560199201210367</v>
      </c>
      <c r="O3874">
        <v>0.25887334237883192</v>
      </c>
      <c r="P3874">
        <v>0.26823426880964851</v>
      </c>
    </row>
    <row r="3875" spans="13:16">
      <c r="M3875">
        <v>0.33714955982192535</v>
      </c>
      <c r="N3875">
        <v>0.16865878450243096</v>
      </c>
      <c r="O3875">
        <v>0.23116797412763915</v>
      </c>
      <c r="P3875">
        <v>0.26302368154800465</v>
      </c>
    </row>
    <row r="3876" spans="13:16">
      <c r="M3876">
        <v>0.30157209360457993</v>
      </c>
      <c r="N3876">
        <v>0.18178365161060722</v>
      </c>
      <c r="O3876">
        <v>0.27474826379470441</v>
      </c>
      <c r="P3876">
        <v>0.24189599099010828</v>
      </c>
    </row>
    <row r="3877" spans="13:16">
      <c r="M3877">
        <v>0.27746164472655244</v>
      </c>
      <c r="N3877">
        <v>0.19541139736786176</v>
      </c>
      <c r="O3877">
        <v>0.25380725287845601</v>
      </c>
      <c r="P3877">
        <v>0.27331970502712977</v>
      </c>
    </row>
    <row r="3878" spans="13:16">
      <c r="M3878">
        <v>0.29954013732621915</v>
      </c>
      <c r="N3878">
        <v>0.18841686513084632</v>
      </c>
      <c r="O3878">
        <v>0.22401365801382761</v>
      </c>
      <c r="P3878">
        <v>0.28802933952910681</v>
      </c>
    </row>
    <row r="3879" spans="13:16">
      <c r="M3879">
        <v>0.30188385432135345</v>
      </c>
      <c r="N3879">
        <v>0.16612139722090224</v>
      </c>
      <c r="O3879">
        <v>0.27799192393877065</v>
      </c>
      <c r="P3879">
        <v>0.25400282451897366</v>
      </c>
    </row>
    <row r="3880" spans="13:16">
      <c r="M3880">
        <v>0.3102664722774281</v>
      </c>
      <c r="N3880">
        <v>0.18957449711699786</v>
      </c>
      <c r="O3880">
        <v>0.24464144551960554</v>
      </c>
      <c r="P3880">
        <v>0.25551758508596845</v>
      </c>
    </row>
    <row r="3881" spans="13:16">
      <c r="M3881">
        <v>0.30969507823471198</v>
      </c>
      <c r="N3881">
        <v>0.17424465128553304</v>
      </c>
      <c r="O3881">
        <v>0.25672079542797666</v>
      </c>
      <c r="P3881">
        <v>0.25933947505177835</v>
      </c>
    </row>
    <row r="3882" spans="13:16">
      <c r="M3882">
        <v>0.27724437957904435</v>
      </c>
      <c r="N3882">
        <v>0.18839711253432675</v>
      </c>
      <c r="O3882">
        <v>0.26685828627480923</v>
      </c>
      <c r="P3882">
        <v>0.26750022161181958</v>
      </c>
    </row>
    <row r="3883" spans="13:16">
      <c r="M3883">
        <v>0.29376416684339479</v>
      </c>
      <c r="N3883">
        <v>0.19123595618352582</v>
      </c>
      <c r="O3883">
        <v>0.25027878280528215</v>
      </c>
      <c r="P3883">
        <v>0.26472109416779704</v>
      </c>
    </row>
    <row r="3884" spans="13:16">
      <c r="M3884">
        <v>0.31533587814984831</v>
      </c>
      <c r="N3884">
        <v>0.17281310822641477</v>
      </c>
      <c r="O3884">
        <v>0.25095431876422025</v>
      </c>
      <c r="P3884">
        <v>0.26089669485951661</v>
      </c>
    </row>
    <row r="3885" spans="13:16">
      <c r="M3885">
        <v>0.26155774331150405</v>
      </c>
      <c r="N3885">
        <v>0.19967247168432511</v>
      </c>
      <c r="O3885">
        <v>0.26774137932719022</v>
      </c>
      <c r="P3885">
        <v>0.27102840567698067</v>
      </c>
    </row>
    <row r="3886" spans="13:16">
      <c r="M3886">
        <v>0.29088639672169941</v>
      </c>
      <c r="N3886">
        <v>0.18702276537915352</v>
      </c>
      <c r="O3886">
        <v>0.2507429497052257</v>
      </c>
      <c r="P3886">
        <v>0.27134788819392125</v>
      </c>
    </row>
    <row r="3887" spans="13:16">
      <c r="M3887">
        <v>0.28893593257855044</v>
      </c>
      <c r="N3887">
        <v>0.18675447747002538</v>
      </c>
      <c r="O3887">
        <v>0.25632100589743445</v>
      </c>
      <c r="P3887">
        <v>0.26798858405398973</v>
      </c>
    </row>
    <row r="3888" spans="13:16">
      <c r="M3888">
        <v>0.30744711909822292</v>
      </c>
      <c r="N3888">
        <v>0.17712969670706835</v>
      </c>
      <c r="O3888">
        <v>0.25033571518131797</v>
      </c>
      <c r="P3888">
        <v>0.26508746901339092</v>
      </c>
    </row>
    <row r="3889" spans="13:16">
      <c r="M3889">
        <v>0.30862115874915302</v>
      </c>
      <c r="N3889">
        <v>0.17085363924424565</v>
      </c>
      <c r="O3889">
        <v>0.27884039894013501</v>
      </c>
      <c r="P3889">
        <v>0.24168480306646623</v>
      </c>
    </row>
    <row r="3890" spans="13:16">
      <c r="M3890">
        <v>0.28479853871037014</v>
      </c>
      <c r="N3890">
        <v>0.1937414975864368</v>
      </c>
      <c r="O3890">
        <v>0.25867806646226865</v>
      </c>
      <c r="P3890">
        <v>0.26278189724092438</v>
      </c>
    </row>
    <row r="3891" spans="13:16">
      <c r="M3891">
        <v>0.28195195488810071</v>
      </c>
      <c r="N3891">
        <v>0.18431305960617597</v>
      </c>
      <c r="O3891">
        <v>0.25536687678281034</v>
      </c>
      <c r="P3891">
        <v>0.27836810872291295</v>
      </c>
    </row>
    <row r="3892" spans="13:16">
      <c r="M3892">
        <v>0.3138915629912517</v>
      </c>
      <c r="N3892">
        <v>0.17234743237846817</v>
      </c>
      <c r="O3892">
        <v>0.26712712148275147</v>
      </c>
      <c r="P3892">
        <v>0.24663388314752852</v>
      </c>
    </row>
    <row r="3893" spans="13:16">
      <c r="M3893">
        <v>0.27750732670889827</v>
      </c>
      <c r="N3893">
        <v>0.20889544918316474</v>
      </c>
      <c r="O3893">
        <v>0.24578796235934569</v>
      </c>
      <c r="P3893">
        <v>0.26780926174859143</v>
      </c>
    </row>
    <row r="3894" spans="13:16">
      <c r="M3894">
        <v>0.30859641400586291</v>
      </c>
      <c r="N3894">
        <v>0.17455756184025467</v>
      </c>
      <c r="O3894">
        <v>0.26541050124273724</v>
      </c>
      <c r="P3894">
        <v>0.25143552291114535</v>
      </c>
    </row>
    <row r="3895" spans="13:16">
      <c r="M3895">
        <v>0.2842339549163812</v>
      </c>
      <c r="N3895">
        <v>0.19900178161895191</v>
      </c>
      <c r="O3895">
        <v>0.25621529261258152</v>
      </c>
      <c r="P3895">
        <v>0.26054897085208539</v>
      </c>
    </row>
    <row r="3896" spans="13:16">
      <c r="M3896">
        <v>0.30086614338386392</v>
      </c>
      <c r="N3896">
        <v>0.18802916252533036</v>
      </c>
      <c r="O3896">
        <v>0.24127152351409301</v>
      </c>
      <c r="P3896">
        <v>0.26983317057671274</v>
      </c>
    </row>
    <row r="3897" spans="13:16">
      <c r="M3897">
        <v>0.30771995060639379</v>
      </c>
      <c r="N3897">
        <v>0.20915519057308174</v>
      </c>
      <c r="O3897">
        <v>0.21794925062395185</v>
      </c>
      <c r="P3897">
        <v>0.26517560819657265</v>
      </c>
    </row>
    <row r="3898" spans="13:16">
      <c r="M3898">
        <v>0.27504574054441466</v>
      </c>
      <c r="N3898">
        <v>0.1928125196690863</v>
      </c>
      <c r="O3898">
        <v>0.25458695073151327</v>
      </c>
      <c r="P3898">
        <v>0.27755478905498582</v>
      </c>
    </row>
    <row r="3899" spans="13:16">
      <c r="M3899">
        <v>0.28609830712515366</v>
      </c>
      <c r="N3899">
        <v>0.17916070023872377</v>
      </c>
      <c r="O3899">
        <v>0.25680277075215535</v>
      </c>
      <c r="P3899">
        <v>0.27793822188396727</v>
      </c>
    </row>
    <row r="3900" spans="13:16">
      <c r="M3900">
        <v>0.32331649547276886</v>
      </c>
      <c r="N3900">
        <v>0.19565346658720556</v>
      </c>
      <c r="O3900">
        <v>0.21503116833413266</v>
      </c>
      <c r="P3900">
        <v>0.26599886960589297</v>
      </c>
    </row>
    <row r="3901" spans="13:16">
      <c r="M3901">
        <v>0.25962691267208687</v>
      </c>
      <c r="N3901">
        <v>0.1998363836837464</v>
      </c>
      <c r="O3901">
        <v>0.27845444406736219</v>
      </c>
      <c r="P3901">
        <v>0.26208225957680453</v>
      </c>
    </row>
    <row r="3902" spans="13:16">
      <c r="M3902">
        <v>0.27416488510781661</v>
      </c>
      <c r="N3902">
        <v>0.19482222165159105</v>
      </c>
      <c r="O3902">
        <v>0.24382671383012863</v>
      </c>
      <c r="P3902">
        <v>0.28718617941046382</v>
      </c>
    </row>
    <row r="3903" spans="13:16">
      <c r="M3903">
        <v>0.29904349183093965</v>
      </c>
      <c r="N3903">
        <v>0.19584896272967908</v>
      </c>
      <c r="O3903">
        <v>0.22570242622181294</v>
      </c>
      <c r="P3903">
        <v>0.27940511921756833</v>
      </c>
    </row>
    <row r="3904" spans="13:16">
      <c r="M3904">
        <v>0.30544276274068405</v>
      </c>
      <c r="N3904">
        <v>0.16703598085886442</v>
      </c>
      <c r="O3904">
        <v>0.27449942432141677</v>
      </c>
      <c r="P3904">
        <v>0.25302183207903478</v>
      </c>
    </row>
    <row r="3905" spans="13:16">
      <c r="M3905">
        <v>0.26703723640130378</v>
      </c>
      <c r="N3905">
        <v>0.18570302096493352</v>
      </c>
      <c r="O3905">
        <v>0.29334459669560403</v>
      </c>
      <c r="P3905">
        <v>0.25391514593815856</v>
      </c>
    </row>
    <row r="3906" spans="13:16">
      <c r="M3906">
        <v>0.28913788358493575</v>
      </c>
      <c r="N3906">
        <v>0.16976226067804492</v>
      </c>
      <c r="O3906">
        <v>0.2872189231733332</v>
      </c>
      <c r="P3906">
        <v>0.25388093256368621</v>
      </c>
    </row>
    <row r="3907" spans="13:16">
      <c r="M3907">
        <v>0.26422803532961581</v>
      </c>
      <c r="N3907">
        <v>0.20031323750113944</v>
      </c>
      <c r="O3907">
        <v>0.2739037268770374</v>
      </c>
      <c r="P3907">
        <v>0.26155500029220741</v>
      </c>
    </row>
    <row r="3908" spans="13:16">
      <c r="M3908">
        <v>0.28736090421250177</v>
      </c>
      <c r="N3908">
        <v>0.19586022009606166</v>
      </c>
      <c r="O3908">
        <v>0.23579401183614546</v>
      </c>
      <c r="P3908">
        <v>0.28098486385529114</v>
      </c>
    </row>
    <row r="3909" spans="13:16">
      <c r="M3909">
        <v>0.26983897724150707</v>
      </c>
      <c r="N3909">
        <v>0.18295815935715937</v>
      </c>
      <c r="O3909">
        <v>0.27204562043014796</v>
      </c>
      <c r="P3909">
        <v>0.27515724297118566</v>
      </c>
    </row>
    <row r="3910" spans="13:16">
      <c r="M3910">
        <v>0.30275585755112006</v>
      </c>
      <c r="N3910">
        <v>0.19936087216837706</v>
      </c>
      <c r="O3910">
        <v>0.20372354575735746</v>
      </c>
      <c r="P3910">
        <v>0.29415972452314548</v>
      </c>
    </row>
    <row r="3911" spans="13:16">
      <c r="M3911">
        <v>0.29642521339215688</v>
      </c>
      <c r="N3911">
        <v>0.193030451296969</v>
      </c>
      <c r="O3911">
        <v>0.23813754615700622</v>
      </c>
      <c r="P3911">
        <v>0.27240678915386785</v>
      </c>
    </row>
    <row r="3912" spans="13:16">
      <c r="M3912">
        <v>0.28197246638432766</v>
      </c>
      <c r="N3912">
        <v>0.18844964373033896</v>
      </c>
      <c r="O3912">
        <v>0.26547386140721368</v>
      </c>
      <c r="P3912">
        <v>0.26410402847811976</v>
      </c>
    </row>
    <row r="3913" spans="13:16">
      <c r="M3913">
        <v>0.29507712364285715</v>
      </c>
      <c r="N3913">
        <v>0.18968263165559504</v>
      </c>
      <c r="O3913">
        <v>0.25796051017246735</v>
      </c>
      <c r="P3913">
        <v>0.25727973452908048</v>
      </c>
    </row>
    <row r="3914" spans="13:16">
      <c r="M3914">
        <v>0.28131660726391478</v>
      </c>
      <c r="N3914">
        <v>0.18297999423758241</v>
      </c>
      <c r="O3914">
        <v>0.27431286261486476</v>
      </c>
      <c r="P3914">
        <v>0.26139053588363809</v>
      </c>
    </row>
    <row r="3915" spans="13:16">
      <c r="M3915">
        <v>0.29846915754566344</v>
      </c>
      <c r="N3915">
        <v>0.20468153721206403</v>
      </c>
      <c r="O3915">
        <v>0.21872954320129145</v>
      </c>
      <c r="P3915">
        <v>0.27811976204098104</v>
      </c>
    </row>
    <row r="3916" spans="13:16">
      <c r="M3916">
        <v>0.29655295611500332</v>
      </c>
      <c r="N3916">
        <v>0.16631417280651739</v>
      </c>
      <c r="O3916">
        <v>0.29332837810379053</v>
      </c>
      <c r="P3916">
        <v>0.24380449297468873</v>
      </c>
    </row>
    <row r="3917" spans="13:16">
      <c r="M3917">
        <v>0.29693374089582053</v>
      </c>
      <c r="N3917">
        <v>0.19002011034534472</v>
      </c>
      <c r="O3917">
        <v>0.25230237314081871</v>
      </c>
      <c r="P3917">
        <v>0.26074377561801604</v>
      </c>
    </row>
    <row r="3918" spans="13:16">
      <c r="M3918">
        <v>0.2990574899763333</v>
      </c>
      <c r="N3918">
        <v>0.16773648465752478</v>
      </c>
      <c r="O3918">
        <v>0.28367690044359833</v>
      </c>
      <c r="P3918">
        <v>0.24952912492254362</v>
      </c>
    </row>
    <row r="3919" spans="13:16">
      <c r="M3919">
        <v>0.29995333412717834</v>
      </c>
      <c r="N3919">
        <v>0.18806629158549984</v>
      </c>
      <c r="O3919">
        <v>0.23961211789133072</v>
      </c>
      <c r="P3919">
        <v>0.2723682563959911</v>
      </c>
    </row>
    <row r="3920" spans="13:16">
      <c r="M3920">
        <v>0.28646974833915473</v>
      </c>
      <c r="N3920">
        <v>0.18950915892887979</v>
      </c>
      <c r="O3920">
        <v>0.25026124864337612</v>
      </c>
      <c r="P3920">
        <v>0.27375984408858939</v>
      </c>
    </row>
    <row r="3921" spans="13:16">
      <c r="M3921">
        <v>0.28343193232328345</v>
      </c>
      <c r="N3921">
        <v>0.17872359593121423</v>
      </c>
      <c r="O3921">
        <v>0.28534246524435819</v>
      </c>
      <c r="P3921">
        <v>0.25250200650114402</v>
      </c>
    </row>
    <row r="3922" spans="13:16">
      <c r="M3922">
        <v>0.32362911006737094</v>
      </c>
      <c r="N3922">
        <v>0.19089000570188891</v>
      </c>
      <c r="O3922">
        <v>0.22940399117007568</v>
      </c>
      <c r="P3922">
        <v>0.2560768930606645</v>
      </c>
    </row>
    <row r="3923" spans="13:16">
      <c r="M3923">
        <v>0.29672735536215772</v>
      </c>
      <c r="N3923">
        <v>0.20226906060661173</v>
      </c>
      <c r="O3923">
        <v>0.24237481271831238</v>
      </c>
      <c r="P3923">
        <v>0.25862877131291817</v>
      </c>
    </row>
    <row r="3924" spans="13:16">
      <c r="M3924">
        <v>0.28457878114237922</v>
      </c>
      <c r="N3924">
        <v>0.17545344007851543</v>
      </c>
      <c r="O3924">
        <v>0.2931024462348345</v>
      </c>
      <c r="P3924">
        <v>0.24686533254427087</v>
      </c>
    </row>
    <row r="3925" spans="13:16">
      <c r="M3925">
        <v>0.30953463057808173</v>
      </c>
      <c r="N3925">
        <v>0.1832564662676992</v>
      </c>
      <c r="O3925">
        <v>0.24387205960920369</v>
      </c>
      <c r="P3925">
        <v>0.26333684354501535</v>
      </c>
    </row>
    <row r="3926" spans="13:16">
      <c r="M3926">
        <v>0.29497048547829258</v>
      </c>
      <c r="N3926">
        <v>0.18381072747300431</v>
      </c>
      <c r="O3926">
        <v>0.26182410568703041</v>
      </c>
      <c r="P3926">
        <v>0.25939468136167265</v>
      </c>
    </row>
    <row r="3927" spans="13:16">
      <c r="M3927">
        <v>0.29062797865521706</v>
      </c>
      <c r="N3927">
        <v>0.19295572309751741</v>
      </c>
      <c r="O3927">
        <v>0.26559823932954874</v>
      </c>
      <c r="P3927">
        <v>0.25081805891771686</v>
      </c>
    </row>
    <row r="3928" spans="13:16">
      <c r="M3928">
        <v>0.30123266108601088</v>
      </c>
      <c r="N3928">
        <v>0.2004991373281699</v>
      </c>
      <c r="O3928">
        <v>0.24296287444358383</v>
      </c>
      <c r="P3928">
        <v>0.25530532714223542</v>
      </c>
    </row>
    <row r="3929" spans="13:16">
      <c r="M3929">
        <v>0.274792102581291</v>
      </c>
      <c r="N3929">
        <v>0.19174594317235302</v>
      </c>
      <c r="O3929">
        <v>0.26622652471385966</v>
      </c>
      <c r="P3929">
        <v>0.26723542953249635</v>
      </c>
    </row>
    <row r="3930" spans="13:16">
      <c r="M3930">
        <v>0.28404940992865052</v>
      </c>
      <c r="N3930">
        <v>0.17227892190751698</v>
      </c>
      <c r="O3930">
        <v>0.29828339677001037</v>
      </c>
      <c r="P3930">
        <v>0.24538827139382216</v>
      </c>
    </row>
    <row r="3931" spans="13:16">
      <c r="M3931">
        <v>0.27993073855846973</v>
      </c>
      <c r="N3931">
        <v>0.19444127024830368</v>
      </c>
      <c r="O3931">
        <v>0.25076166674908573</v>
      </c>
      <c r="P3931">
        <v>0.27486632444414089</v>
      </c>
    </row>
    <row r="3932" spans="13:16">
      <c r="M3932">
        <v>0.28036071253743805</v>
      </c>
      <c r="N3932">
        <v>0.19071076898815523</v>
      </c>
      <c r="O3932">
        <v>0.24155436369362132</v>
      </c>
      <c r="P3932">
        <v>0.28737415478078537</v>
      </c>
    </row>
    <row r="3933" spans="13:16">
      <c r="M3933">
        <v>0.28092467955644501</v>
      </c>
      <c r="N3933">
        <v>0.19553822977954846</v>
      </c>
      <c r="O3933">
        <v>0.26850604879978462</v>
      </c>
      <c r="P3933">
        <v>0.25503104186422204</v>
      </c>
    </row>
    <row r="3934" spans="13:16">
      <c r="M3934">
        <v>0.31318272969552807</v>
      </c>
      <c r="N3934">
        <v>0.19532187718805763</v>
      </c>
      <c r="O3934">
        <v>0.22701074759733517</v>
      </c>
      <c r="P3934">
        <v>0.26448464551907919</v>
      </c>
    </row>
    <row r="3935" spans="13:16">
      <c r="M3935">
        <v>0.29131476646475896</v>
      </c>
      <c r="N3935">
        <v>0.17694303284544641</v>
      </c>
      <c r="O3935">
        <v>0.27284272513081786</v>
      </c>
      <c r="P3935">
        <v>0.25889947555897663</v>
      </c>
    </row>
    <row r="3936" spans="13:16">
      <c r="M3936">
        <v>0.2870781387309233</v>
      </c>
      <c r="N3936">
        <v>0.19688166886447908</v>
      </c>
      <c r="O3936">
        <v>0.25670565932663558</v>
      </c>
      <c r="P3936">
        <v>0.259334533077962</v>
      </c>
    </row>
    <row r="3937" spans="13:16">
      <c r="M3937">
        <v>0.2838919215935613</v>
      </c>
      <c r="N3937">
        <v>0.17196713757226728</v>
      </c>
      <c r="O3937">
        <v>0.28181113544845404</v>
      </c>
      <c r="P3937">
        <v>0.26232980538571737</v>
      </c>
    </row>
    <row r="3938" spans="13:16">
      <c r="M3938">
        <v>0.30823128966292451</v>
      </c>
      <c r="N3938">
        <v>0.16119926550934205</v>
      </c>
      <c r="O3938">
        <v>0.29490270111089351</v>
      </c>
      <c r="P3938">
        <v>0.23566674371683996</v>
      </c>
    </row>
    <row r="3939" spans="13:16">
      <c r="M3939">
        <v>0.29420722720237269</v>
      </c>
      <c r="N3939">
        <v>0.18925322824519158</v>
      </c>
      <c r="O3939">
        <v>0.24363425740132452</v>
      </c>
      <c r="P3939">
        <v>0.27290528715111112</v>
      </c>
    </row>
    <row r="3940" spans="13:16">
      <c r="M3940">
        <v>0.2932955438293538</v>
      </c>
      <c r="N3940">
        <v>0.21197011287915066</v>
      </c>
      <c r="O3940">
        <v>0.22393325763255706</v>
      </c>
      <c r="P3940">
        <v>0.27080108565893868</v>
      </c>
    </row>
    <row r="3941" spans="13:16">
      <c r="M3941">
        <v>0.31411305355742125</v>
      </c>
      <c r="N3941">
        <v>0.16708324948633349</v>
      </c>
      <c r="O3941">
        <v>0.25857968803386111</v>
      </c>
      <c r="P3941">
        <v>0.26022400892238434</v>
      </c>
    </row>
    <row r="3942" spans="13:16">
      <c r="M3942">
        <v>0.27378352477769063</v>
      </c>
      <c r="N3942">
        <v>0.18961405673356357</v>
      </c>
      <c r="O3942">
        <v>0.288283807444979</v>
      </c>
      <c r="P3942">
        <v>0.24831861104376687</v>
      </c>
    </row>
    <row r="3943" spans="13:16">
      <c r="M3943">
        <v>0.32227698021458812</v>
      </c>
      <c r="N3943">
        <v>0.16524099948085416</v>
      </c>
      <c r="O3943">
        <v>0.26755843253365469</v>
      </c>
      <c r="P3943">
        <v>0.24492358777090303</v>
      </c>
    </row>
    <row r="3944" spans="13:16">
      <c r="M3944">
        <v>0.2640234302115182</v>
      </c>
      <c r="N3944">
        <v>0.18285730429969604</v>
      </c>
      <c r="O3944">
        <v>0.29315839373985542</v>
      </c>
      <c r="P3944">
        <v>0.25996087174893023</v>
      </c>
    </row>
    <row r="3945" spans="13:16">
      <c r="M3945">
        <v>0.31273745672481684</v>
      </c>
      <c r="N3945">
        <v>0.17481050418974212</v>
      </c>
      <c r="O3945">
        <v>0.2713711812950545</v>
      </c>
      <c r="P3945">
        <v>0.2410808577903866</v>
      </c>
    </row>
    <row r="3946" spans="13:16">
      <c r="M3946">
        <v>0.2668894802533785</v>
      </c>
      <c r="N3946">
        <v>0.20461359542301943</v>
      </c>
      <c r="O3946">
        <v>0.26186334850828247</v>
      </c>
      <c r="P3946">
        <v>0.2666335758153196</v>
      </c>
    </row>
    <row r="3947" spans="13:16">
      <c r="M3947">
        <v>0.2893636824384716</v>
      </c>
      <c r="N3947">
        <v>0.18437838325119485</v>
      </c>
      <c r="O3947">
        <v>0.26288162724984543</v>
      </c>
      <c r="P3947">
        <v>0.26337630706048826</v>
      </c>
    </row>
    <row r="3948" spans="13:16">
      <c r="M3948">
        <v>0.29887465389962609</v>
      </c>
      <c r="N3948">
        <v>0.17752803012438784</v>
      </c>
      <c r="O3948">
        <v>0.26940675958885613</v>
      </c>
      <c r="P3948">
        <v>0.25419055638713001</v>
      </c>
    </row>
    <row r="3949" spans="13:16">
      <c r="M3949">
        <v>0.31823668504036978</v>
      </c>
      <c r="N3949">
        <v>0.16579284773328751</v>
      </c>
      <c r="O3949">
        <v>0.26225685775989155</v>
      </c>
      <c r="P3949">
        <v>0.253713609466451</v>
      </c>
    </row>
    <row r="3950" spans="13:16">
      <c r="M3950">
        <v>0.27792017706615235</v>
      </c>
      <c r="N3950">
        <v>0.18151869696906497</v>
      </c>
      <c r="O3950">
        <v>0.27560129721999149</v>
      </c>
      <c r="P3950">
        <v>0.26495982874479129</v>
      </c>
    </row>
    <row r="3951" spans="13:16">
      <c r="M3951">
        <v>0.28513141716307427</v>
      </c>
      <c r="N3951">
        <v>0.18009020178562549</v>
      </c>
      <c r="O3951">
        <v>0.25785675963257143</v>
      </c>
      <c r="P3951">
        <v>0.27692162141872878</v>
      </c>
    </row>
    <row r="3952" spans="13:16">
      <c r="M3952">
        <v>0.28722555115052772</v>
      </c>
      <c r="N3952">
        <v>0.20300416021335066</v>
      </c>
      <c r="O3952">
        <v>0.23330590198098153</v>
      </c>
      <c r="P3952">
        <v>0.27646438665514012</v>
      </c>
    </row>
    <row r="3953" spans="13:16">
      <c r="M3953">
        <v>0.29492931625264879</v>
      </c>
      <c r="N3953">
        <v>0.20278032155950479</v>
      </c>
      <c r="O3953">
        <v>0.22865221313757719</v>
      </c>
      <c r="P3953">
        <v>0.27363814905026917</v>
      </c>
    </row>
    <row r="3954" spans="13:16">
      <c r="M3954">
        <v>0.28961708138743081</v>
      </c>
      <c r="N3954">
        <v>0.17158362995108437</v>
      </c>
      <c r="O3954">
        <v>0.27146174485347191</v>
      </c>
      <c r="P3954">
        <v>0.26733754380801306</v>
      </c>
    </row>
    <row r="3955" spans="13:16">
      <c r="M3955">
        <v>0.3126473209271492</v>
      </c>
      <c r="N3955">
        <v>0.19940132111096684</v>
      </c>
      <c r="O3955">
        <v>0.23202399415382938</v>
      </c>
      <c r="P3955">
        <v>0.25592736380805464</v>
      </c>
    </row>
    <row r="3956" spans="13:16">
      <c r="M3956">
        <v>0.28390521414862507</v>
      </c>
      <c r="N3956">
        <v>0.19685268591683008</v>
      </c>
      <c r="O3956">
        <v>0.26235680870495215</v>
      </c>
      <c r="P3956">
        <v>0.25688529122959275</v>
      </c>
    </row>
    <row r="3957" spans="13:16">
      <c r="M3957">
        <v>0.30248946236319374</v>
      </c>
      <c r="N3957">
        <v>0.19345519134797182</v>
      </c>
      <c r="O3957">
        <v>0.23184649917877465</v>
      </c>
      <c r="P3957">
        <v>0.27220884711005983</v>
      </c>
    </row>
    <row r="3958" spans="13:16">
      <c r="M3958">
        <v>0.31185823802860035</v>
      </c>
      <c r="N3958">
        <v>0.17954958897937018</v>
      </c>
      <c r="O3958">
        <v>0.26894835665295469</v>
      </c>
      <c r="P3958">
        <v>0.23964381633907475</v>
      </c>
    </row>
    <row r="3959" spans="13:16">
      <c r="M3959">
        <v>0.28576595079116968</v>
      </c>
      <c r="N3959">
        <v>0.21789510042773488</v>
      </c>
      <c r="O3959">
        <v>0.21659771404110076</v>
      </c>
      <c r="P3959">
        <v>0.27974123473999474</v>
      </c>
    </row>
    <row r="3960" spans="13:16">
      <c r="M3960">
        <v>0.32199898239467306</v>
      </c>
      <c r="N3960">
        <v>0.18242460869099111</v>
      </c>
      <c r="O3960">
        <v>0.23748716712242729</v>
      </c>
      <c r="P3960">
        <v>0.25808924179190856</v>
      </c>
    </row>
    <row r="3961" spans="13:16">
      <c r="M3961">
        <v>0.30806824320674703</v>
      </c>
      <c r="N3961">
        <v>0.17534872840356855</v>
      </c>
      <c r="O3961">
        <v>0.2521288285693446</v>
      </c>
      <c r="P3961">
        <v>0.2644541998203398</v>
      </c>
    </row>
    <row r="3962" spans="13:16">
      <c r="M3962">
        <v>0.28239648048504418</v>
      </c>
      <c r="N3962">
        <v>0.19753489579927153</v>
      </c>
      <c r="O3962">
        <v>0.26127708886894618</v>
      </c>
      <c r="P3962">
        <v>0.25879153484673817</v>
      </c>
    </row>
    <row r="3963" spans="13:16">
      <c r="M3963">
        <v>0.27718586678640073</v>
      </c>
      <c r="N3963">
        <v>0.18109634346683801</v>
      </c>
      <c r="O3963">
        <v>0.26283472259603075</v>
      </c>
      <c r="P3963">
        <v>0.27888306715073052</v>
      </c>
    </row>
    <row r="3964" spans="13:16">
      <c r="M3964">
        <v>0.29120411729271689</v>
      </c>
      <c r="N3964">
        <v>0.18214350879512609</v>
      </c>
      <c r="O3964">
        <v>0.25340982007708029</v>
      </c>
      <c r="P3964">
        <v>0.27324255383507667</v>
      </c>
    </row>
    <row r="3965" spans="13:16">
      <c r="M3965">
        <v>0.29016420840087459</v>
      </c>
      <c r="N3965">
        <v>0.19244922292831335</v>
      </c>
      <c r="O3965">
        <v>0.26920904954644231</v>
      </c>
      <c r="P3965">
        <v>0.24817751912436975</v>
      </c>
    </row>
    <row r="3966" spans="13:16">
      <c r="M3966">
        <v>0.30019801212519309</v>
      </c>
      <c r="N3966">
        <v>0.19409832002366634</v>
      </c>
      <c r="O3966">
        <v>0.23443254403748459</v>
      </c>
      <c r="P3966">
        <v>0.27127112381365598</v>
      </c>
    </row>
    <row r="3967" spans="13:16">
      <c r="M3967">
        <v>0.27557186420643137</v>
      </c>
      <c r="N3967">
        <v>0.16826688920693822</v>
      </c>
      <c r="O3967">
        <v>0.3057440794288741</v>
      </c>
      <c r="P3967">
        <v>0.25041716715775636</v>
      </c>
    </row>
    <row r="3968" spans="13:16">
      <c r="M3968">
        <v>0.28783306034859596</v>
      </c>
      <c r="N3968">
        <v>0.18296609813707834</v>
      </c>
      <c r="O3968">
        <v>0.26047829744891726</v>
      </c>
      <c r="P3968">
        <v>0.2687225440654083</v>
      </c>
    </row>
    <row r="3969" spans="13:16">
      <c r="M3969">
        <v>0.29131941576349885</v>
      </c>
      <c r="N3969">
        <v>0.18178740622609982</v>
      </c>
      <c r="O3969">
        <v>0.25671986838921973</v>
      </c>
      <c r="P3969">
        <v>0.27017330962118169</v>
      </c>
    </row>
    <row r="3970" spans="13:16">
      <c r="M3970">
        <v>0.31497107921101514</v>
      </c>
      <c r="N3970">
        <v>0.15870284124938328</v>
      </c>
      <c r="O3970">
        <v>0.2893168865357697</v>
      </c>
      <c r="P3970">
        <v>0.23700919300383183</v>
      </c>
    </row>
    <row r="3971" spans="13:16">
      <c r="M3971">
        <v>0.28096877232139628</v>
      </c>
      <c r="N3971">
        <v>0.18685525929995148</v>
      </c>
      <c r="O3971">
        <v>0.26500987324449937</v>
      </c>
      <c r="P3971">
        <v>0.2671660951341529</v>
      </c>
    </row>
    <row r="3972" spans="13:16">
      <c r="M3972">
        <v>0.29506537951801137</v>
      </c>
      <c r="N3972">
        <v>0.18344364318963652</v>
      </c>
      <c r="O3972">
        <v>0.25833053200651335</v>
      </c>
      <c r="P3972">
        <v>0.26316044528583871</v>
      </c>
    </row>
    <row r="3973" spans="13:16">
      <c r="M3973">
        <v>0.31566110274302667</v>
      </c>
      <c r="N3973">
        <v>0.1838229493319172</v>
      </c>
      <c r="O3973">
        <v>0.23345543274218139</v>
      </c>
      <c r="P3973">
        <v>0.26706051518287471</v>
      </c>
    </row>
    <row r="3974" spans="13:16">
      <c r="M3974">
        <v>0.30052666335244638</v>
      </c>
      <c r="N3974">
        <v>0.16876442667789984</v>
      </c>
      <c r="O3974">
        <v>0.2869254374610552</v>
      </c>
      <c r="P3974">
        <v>0.24378347250859861</v>
      </c>
    </row>
    <row r="3975" spans="13:16">
      <c r="M3975">
        <v>0.29636251195598884</v>
      </c>
      <c r="N3975">
        <v>0.18007156241907979</v>
      </c>
      <c r="O3975">
        <v>0.25643168577260722</v>
      </c>
      <c r="P3975">
        <v>0.26713423985232415</v>
      </c>
    </row>
    <row r="3976" spans="13:16">
      <c r="M3976">
        <v>0.27807717303542168</v>
      </c>
      <c r="N3976">
        <v>0.20583354825379366</v>
      </c>
      <c r="O3976">
        <v>0.24545836700973528</v>
      </c>
      <c r="P3976">
        <v>0.27063091170104936</v>
      </c>
    </row>
    <row r="3977" spans="13:16">
      <c r="M3977">
        <v>0.27576773118087611</v>
      </c>
      <c r="N3977">
        <v>0.18653225809872501</v>
      </c>
      <c r="O3977">
        <v>0.27259480772914352</v>
      </c>
      <c r="P3977">
        <v>0.2651052029912554</v>
      </c>
    </row>
    <row r="3978" spans="13:16">
      <c r="M3978">
        <v>0.30542928891891946</v>
      </c>
      <c r="N3978">
        <v>0.19299056949612828</v>
      </c>
      <c r="O3978">
        <v>0.2366808922639323</v>
      </c>
      <c r="P3978">
        <v>0.26489924932101983</v>
      </c>
    </row>
    <row r="3979" spans="13:16">
      <c r="M3979">
        <v>0.28661742950862112</v>
      </c>
      <c r="N3979">
        <v>0.19212256315129889</v>
      </c>
      <c r="O3979">
        <v>0.23965248535683206</v>
      </c>
      <c r="P3979">
        <v>0.28160752198324779</v>
      </c>
    </row>
    <row r="3980" spans="13:16">
      <c r="M3980">
        <v>0.29357469759276694</v>
      </c>
      <c r="N3980">
        <v>0.20030298055206905</v>
      </c>
      <c r="O3980">
        <v>0.22437199999693774</v>
      </c>
      <c r="P3980">
        <v>0.28175032185822613</v>
      </c>
    </row>
    <row r="3981" spans="13:16">
      <c r="M3981">
        <v>0.32099481400707691</v>
      </c>
      <c r="N3981">
        <v>0.17336162242291978</v>
      </c>
      <c r="O3981">
        <v>0.24797177231312298</v>
      </c>
      <c r="P3981">
        <v>0.25767179125688039</v>
      </c>
    </row>
    <row r="3982" spans="13:16">
      <c r="M3982">
        <v>0.27948551089175394</v>
      </c>
      <c r="N3982">
        <v>0.19897688004466341</v>
      </c>
      <c r="O3982">
        <v>0.24369213678953403</v>
      </c>
      <c r="P3982">
        <v>0.2778454722740486</v>
      </c>
    </row>
    <row r="3983" spans="13:16">
      <c r="M3983">
        <v>0.28777069577043551</v>
      </c>
      <c r="N3983">
        <v>0.1703724729997203</v>
      </c>
      <c r="O3983">
        <v>0.29453131137277572</v>
      </c>
      <c r="P3983">
        <v>0.24732551985706844</v>
      </c>
    </row>
    <row r="3984" spans="13:16">
      <c r="M3984">
        <v>0.28202918677051692</v>
      </c>
      <c r="N3984">
        <v>0.19520637760978662</v>
      </c>
      <c r="O3984">
        <v>0.24753171265620688</v>
      </c>
      <c r="P3984">
        <v>0.27523272296348961</v>
      </c>
    </row>
    <row r="3985" spans="13:16">
      <c r="M3985">
        <v>0.29251000714927877</v>
      </c>
      <c r="N3985">
        <v>0.18034878972994339</v>
      </c>
      <c r="O3985">
        <v>0.25806776107222001</v>
      </c>
      <c r="P3985">
        <v>0.26907344204855782</v>
      </c>
    </row>
    <row r="3986" spans="13:16">
      <c r="M3986">
        <v>0.31359604576428196</v>
      </c>
      <c r="N3986">
        <v>0.18942821832401202</v>
      </c>
      <c r="O3986">
        <v>0.23149136192836797</v>
      </c>
      <c r="P3986">
        <v>0.26548437398333813</v>
      </c>
    </row>
    <row r="3987" spans="13:16">
      <c r="M3987">
        <v>0.29975328044365063</v>
      </c>
      <c r="N3987">
        <v>0.20104305714491763</v>
      </c>
      <c r="O3987">
        <v>0.24256479090106994</v>
      </c>
      <c r="P3987">
        <v>0.25663887151036185</v>
      </c>
    </row>
    <row r="3988" spans="13:16">
      <c r="M3988">
        <v>0.28918154206495705</v>
      </c>
      <c r="N3988">
        <v>0.20422764300879342</v>
      </c>
      <c r="O3988">
        <v>0.23666989996327079</v>
      </c>
      <c r="P3988">
        <v>0.26992091496297871</v>
      </c>
    </row>
    <row r="3989" spans="13:16">
      <c r="M3989">
        <v>0.29244363641784338</v>
      </c>
      <c r="N3989">
        <v>0.17475654083777806</v>
      </c>
      <c r="O3989">
        <v>0.25845394393638671</v>
      </c>
      <c r="P3989">
        <v>0.27434587880799183</v>
      </c>
    </row>
    <row r="3990" spans="13:16">
      <c r="M3990">
        <v>0.29357314244460192</v>
      </c>
      <c r="N3990">
        <v>0.20014116554852887</v>
      </c>
      <c r="O3990">
        <v>0.24728189909674461</v>
      </c>
      <c r="P3990">
        <v>0.25900379291012471</v>
      </c>
    </row>
    <row r="3991" spans="13:16">
      <c r="M3991">
        <v>0.27319625134600156</v>
      </c>
      <c r="N3991">
        <v>0.19965584699678632</v>
      </c>
      <c r="O3991">
        <v>0.25541690418577478</v>
      </c>
      <c r="P3991">
        <v>0.27173099747143725</v>
      </c>
    </row>
    <row r="3992" spans="13:16">
      <c r="M3992">
        <v>0.28976276720474586</v>
      </c>
      <c r="N3992">
        <v>0.16963866454354531</v>
      </c>
      <c r="O3992">
        <v>0.29894839270260376</v>
      </c>
      <c r="P3992">
        <v>0.2416501755491049</v>
      </c>
    </row>
    <row r="3993" spans="13:16">
      <c r="M3993">
        <v>0.28253537381701377</v>
      </c>
      <c r="N3993">
        <v>0.19687836547957563</v>
      </c>
      <c r="O3993">
        <v>0.27221906457464912</v>
      </c>
      <c r="P3993">
        <v>0.24836719612876154</v>
      </c>
    </row>
    <row r="3994" spans="13:16">
      <c r="M3994">
        <v>0.29542656347787205</v>
      </c>
      <c r="N3994">
        <v>0.1827010092484404</v>
      </c>
      <c r="O3994">
        <v>0.25617962262493094</v>
      </c>
      <c r="P3994">
        <v>0.26569280464875655</v>
      </c>
    </row>
    <row r="3995" spans="13:16">
      <c r="M3995">
        <v>0.29621690102059112</v>
      </c>
      <c r="N3995">
        <v>0.16995554788205916</v>
      </c>
      <c r="O3995">
        <v>0.28049033146664309</v>
      </c>
      <c r="P3995">
        <v>0.25333721963070671</v>
      </c>
    </row>
    <row r="3996" spans="13:16">
      <c r="M3996">
        <v>0.29219616839572016</v>
      </c>
      <c r="N3996">
        <v>0.18634733431783454</v>
      </c>
      <c r="O3996">
        <v>0.26619709602486213</v>
      </c>
      <c r="P3996">
        <v>0.25525940126158303</v>
      </c>
    </row>
    <row r="3997" spans="13:16">
      <c r="M3997">
        <v>0.29022026935657708</v>
      </c>
      <c r="N3997">
        <v>0.1937940686824538</v>
      </c>
      <c r="O3997">
        <v>0.251907063108263</v>
      </c>
      <c r="P3997">
        <v>0.26407859885270624</v>
      </c>
    </row>
    <row r="3998" spans="13:16">
      <c r="M3998">
        <v>0.31846588876953624</v>
      </c>
      <c r="N3998">
        <v>0.17422046211650408</v>
      </c>
      <c r="O3998">
        <v>0.24811317207485226</v>
      </c>
      <c r="P3998">
        <v>0.25920047703910742</v>
      </c>
    </row>
    <row r="3999" spans="13:16">
      <c r="M3999">
        <v>0.31812792689927311</v>
      </c>
      <c r="N3999">
        <v>0.18891572596183182</v>
      </c>
      <c r="O3999">
        <v>0.24534502881743048</v>
      </c>
      <c r="P3999">
        <v>0.24761131832146466</v>
      </c>
    </row>
    <row r="4000" spans="13:16">
      <c r="M4000">
        <v>0.31750929599704736</v>
      </c>
      <c r="N4000">
        <v>0.19534332494291698</v>
      </c>
      <c r="O4000">
        <v>0.22226861824398444</v>
      </c>
      <c r="P4000">
        <v>0.26487876081605127</v>
      </c>
    </row>
    <row r="4001" spans="13:16">
      <c r="M4001">
        <v>0.28204824904689957</v>
      </c>
      <c r="N4001">
        <v>0.18626537358738007</v>
      </c>
      <c r="O4001">
        <v>0.27295954615076762</v>
      </c>
      <c r="P4001">
        <v>0.25872683121495277</v>
      </c>
    </row>
    <row r="4002" spans="13:16">
      <c r="M4002">
        <v>0.30436429268701909</v>
      </c>
      <c r="N4002">
        <v>0.17292182692279279</v>
      </c>
      <c r="O4002">
        <v>0.25055751798700687</v>
      </c>
      <c r="P4002">
        <v>0.27215636240318125</v>
      </c>
    </row>
    <row r="4003" spans="13:16">
      <c r="M4003">
        <v>0.27638583392679361</v>
      </c>
      <c r="N4003">
        <v>0.1770007227714781</v>
      </c>
      <c r="O4003">
        <v>0.27341070907063442</v>
      </c>
      <c r="P4003">
        <v>0.27320273423109381</v>
      </c>
    </row>
    <row r="4004" spans="13:16">
      <c r="M4004">
        <v>0.30577240992725668</v>
      </c>
      <c r="N4004">
        <v>0.19385262274939341</v>
      </c>
      <c r="O4004">
        <v>0.24800277654076297</v>
      </c>
      <c r="P4004">
        <v>0.25237219078258699</v>
      </c>
    </row>
    <row r="4005" spans="13:16">
      <c r="M4005">
        <v>0.27978886334398168</v>
      </c>
      <c r="N4005">
        <v>0.1807911444879543</v>
      </c>
      <c r="O4005">
        <v>0.2749502612999799</v>
      </c>
      <c r="P4005">
        <v>0.26446973086808412</v>
      </c>
    </row>
    <row r="4006" spans="13:16">
      <c r="M4006">
        <v>0.30156291529193202</v>
      </c>
      <c r="N4006">
        <v>0.17392650396045442</v>
      </c>
      <c r="O4006">
        <v>0.24143273402043539</v>
      </c>
      <c r="P4006">
        <v>0.28307784672717812</v>
      </c>
    </row>
    <row r="4007" spans="13:16">
      <c r="M4007">
        <v>0.30120545611261024</v>
      </c>
      <c r="N4007">
        <v>0.18628876938505012</v>
      </c>
      <c r="O4007">
        <v>0.24066237791551282</v>
      </c>
      <c r="P4007">
        <v>0.27184339658682682</v>
      </c>
    </row>
    <row r="4008" spans="13:16">
      <c r="M4008">
        <v>0.29351801896726037</v>
      </c>
      <c r="N4008">
        <v>0.18397560402239047</v>
      </c>
      <c r="O4008">
        <v>0.27564842970640402</v>
      </c>
      <c r="P4008">
        <v>0.24685794730394514</v>
      </c>
    </row>
    <row r="4009" spans="13:16">
      <c r="M4009">
        <v>0.26593697187252779</v>
      </c>
      <c r="N4009">
        <v>0.18914697841614217</v>
      </c>
      <c r="O4009">
        <v>0.27761456077486879</v>
      </c>
      <c r="P4009">
        <v>0.26730148893646127</v>
      </c>
    </row>
    <row r="4010" spans="13:16">
      <c r="M4010">
        <v>0.28557987512571548</v>
      </c>
      <c r="N4010">
        <v>0.19462578475580206</v>
      </c>
      <c r="O4010">
        <v>0.25568868121885552</v>
      </c>
      <c r="P4010">
        <v>0.26410565889962695</v>
      </c>
    </row>
    <row r="4011" spans="13:16">
      <c r="M4011">
        <v>0.28075220711663962</v>
      </c>
      <c r="N4011">
        <v>0.1840632666613066</v>
      </c>
      <c r="O4011">
        <v>0.25279215086700346</v>
      </c>
      <c r="P4011">
        <v>0.28239237535505046</v>
      </c>
    </row>
    <row r="4012" spans="13:16">
      <c r="M4012">
        <v>0.27451017863148941</v>
      </c>
      <c r="N4012">
        <v>0.19436220812934427</v>
      </c>
      <c r="O4012">
        <v>0.26153838696789006</v>
      </c>
      <c r="P4012">
        <v>0.26958922627127618</v>
      </c>
    </row>
    <row r="4013" spans="13:16">
      <c r="M4013">
        <v>0.27947004102237555</v>
      </c>
      <c r="N4013">
        <v>0.1819150820137497</v>
      </c>
      <c r="O4013">
        <v>0.26984068020313012</v>
      </c>
      <c r="P4013">
        <v>0.2687741967607446</v>
      </c>
    </row>
    <row r="4014" spans="13:16">
      <c r="M4014">
        <v>0.29137437536369271</v>
      </c>
      <c r="N4014">
        <v>0.1971147365229613</v>
      </c>
      <c r="O4014">
        <v>0.24162177310077318</v>
      </c>
      <c r="P4014">
        <v>0.2698891150125729</v>
      </c>
    </row>
    <row r="4015" spans="13:16">
      <c r="M4015">
        <v>0.28610539952427771</v>
      </c>
      <c r="N4015">
        <v>0.19975261687972234</v>
      </c>
      <c r="O4015">
        <v>0.24356280717597895</v>
      </c>
      <c r="P4015">
        <v>0.27057917642002099</v>
      </c>
    </row>
    <row r="4016" spans="13:16">
      <c r="M4016">
        <v>0.27090211970465367</v>
      </c>
      <c r="N4016">
        <v>0.1859404102874514</v>
      </c>
      <c r="O4016">
        <v>0.26098315575841585</v>
      </c>
      <c r="P4016">
        <v>0.28217431424947914</v>
      </c>
    </row>
    <row r="4017" spans="13:16">
      <c r="M4017">
        <v>0.30138164675800161</v>
      </c>
      <c r="N4017">
        <v>0.16540015326473706</v>
      </c>
      <c r="O4017">
        <v>0.29208379329991874</v>
      </c>
      <c r="P4017">
        <v>0.24113440667734262</v>
      </c>
    </row>
    <row r="4018" spans="13:16">
      <c r="M4018">
        <v>0.29033268078116686</v>
      </c>
      <c r="N4018">
        <v>0.19583147695832939</v>
      </c>
      <c r="O4018">
        <v>0.24596518001056525</v>
      </c>
      <c r="P4018">
        <v>0.26787066224993844</v>
      </c>
    </row>
    <row r="4019" spans="13:16">
      <c r="M4019">
        <v>0.31154103762197355</v>
      </c>
      <c r="N4019">
        <v>0.19519503911556857</v>
      </c>
      <c r="O4019">
        <v>0.23851427552322627</v>
      </c>
      <c r="P4019">
        <v>0.25474964773923159</v>
      </c>
    </row>
    <row r="4020" spans="13:16">
      <c r="M4020">
        <v>0.27409600435568077</v>
      </c>
      <c r="N4020">
        <v>0.18905630634489218</v>
      </c>
      <c r="O4020">
        <v>0.26891393821630727</v>
      </c>
      <c r="P4020">
        <v>0.26793375108311968</v>
      </c>
    </row>
    <row r="4021" spans="13:16">
      <c r="M4021">
        <v>0.26458681012145957</v>
      </c>
      <c r="N4021">
        <v>0.18790318204659642</v>
      </c>
      <c r="O4021">
        <v>0.28625060682859155</v>
      </c>
      <c r="P4021">
        <v>0.26125940100335243</v>
      </c>
    </row>
    <row r="4022" spans="13:16">
      <c r="M4022">
        <v>0.27850062888378657</v>
      </c>
      <c r="N4022">
        <v>0.19510278242975415</v>
      </c>
      <c r="O4022">
        <v>0.27810870962764878</v>
      </c>
      <c r="P4022">
        <v>0.24828787905881045</v>
      </c>
    </row>
    <row r="4023" spans="13:16">
      <c r="M4023">
        <v>0.29659753127593197</v>
      </c>
      <c r="N4023">
        <v>0.17869360416889232</v>
      </c>
      <c r="O4023">
        <v>0.27576566711350914</v>
      </c>
      <c r="P4023">
        <v>0.24894319744166654</v>
      </c>
    </row>
    <row r="4024" spans="13:16">
      <c r="M4024">
        <v>0.28562297479185411</v>
      </c>
      <c r="N4024">
        <v>0.19179197155594682</v>
      </c>
      <c r="O4024">
        <v>0.24163818177895413</v>
      </c>
      <c r="P4024">
        <v>0.28094687187324496</v>
      </c>
    </row>
    <row r="4025" spans="13:16">
      <c r="M4025">
        <v>0.28665917743590413</v>
      </c>
      <c r="N4025">
        <v>0.19514782449693485</v>
      </c>
      <c r="O4025">
        <v>0.24803577403087251</v>
      </c>
      <c r="P4025">
        <v>0.2701572240362885</v>
      </c>
    </row>
    <row r="4026" spans="13:16">
      <c r="M4026">
        <v>0.30714812586527213</v>
      </c>
      <c r="N4026">
        <v>0.18445716656715647</v>
      </c>
      <c r="O4026">
        <v>0.24857809625773911</v>
      </c>
      <c r="P4026">
        <v>0.2598166113098323</v>
      </c>
    </row>
    <row r="4027" spans="13:16">
      <c r="M4027">
        <v>0.28035580768194002</v>
      </c>
      <c r="N4027">
        <v>0.20133652514749703</v>
      </c>
      <c r="O4027">
        <v>0.25296816661504939</v>
      </c>
      <c r="P4027">
        <v>0.26533950055551359</v>
      </c>
    </row>
    <row r="4028" spans="13:16">
      <c r="M4028">
        <v>0.27872391217836134</v>
      </c>
      <c r="N4028">
        <v>0.19473649344637986</v>
      </c>
      <c r="O4028">
        <v>0.24392402641301975</v>
      </c>
      <c r="P4028">
        <v>0.28261556796223913</v>
      </c>
    </row>
    <row r="4029" spans="13:16">
      <c r="M4029">
        <v>0.32593968956432379</v>
      </c>
      <c r="N4029">
        <v>0.17731134476245475</v>
      </c>
      <c r="O4029">
        <v>0.22755068681559157</v>
      </c>
      <c r="P4029">
        <v>0.26919827885762998</v>
      </c>
    </row>
    <row r="4030" spans="13:16">
      <c r="M4030">
        <v>0.3148203117560035</v>
      </c>
      <c r="N4030">
        <v>0.18125045569490164</v>
      </c>
      <c r="O4030">
        <v>0.22103646751951531</v>
      </c>
      <c r="P4030">
        <v>0.2828927650295795</v>
      </c>
    </row>
    <row r="4031" spans="13:16">
      <c r="M4031">
        <v>0.28964710725912696</v>
      </c>
      <c r="N4031">
        <v>0.18610221259116549</v>
      </c>
      <c r="O4031">
        <v>0.24564947124962058</v>
      </c>
      <c r="P4031">
        <v>0.27860120890008694</v>
      </c>
    </row>
    <row r="4032" spans="13:16">
      <c r="M4032">
        <v>0.26710266576876507</v>
      </c>
      <c r="N4032">
        <v>0.19836302330894789</v>
      </c>
      <c r="O4032">
        <v>0.25288397533260809</v>
      </c>
      <c r="P4032">
        <v>0.281650335589679</v>
      </c>
    </row>
    <row r="4033" spans="13:16">
      <c r="M4033">
        <v>0.29741628093654282</v>
      </c>
      <c r="N4033">
        <v>0.20390742427055308</v>
      </c>
      <c r="O4033">
        <v>0.24350200066259031</v>
      </c>
      <c r="P4033">
        <v>0.25517429413031389</v>
      </c>
    </row>
    <row r="4034" spans="13:16">
      <c r="M4034">
        <v>0.31918716333907599</v>
      </c>
      <c r="N4034">
        <v>0.17470814321877115</v>
      </c>
      <c r="O4034">
        <v>0.22908448285489991</v>
      </c>
      <c r="P4034">
        <v>0.27702021058725285</v>
      </c>
    </row>
    <row r="4035" spans="13:16">
      <c r="M4035">
        <v>0.30191409644326117</v>
      </c>
      <c r="N4035">
        <v>0.18849601601751739</v>
      </c>
      <c r="O4035">
        <v>0.24229774510204935</v>
      </c>
      <c r="P4035">
        <v>0.26729214243717203</v>
      </c>
    </row>
    <row r="4036" spans="13:16">
      <c r="M4036">
        <v>0.31270143320577859</v>
      </c>
      <c r="N4036">
        <v>0.17115991378283174</v>
      </c>
      <c r="O4036">
        <v>0.25800840688815979</v>
      </c>
      <c r="P4036">
        <v>0.25813024612322982</v>
      </c>
    </row>
    <row r="4037" spans="13:16">
      <c r="M4037">
        <v>0.27518153810971313</v>
      </c>
      <c r="N4037">
        <v>0.18897520884355823</v>
      </c>
      <c r="O4037">
        <v>0.25716922826785116</v>
      </c>
      <c r="P4037">
        <v>0.27867402477887743</v>
      </c>
    </row>
    <row r="4038" spans="13:16">
      <c r="M4038">
        <v>0.28915376182629626</v>
      </c>
      <c r="N4038">
        <v>0.17970795278967197</v>
      </c>
      <c r="O4038">
        <v>0.27713916864302152</v>
      </c>
      <c r="P4038">
        <v>0.25399911674101006</v>
      </c>
    </row>
    <row r="4039" spans="13:16">
      <c r="M4039">
        <v>0.27987428751048987</v>
      </c>
      <c r="N4039">
        <v>0.19295230603505442</v>
      </c>
      <c r="O4039">
        <v>0.25550486495034702</v>
      </c>
      <c r="P4039">
        <v>0.27166854150410874</v>
      </c>
    </row>
    <row r="4040" spans="13:16">
      <c r="M4040">
        <v>0.31088341859009166</v>
      </c>
      <c r="N4040">
        <v>0.17586092431436465</v>
      </c>
      <c r="O4040">
        <v>0.24692724069180821</v>
      </c>
      <c r="P4040">
        <v>0.26632841640373534</v>
      </c>
    </row>
    <row r="4041" spans="13:16">
      <c r="M4041">
        <v>0.2752334800949322</v>
      </c>
      <c r="N4041">
        <v>0.20241634333708106</v>
      </c>
      <c r="O4041">
        <v>0.2465659742112318</v>
      </c>
      <c r="P4041">
        <v>0.27578420235675494</v>
      </c>
    </row>
    <row r="4042" spans="13:16">
      <c r="M4042">
        <v>0.30317155072026808</v>
      </c>
      <c r="N4042">
        <v>0.19009343581151072</v>
      </c>
      <c r="O4042">
        <v>0.23598644676347919</v>
      </c>
      <c r="P4042">
        <v>0.27074856670474207</v>
      </c>
    </row>
    <row r="4043" spans="13:16">
      <c r="M4043">
        <v>0.29919565917248325</v>
      </c>
      <c r="N4043">
        <v>0.19252964915177564</v>
      </c>
      <c r="O4043">
        <v>0.2401806131618229</v>
      </c>
      <c r="P4043">
        <v>0.2680940785139182</v>
      </c>
    </row>
    <row r="4044" spans="13:16">
      <c r="M4044">
        <v>0.32302422878672743</v>
      </c>
      <c r="N4044">
        <v>0.1931214614343553</v>
      </c>
      <c r="O4044">
        <v>0.21893194365986904</v>
      </c>
      <c r="P4044">
        <v>0.26492236611904818</v>
      </c>
    </row>
    <row r="4045" spans="13:16">
      <c r="M4045">
        <v>0.28325906285476188</v>
      </c>
      <c r="N4045">
        <v>0.16788642124353176</v>
      </c>
      <c r="O4045">
        <v>0.29580321317044905</v>
      </c>
      <c r="P4045">
        <v>0.25305130273125731</v>
      </c>
    </row>
    <row r="4046" spans="13:16">
      <c r="M4046">
        <v>0.30195578724498823</v>
      </c>
      <c r="N4046">
        <v>0.18032971937176148</v>
      </c>
      <c r="O4046">
        <v>0.25066734017260145</v>
      </c>
      <c r="P4046">
        <v>0.26704715321064887</v>
      </c>
    </row>
    <row r="4047" spans="13:16">
      <c r="M4047">
        <v>0.26990190556668109</v>
      </c>
      <c r="N4047">
        <v>0.18596002646266094</v>
      </c>
      <c r="O4047">
        <v>0.28461959397272707</v>
      </c>
      <c r="P4047">
        <v>0.25951847399793088</v>
      </c>
    </row>
    <row r="4048" spans="13:16">
      <c r="M4048">
        <v>0.2964351622060033</v>
      </c>
      <c r="N4048">
        <v>0.18176891935418102</v>
      </c>
      <c r="O4048">
        <v>0.26506339051669164</v>
      </c>
      <c r="P4048">
        <v>0.25673252792312395</v>
      </c>
    </row>
    <row r="4049" spans="13:16">
      <c r="M4049">
        <v>0.3195390337299861</v>
      </c>
      <c r="N4049">
        <v>0.17352661127738836</v>
      </c>
      <c r="O4049">
        <v>0.281219429402008</v>
      </c>
      <c r="P4049">
        <v>0.22571492559061751</v>
      </c>
    </row>
    <row r="4050" spans="13:16">
      <c r="M4050">
        <v>0.30791688901320707</v>
      </c>
      <c r="N4050">
        <v>0.18989198298479487</v>
      </c>
      <c r="O4050">
        <v>0.2226732406770987</v>
      </c>
      <c r="P4050">
        <v>0.27951788732489941</v>
      </c>
    </row>
    <row r="4051" spans="13:16">
      <c r="M4051">
        <v>0.29745689557486804</v>
      </c>
      <c r="N4051">
        <v>0.16516981577404333</v>
      </c>
      <c r="O4051">
        <v>0.28808726753477759</v>
      </c>
      <c r="P4051">
        <v>0.24928602111631115</v>
      </c>
    </row>
    <row r="4052" spans="13:16">
      <c r="M4052">
        <v>0.28339738997830483</v>
      </c>
      <c r="N4052">
        <v>0.20092179961495119</v>
      </c>
      <c r="O4052">
        <v>0.24904100607783317</v>
      </c>
      <c r="P4052">
        <v>0.26663980432891082</v>
      </c>
    </row>
    <row r="4053" spans="13:16">
      <c r="M4053">
        <v>0.30464131752056195</v>
      </c>
      <c r="N4053">
        <v>0.1928416313084389</v>
      </c>
      <c r="O4053">
        <v>0.2315573432787453</v>
      </c>
      <c r="P4053">
        <v>0.27095970789225376</v>
      </c>
    </row>
    <row r="4054" spans="13:16">
      <c r="M4054">
        <v>0.28548248415601429</v>
      </c>
      <c r="N4054">
        <v>0.20667327970016006</v>
      </c>
      <c r="O4054">
        <v>0.2284955847856526</v>
      </c>
      <c r="P4054">
        <v>0.27934865135817305</v>
      </c>
    </row>
    <row r="4055" spans="13:16">
      <c r="M4055">
        <v>0.32837028623561904</v>
      </c>
      <c r="N4055">
        <v>0.15963968577922516</v>
      </c>
      <c r="O4055">
        <v>0.27437598291817228</v>
      </c>
      <c r="P4055">
        <v>0.23761404506698344</v>
      </c>
    </row>
    <row r="4056" spans="13:16">
      <c r="M4056">
        <v>0.2908128438608592</v>
      </c>
      <c r="N4056">
        <v>0.18242169367075198</v>
      </c>
      <c r="O4056">
        <v>0.27476719479564732</v>
      </c>
      <c r="P4056">
        <v>0.25199826767274153</v>
      </c>
    </row>
    <row r="4057" spans="13:16">
      <c r="M4057">
        <v>0.30163921579207198</v>
      </c>
      <c r="N4057">
        <v>0.19971325095434564</v>
      </c>
      <c r="O4057">
        <v>0.22821454659670556</v>
      </c>
      <c r="P4057">
        <v>0.27043298665687676</v>
      </c>
    </row>
    <row r="4058" spans="13:16">
      <c r="M4058">
        <v>0.31664694982734731</v>
      </c>
      <c r="N4058">
        <v>0.17054527807837147</v>
      </c>
      <c r="O4058">
        <v>0.25126543656055328</v>
      </c>
      <c r="P4058">
        <v>0.26154233553372791</v>
      </c>
    </row>
    <row r="4059" spans="13:16">
      <c r="M4059">
        <v>0.27285711163181309</v>
      </c>
      <c r="N4059">
        <v>0.17944336541584446</v>
      </c>
      <c r="O4059">
        <v>0.28303645056780402</v>
      </c>
      <c r="P4059">
        <v>0.2646630723845384</v>
      </c>
    </row>
    <row r="4060" spans="13:16">
      <c r="M4060">
        <v>0.29009048115347452</v>
      </c>
      <c r="N4060">
        <v>0.18893880950484718</v>
      </c>
      <c r="O4060">
        <v>0.25096475224226183</v>
      </c>
      <c r="P4060">
        <v>0.27000595709941644</v>
      </c>
    </row>
    <row r="4061" spans="13:16">
      <c r="M4061">
        <v>0.27909401070918721</v>
      </c>
      <c r="N4061">
        <v>0.1886997598920504</v>
      </c>
      <c r="O4061">
        <v>0.26413980103947571</v>
      </c>
      <c r="P4061">
        <v>0.26806642835928673</v>
      </c>
    </row>
    <row r="4062" spans="13:16">
      <c r="M4062">
        <v>0.29967012796094189</v>
      </c>
      <c r="N4062">
        <v>0.18742064531340699</v>
      </c>
      <c r="O4062">
        <v>0.24072639505575916</v>
      </c>
      <c r="P4062">
        <v>0.27218283166989199</v>
      </c>
    </row>
    <row r="4063" spans="13:16">
      <c r="M4063">
        <v>0.31569638765447117</v>
      </c>
      <c r="N4063">
        <v>0.17389738324835533</v>
      </c>
      <c r="O4063">
        <v>0.24376833792562982</v>
      </c>
      <c r="P4063">
        <v>0.26663789117154379</v>
      </c>
    </row>
    <row r="4064" spans="13:16">
      <c r="M4064">
        <v>0.29734855769070023</v>
      </c>
      <c r="N4064">
        <v>0.18073373003097959</v>
      </c>
      <c r="O4064">
        <v>0.25117767760975684</v>
      </c>
      <c r="P4064">
        <v>0.27074003466856333</v>
      </c>
    </row>
    <row r="4065" spans="13:16">
      <c r="M4065">
        <v>0.31634162787966125</v>
      </c>
      <c r="N4065">
        <v>0.16269246819135591</v>
      </c>
      <c r="O4065">
        <v>0.27731391156240598</v>
      </c>
      <c r="P4065">
        <v>0.24365199236657684</v>
      </c>
    </row>
    <row r="4066" spans="13:16">
      <c r="M4066">
        <v>0.30391717547907104</v>
      </c>
      <c r="N4066">
        <v>0.176935363657726</v>
      </c>
      <c r="O4066">
        <v>0.25371921107662726</v>
      </c>
      <c r="P4066">
        <v>0.26542824978657575</v>
      </c>
    </row>
    <row r="4067" spans="13:16">
      <c r="M4067">
        <v>0.27938316432100846</v>
      </c>
      <c r="N4067">
        <v>0.19989516301439331</v>
      </c>
      <c r="O4067">
        <v>0.2464417619696376</v>
      </c>
      <c r="P4067">
        <v>0.27427991069496055</v>
      </c>
    </row>
    <row r="4068" spans="13:16">
      <c r="M4068">
        <v>0.2997256270971288</v>
      </c>
      <c r="N4068">
        <v>0.19089203240153746</v>
      </c>
      <c r="O4068">
        <v>0.24728802037134551</v>
      </c>
      <c r="P4068">
        <v>0.26209432012998835</v>
      </c>
    </row>
    <row r="4069" spans="13:16">
      <c r="M4069">
        <v>0.28037895764193937</v>
      </c>
      <c r="N4069">
        <v>0.21166233092705214</v>
      </c>
      <c r="O4069">
        <v>0.23424200320490288</v>
      </c>
      <c r="P4069">
        <v>0.27371670822610566</v>
      </c>
    </row>
    <row r="4070" spans="13:16">
      <c r="M4070">
        <v>0.27784492733808019</v>
      </c>
      <c r="N4070">
        <v>0.19605436204782861</v>
      </c>
      <c r="O4070">
        <v>0.27534612963860583</v>
      </c>
      <c r="P4070">
        <v>0.25075458097548547</v>
      </c>
    </row>
    <row r="4071" spans="13:16">
      <c r="M4071">
        <v>0.28264775801050052</v>
      </c>
      <c r="N4071">
        <v>0.17982779077501707</v>
      </c>
      <c r="O4071">
        <v>0.28924103571826615</v>
      </c>
      <c r="P4071">
        <v>0.24828341549621638</v>
      </c>
    </row>
    <row r="4072" spans="13:16">
      <c r="M4072">
        <v>0.29905240927565924</v>
      </c>
      <c r="N4072">
        <v>0.18480758355336421</v>
      </c>
      <c r="O4072">
        <v>0.24852285281769979</v>
      </c>
      <c r="P4072">
        <v>0.26761715435327671</v>
      </c>
    </row>
    <row r="4073" spans="13:16">
      <c r="M4073">
        <v>0.29831318636711918</v>
      </c>
      <c r="N4073">
        <v>0.17960036844215541</v>
      </c>
      <c r="O4073">
        <v>0.24318919383905133</v>
      </c>
      <c r="P4073">
        <v>0.27889725135167392</v>
      </c>
    </row>
    <row r="4074" spans="13:16">
      <c r="M4074">
        <v>0.29277183959425024</v>
      </c>
      <c r="N4074">
        <v>0.18022318313295294</v>
      </c>
      <c r="O4074">
        <v>0.2487099626836155</v>
      </c>
      <c r="P4074">
        <v>0.27829501458918138</v>
      </c>
    </row>
    <row r="4075" spans="13:16">
      <c r="M4075">
        <v>0.32145026663138299</v>
      </c>
      <c r="N4075">
        <v>0.17739804808213872</v>
      </c>
      <c r="O4075">
        <v>0.23194239418025442</v>
      </c>
      <c r="P4075">
        <v>0.26920929110622382</v>
      </c>
    </row>
    <row r="4076" spans="13:16">
      <c r="M4076">
        <v>0.29536375436642964</v>
      </c>
      <c r="N4076">
        <v>0.19405240015885694</v>
      </c>
      <c r="O4076">
        <v>0.24528699694767606</v>
      </c>
      <c r="P4076">
        <v>0.26529684852703717</v>
      </c>
    </row>
    <row r="4077" spans="13:16">
      <c r="M4077">
        <v>0.31114680079933443</v>
      </c>
      <c r="N4077">
        <v>0.17450692247279156</v>
      </c>
      <c r="O4077">
        <v>0.2480231974557911</v>
      </c>
      <c r="P4077">
        <v>0.26632307927208293</v>
      </c>
    </row>
    <row r="4078" spans="13:16">
      <c r="M4078">
        <v>0.30760453429701978</v>
      </c>
      <c r="N4078">
        <v>0.17463313389374277</v>
      </c>
      <c r="O4078">
        <v>0.2565406873029239</v>
      </c>
      <c r="P4078">
        <v>0.26122164450631352</v>
      </c>
    </row>
    <row r="4079" spans="13:16">
      <c r="M4079">
        <v>0.269620466980175</v>
      </c>
      <c r="N4079">
        <v>0.18044300680694048</v>
      </c>
      <c r="O4079">
        <v>0.27058708918257368</v>
      </c>
      <c r="P4079">
        <v>0.27934943703031073</v>
      </c>
    </row>
    <row r="4080" spans="13:16">
      <c r="M4080">
        <v>0.29172183105801652</v>
      </c>
      <c r="N4080">
        <v>0.1935820626059262</v>
      </c>
      <c r="O4080">
        <v>0.26317912408975969</v>
      </c>
      <c r="P4080">
        <v>0.25151698224629759</v>
      </c>
    </row>
    <row r="4081" spans="13:16">
      <c r="M4081">
        <v>0.30797543059135718</v>
      </c>
      <c r="N4081">
        <v>0.18173098690124198</v>
      </c>
      <c r="O4081">
        <v>0.25011133566960853</v>
      </c>
      <c r="P4081">
        <v>0.26018224683779234</v>
      </c>
    </row>
    <row r="4082" spans="13:16">
      <c r="M4082">
        <v>0.31249893615533308</v>
      </c>
      <c r="N4082">
        <v>0.17410979128170101</v>
      </c>
      <c r="O4082">
        <v>0.2390999525843838</v>
      </c>
      <c r="P4082">
        <v>0.27429131997858203</v>
      </c>
    </row>
    <row r="4083" spans="13:16">
      <c r="M4083">
        <v>0.28052744867719309</v>
      </c>
      <c r="N4083">
        <v>0.19254551928190516</v>
      </c>
      <c r="O4083">
        <v>0.25849157968780279</v>
      </c>
      <c r="P4083">
        <v>0.26843545235309912</v>
      </c>
    </row>
    <row r="4084" spans="13:16">
      <c r="M4084">
        <v>0.26217242803994339</v>
      </c>
      <c r="N4084">
        <v>0.18411110797579569</v>
      </c>
      <c r="O4084">
        <v>0.29748868324422073</v>
      </c>
      <c r="P4084">
        <v>0.2562277807400401</v>
      </c>
    </row>
    <row r="4085" spans="13:16">
      <c r="M4085">
        <v>0.28592956781675472</v>
      </c>
      <c r="N4085">
        <v>0.19625329871541861</v>
      </c>
      <c r="O4085">
        <v>0.26127996417461719</v>
      </c>
      <c r="P4085">
        <v>0.25653716929320947</v>
      </c>
    </row>
    <row r="4086" spans="13:16">
      <c r="M4086">
        <v>0.28023317810871606</v>
      </c>
      <c r="N4086">
        <v>0.20367955229421331</v>
      </c>
      <c r="O4086">
        <v>0.25760062157999902</v>
      </c>
      <c r="P4086">
        <v>0.25848664801707166</v>
      </c>
    </row>
    <row r="4087" spans="13:16">
      <c r="M4087">
        <v>0.27180458680509589</v>
      </c>
      <c r="N4087">
        <v>0.19403718787023005</v>
      </c>
      <c r="O4087">
        <v>0.27165467468776272</v>
      </c>
      <c r="P4087">
        <v>0.26250355063691133</v>
      </c>
    </row>
    <row r="4088" spans="13:16">
      <c r="M4088">
        <v>0.27640239922765697</v>
      </c>
      <c r="N4088">
        <v>0.1788743906807978</v>
      </c>
      <c r="O4088">
        <v>0.29524972893540102</v>
      </c>
      <c r="P4088">
        <v>0.24947348115614421</v>
      </c>
    </row>
    <row r="4089" spans="13:16">
      <c r="M4089">
        <v>0.26898791204161154</v>
      </c>
      <c r="N4089">
        <v>0.20740370933935209</v>
      </c>
      <c r="O4089">
        <v>0.24705314516880791</v>
      </c>
      <c r="P4089">
        <v>0.27655523345022842</v>
      </c>
    </row>
    <row r="4090" spans="13:16">
      <c r="M4090">
        <v>0.30241190572587995</v>
      </c>
      <c r="N4090">
        <v>0.17754451385174586</v>
      </c>
      <c r="O4090">
        <v>0.26611378812372405</v>
      </c>
      <c r="P4090">
        <v>0.25392979229865015</v>
      </c>
    </row>
    <row r="4091" spans="13:16">
      <c r="M4091">
        <v>0.31787567283263929</v>
      </c>
      <c r="N4091">
        <v>0.15658426251053506</v>
      </c>
      <c r="O4091">
        <v>0.28999493678246269</v>
      </c>
      <c r="P4091">
        <v>0.23554512787436288</v>
      </c>
    </row>
    <row r="4092" spans="13:16">
      <c r="M4092">
        <v>0.28011844045193035</v>
      </c>
      <c r="N4092">
        <v>0.19054489975098027</v>
      </c>
      <c r="O4092">
        <v>0.26883474418376885</v>
      </c>
      <c r="P4092">
        <v>0.26050191561332064</v>
      </c>
    </row>
    <row r="4093" spans="13:16">
      <c r="M4093">
        <v>0.31322804154019823</v>
      </c>
      <c r="N4093">
        <v>0.19423315532811067</v>
      </c>
      <c r="O4093">
        <v>0.23498232885284215</v>
      </c>
      <c r="P4093">
        <v>0.25755647427884903</v>
      </c>
    </row>
    <row r="4094" spans="13:16">
      <c r="M4094">
        <v>0.29938230785999143</v>
      </c>
      <c r="N4094">
        <v>0.18000388825061994</v>
      </c>
      <c r="O4094">
        <v>0.24411394518267093</v>
      </c>
      <c r="P4094">
        <v>0.27649985870671773</v>
      </c>
    </row>
    <row r="4095" spans="13:16">
      <c r="M4095">
        <v>0.28884875514436498</v>
      </c>
      <c r="N4095">
        <v>0.19711143051709731</v>
      </c>
      <c r="O4095">
        <v>0.24517302739839486</v>
      </c>
      <c r="P4095">
        <v>0.26886678694014288</v>
      </c>
    </row>
    <row r="4096" spans="13:16">
      <c r="M4096">
        <v>0.29778432442673641</v>
      </c>
      <c r="N4096">
        <v>0.18013132862234282</v>
      </c>
      <c r="O4096">
        <v>0.25081940653264023</v>
      </c>
      <c r="P4096">
        <v>0.27126494041828053</v>
      </c>
    </row>
    <row r="4097" spans="13:16">
      <c r="M4097">
        <v>0.28069842870686879</v>
      </c>
      <c r="N4097">
        <v>0.17704522967175612</v>
      </c>
      <c r="O4097">
        <v>0.28850480410718393</v>
      </c>
      <c r="P4097">
        <v>0.25375153751419122</v>
      </c>
    </row>
    <row r="4098" spans="13:16">
      <c r="M4098">
        <v>0.28330137638430153</v>
      </c>
      <c r="N4098">
        <v>0.19617558757820666</v>
      </c>
      <c r="O4098">
        <v>0.24040106095925837</v>
      </c>
      <c r="P4098">
        <v>0.28012197507823344</v>
      </c>
    </row>
    <row r="4099" spans="13:16">
      <c r="M4099">
        <v>0.2760652095581716</v>
      </c>
      <c r="N4099">
        <v>0.19785346766249742</v>
      </c>
      <c r="O4099">
        <v>0.26954966537380698</v>
      </c>
      <c r="P4099">
        <v>0.25653165740552408</v>
      </c>
    </row>
    <row r="4100" spans="13:16">
      <c r="M4100">
        <v>0.2849686075385614</v>
      </c>
      <c r="N4100">
        <v>0.18596371150140964</v>
      </c>
      <c r="O4100">
        <v>0.26295062654126605</v>
      </c>
      <c r="P4100">
        <v>0.26611705441876293</v>
      </c>
    </row>
    <row r="4101" spans="13:16">
      <c r="M4101">
        <v>0.28122780159035665</v>
      </c>
      <c r="N4101">
        <v>0.19031406485373312</v>
      </c>
      <c r="O4101">
        <v>0.2718721417157291</v>
      </c>
      <c r="P4101">
        <v>0.25658599184018116</v>
      </c>
    </row>
    <row r="4102" spans="13:16">
      <c r="M4102">
        <v>0.30084822977143455</v>
      </c>
      <c r="N4102">
        <v>0.18783915657443293</v>
      </c>
      <c r="O4102">
        <v>0.26403933536007851</v>
      </c>
      <c r="P4102">
        <v>0.24727327829405385</v>
      </c>
    </row>
    <row r="4103" spans="13:16">
      <c r="M4103">
        <v>0.29713539293752261</v>
      </c>
      <c r="N4103">
        <v>0.18766819211468519</v>
      </c>
      <c r="O4103">
        <v>0.25951323284672662</v>
      </c>
      <c r="P4103">
        <v>0.25568318210106566</v>
      </c>
    </row>
    <row r="4104" spans="13:16">
      <c r="M4104">
        <v>0.2739397946014373</v>
      </c>
      <c r="N4104">
        <v>0.19300873075831285</v>
      </c>
      <c r="O4104">
        <v>0.28271779341843273</v>
      </c>
      <c r="P4104">
        <v>0.25033368122181704</v>
      </c>
    </row>
    <row r="4105" spans="13:16">
      <c r="M4105">
        <v>0.30734695692956543</v>
      </c>
      <c r="N4105">
        <v>0.19028051160169496</v>
      </c>
      <c r="O4105">
        <v>0.23467845996385428</v>
      </c>
      <c r="P4105">
        <v>0.26769407150488556</v>
      </c>
    </row>
    <row r="4106" spans="13:16">
      <c r="M4106">
        <v>0.31191773152037949</v>
      </c>
      <c r="N4106">
        <v>0.19211387128342269</v>
      </c>
      <c r="O4106">
        <v>0.2354935533100028</v>
      </c>
      <c r="P4106">
        <v>0.26047484388619496</v>
      </c>
    </row>
    <row r="4107" spans="13:16">
      <c r="M4107">
        <v>0.28901770612271327</v>
      </c>
      <c r="N4107">
        <v>0.20415056729066797</v>
      </c>
      <c r="O4107">
        <v>0.2076434493139942</v>
      </c>
      <c r="P4107">
        <v>0.29918827727262459</v>
      </c>
    </row>
    <row r="4108" spans="13:16">
      <c r="M4108">
        <v>0.28871034357266911</v>
      </c>
      <c r="N4108">
        <v>0.17427978884786877</v>
      </c>
      <c r="O4108">
        <v>0.28145384991987221</v>
      </c>
      <c r="P4108">
        <v>0.25555601765958985</v>
      </c>
    </row>
    <row r="4109" spans="13:16">
      <c r="M4109">
        <v>0.28830059097044458</v>
      </c>
      <c r="N4109">
        <v>0.17891856741956749</v>
      </c>
      <c r="O4109">
        <v>0.28227777570544887</v>
      </c>
      <c r="P4109">
        <v>0.25050306590453902</v>
      </c>
    </row>
    <row r="4110" spans="13:16">
      <c r="M4110">
        <v>0.31794504378923716</v>
      </c>
      <c r="N4110">
        <v>0.17353471735603937</v>
      </c>
      <c r="O4110">
        <v>0.2377971752170964</v>
      </c>
      <c r="P4110">
        <v>0.27072306363762699</v>
      </c>
    </row>
    <row r="4111" spans="13:16">
      <c r="M4111">
        <v>0.30165649253941018</v>
      </c>
      <c r="N4111">
        <v>0.18412789886839562</v>
      </c>
      <c r="O4111">
        <v>0.2431182565026227</v>
      </c>
      <c r="P4111">
        <v>0.27109735208957159</v>
      </c>
    </row>
    <row r="4112" spans="13:16">
      <c r="M4112">
        <v>0.33153664669420846</v>
      </c>
      <c r="N4112">
        <v>0.16960968800247198</v>
      </c>
      <c r="O4112">
        <v>0.24059415691155042</v>
      </c>
      <c r="P4112">
        <v>0.2582595083917692</v>
      </c>
    </row>
    <row r="4113" spans="13:16">
      <c r="M4113">
        <v>0.27218798942231259</v>
      </c>
      <c r="N4113">
        <v>0.20214397196623538</v>
      </c>
      <c r="O4113">
        <v>0.25303571937773361</v>
      </c>
      <c r="P4113">
        <v>0.27263231923371845</v>
      </c>
    </row>
    <row r="4114" spans="13:16">
      <c r="M4114">
        <v>0.26821325965163562</v>
      </c>
      <c r="N4114">
        <v>0.18101228964262292</v>
      </c>
      <c r="O4114">
        <v>0.28152348747247774</v>
      </c>
      <c r="P4114">
        <v>0.26925096323326375</v>
      </c>
    </row>
    <row r="4115" spans="13:16">
      <c r="M4115">
        <v>0.3172721137081862</v>
      </c>
      <c r="N4115">
        <v>0.18237867734416349</v>
      </c>
      <c r="O4115">
        <v>0.23102337664495132</v>
      </c>
      <c r="P4115">
        <v>0.26932583230269902</v>
      </c>
    </row>
    <row r="4116" spans="13:16">
      <c r="M4116">
        <v>0.31424568291002114</v>
      </c>
      <c r="N4116">
        <v>0.15975196972277567</v>
      </c>
      <c r="O4116">
        <v>0.28029750563910599</v>
      </c>
      <c r="P4116">
        <v>0.24570484172809723</v>
      </c>
    </row>
    <row r="4117" spans="13:16">
      <c r="M4117">
        <v>0.29335081198496071</v>
      </c>
      <c r="N4117">
        <v>0.19921293046748134</v>
      </c>
      <c r="O4117">
        <v>0.2339504314881321</v>
      </c>
      <c r="P4117">
        <v>0.27348582605942584</v>
      </c>
    </row>
    <row r="4118" spans="13:16">
      <c r="M4118">
        <v>0.29701255343972777</v>
      </c>
      <c r="N4118">
        <v>0.1734094487349209</v>
      </c>
      <c r="O4118">
        <v>0.28452639890504805</v>
      </c>
      <c r="P4118">
        <v>0.2450515989203032</v>
      </c>
    </row>
    <row r="4119" spans="13:16">
      <c r="M4119">
        <v>0.2743089329676951</v>
      </c>
      <c r="N4119">
        <v>0.18468836586333881</v>
      </c>
      <c r="O4119">
        <v>0.26603033977049262</v>
      </c>
      <c r="P4119">
        <v>0.27497236139847359</v>
      </c>
    </row>
    <row r="4120" spans="13:16">
      <c r="M4120">
        <v>0.30413700291106138</v>
      </c>
      <c r="N4120">
        <v>0.16214024007029043</v>
      </c>
      <c r="O4120">
        <v>0.29007210964208019</v>
      </c>
      <c r="P4120">
        <v>0.24365064737656811</v>
      </c>
    </row>
    <row r="4121" spans="13:16">
      <c r="M4121">
        <v>0.31416544848929145</v>
      </c>
      <c r="N4121">
        <v>0.17859983955029274</v>
      </c>
      <c r="O4121">
        <v>0.25107080509158758</v>
      </c>
      <c r="P4121">
        <v>0.25616390686882828</v>
      </c>
    </row>
    <row r="4122" spans="13:16">
      <c r="M4122">
        <v>0.28151704886315015</v>
      </c>
      <c r="N4122">
        <v>0.18016765184637978</v>
      </c>
      <c r="O4122">
        <v>0.27382381397932026</v>
      </c>
      <c r="P4122">
        <v>0.26449148531114991</v>
      </c>
    </row>
    <row r="4123" spans="13:16">
      <c r="M4123">
        <v>0.2711086371849134</v>
      </c>
      <c r="N4123">
        <v>0.18319349172154664</v>
      </c>
      <c r="O4123">
        <v>0.26682381262371574</v>
      </c>
      <c r="P4123">
        <v>0.27887405846982422</v>
      </c>
    </row>
    <row r="4124" spans="13:16">
      <c r="M4124">
        <v>0.3097630322653589</v>
      </c>
      <c r="N4124">
        <v>0.17858933843879726</v>
      </c>
      <c r="O4124">
        <v>0.26863922294377696</v>
      </c>
      <c r="P4124">
        <v>0.2430084063520668</v>
      </c>
    </row>
    <row r="4125" spans="13:16">
      <c r="M4125">
        <v>0.31964611985274466</v>
      </c>
      <c r="N4125">
        <v>0.17863109039277422</v>
      </c>
      <c r="O4125">
        <v>0.23241795803886467</v>
      </c>
      <c r="P4125">
        <v>0.26930483171561659</v>
      </c>
    </row>
    <row r="4126" spans="13:16">
      <c r="M4126">
        <v>0.28703026152784805</v>
      </c>
      <c r="N4126">
        <v>0.18745575390118224</v>
      </c>
      <c r="O4126">
        <v>0.27099415989568554</v>
      </c>
      <c r="P4126">
        <v>0.25451982467528411</v>
      </c>
    </row>
    <row r="4127" spans="13:16">
      <c r="M4127">
        <v>0.29996081382205381</v>
      </c>
      <c r="N4127">
        <v>0.17165975598298278</v>
      </c>
      <c r="O4127">
        <v>0.25908531815267422</v>
      </c>
      <c r="P4127">
        <v>0.26929411204228909</v>
      </c>
    </row>
    <row r="4128" spans="13:16">
      <c r="M4128">
        <v>0.29853238318015946</v>
      </c>
      <c r="N4128">
        <v>0.18968008686792026</v>
      </c>
      <c r="O4128">
        <v>0.24541386912938645</v>
      </c>
      <c r="P4128">
        <v>0.26637366082253383</v>
      </c>
    </row>
    <row r="4129" spans="13:16">
      <c r="M4129">
        <v>0.29057733200388575</v>
      </c>
      <c r="N4129">
        <v>0.19340223498535858</v>
      </c>
      <c r="O4129">
        <v>0.23768080209811404</v>
      </c>
      <c r="P4129">
        <v>0.27833963091264169</v>
      </c>
    </row>
    <row r="4130" spans="13:16">
      <c r="M4130">
        <v>0.28197780840411651</v>
      </c>
      <c r="N4130">
        <v>0.19318654694755266</v>
      </c>
      <c r="O4130">
        <v>0.26480325402382726</v>
      </c>
      <c r="P4130">
        <v>0.26003239062450351</v>
      </c>
    </row>
    <row r="4131" spans="13:16">
      <c r="M4131">
        <v>0.29219981567939074</v>
      </c>
      <c r="N4131">
        <v>0.18473022530425018</v>
      </c>
      <c r="O4131">
        <v>0.2745247449434603</v>
      </c>
      <c r="P4131">
        <v>0.24854521407289876</v>
      </c>
    </row>
    <row r="4132" spans="13:16">
      <c r="M4132">
        <v>0.28953134217276527</v>
      </c>
      <c r="N4132">
        <v>0.18179442530795001</v>
      </c>
      <c r="O4132">
        <v>0.26445065064135026</v>
      </c>
      <c r="P4132">
        <v>0.26422358187793443</v>
      </c>
    </row>
    <row r="4133" spans="13:16">
      <c r="M4133">
        <v>0.31008464291088772</v>
      </c>
      <c r="N4133">
        <v>0.1844335697462591</v>
      </c>
      <c r="O4133">
        <v>0.23171018546249392</v>
      </c>
      <c r="P4133">
        <v>0.27377160188035926</v>
      </c>
    </row>
    <row r="4134" spans="13:16">
      <c r="M4134">
        <v>0.31131567459866533</v>
      </c>
      <c r="N4134">
        <v>0.17662528405765152</v>
      </c>
      <c r="O4134">
        <v>0.25040393803197736</v>
      </c>
      <c r="P4134">
        <v>0.26165510331170588</v>
      </c>
    </row>
    <row r="4135" spans="13:16">
      <c r="M4135">
        <v>0.30189448066469132</v>
      </c>
      <c r="N4135">
        <v>0.17813677732492039</v>
      </c>
      <c r="O4135">
        <v>0.24416192037674642</v>
      </c>
      <c r="P4135">
        <v>0.27580682163364173</v>
      </c>
    </row>
    <row r="4136" spans="13:16">
      <c r="M4136">
        <v>0.31004609765419239</v>
      </c>
      <c r="N4136">
        <v>0.19744943763524284</v>
      </c>
      <c r="O4136">
        <v>0.23589339275858828</v>
      </c>
      <c r="P4136">
        <v>0.25661107195197663</v>
      </c>
    </row>
    <row r="4137" spans="13:16">
      <c r="M4137">
        <v>0.28956078157456477</v>
      </c>
      <c r="N4137">
        <v>0.16844712844003892</v>
      </c>
      <c r="O4137">
        <v>0.28690704312180709</v>
      </c>
      <c r="P4137">
        <v>0.25508504686358913</v>
      </c>
    </row>
    <row r="4138" spans="13:16">
      <c r="M4138">
        <v>0.29661585718351763</v>
      </c>
      <c r="N4138">
        <v>0.20625998608551857</v>
      </c>
      <c r="O4138">
        <v>0.22928933102769847</v>
      </c>
      <c r="P4138">
        <v>0.26783482570326544</v>
      </c>
    </row>
    <row r="4139" spans="13:16">
      <c r="M4139">
        <v>0.31708693117605652</v>
      </c>
      <c r="N4139">
        <v>0.16595037920250066</v>
      </c>
      <c r="O4139">
        <v>0.26303427953235786</v>
      </c>
      <c r="P4139">
        <v>0.2539284100890849</v>
      </c>
    </row>
    <row r="4140" spans="13:16">
      <c r="M4140">
        <v>0.3093133660218586</v>
      </c>
      <c r="N4140">
        <v>0.18135937998988849</v>
      </c>
      <c r="O4140">
        <v>0.23974934973000026</v>
      </c>
      <c r="P4140">
        <v>0.26957790425825268</v>
      </c>
    </row>
    <row r="4141" spans="13:16">
      <c r="M4141">
        <v>0.30851784617308264</v>
      </c>
      <c r="N4141">
        <v>0.18039605582034723</v>
      </c>
      <c r="O4141">
        <v>0.23313861873262931</v>
      </c>
      <c r="P4141">
        <v>0.27794747927394076</v>
      </c>
    </row>
    <row r="4142" spans="13:16">
      <c r="M4142">
        <v>0.33510104086290132</v>
      </c>
      <c r="N4142">
        <v>0.16613728365393329</v>
      </c>
      <c r="O4142">
        <v>0.23983612259813589</v>
      </c>
      <c r="P4142">
        <v>0.25892555288502939</v>
      </c>
    </row>
    <row r="4143" spans="13:16">
      <c r="M4143">
        <v>0.28740159754624517</v>
      </c>
      <c r="N4143">
        <v>0.18634235867309429</v>
      </c>
      <c r="O4143">
        <v>0.24232668037013952</v>
      </c>
      <c r="P4143">
        <v>0.28392936341052116</v>
      </c>
    </row>
    <row r="4144" spans="13:16">
      <c r="M4144">
        <v>0.32987342524189622</v>
      </c>
      <c r="N4144">
        <v>0.17743577007861588</v>
      </c>
      <c r="O4144">
        <v>0.23177338017575824</v>
      </c>
      <c r="P4144">
        <v>0.26091742450372968</v>
      </c>
    </row>
    <row r="4145" spans="13:16">
      <c r="M4145">
        <v>0.29357737684571789</v>
      </c>
      <c r="N4145">
        <v>0.18879136362329171</v>
      </c>
      <c r="O4145">
        <v>0.25673557423645937</v>
      </c>
      <c r="P4145">
        <v>0.26089568529453094</v>
      </c>
    </row>
    <row r="4146" spans="13:16">
      <c r="M4146">
        <v>0.29003615605735195</v>
      </c>
      <c r="N4146">
        <v>0.19403215900681761</v>
      </c>
      <c r="O4146">
        <v>0.26454316043703602</v>
      </c>
      <c r="P4146">
        <v>0.25138852449879429</v>
      </c>
    </row>
    <row r="4147" spans="13:16">
      <c r="M4147">
        <v>0.31138784837872746</v>
      </c>
      <c r="N4147">
        <v>0.17485175493945937</v>
      </c>
      <c r="O4147">
        <v>0.24990910804122934</v>
      </c>
      <c r="P4147">
        <v>0.26385128864058371</v>
      </c>
    </row>
    <row r="4148" spans="13:16">
      <c r="M4148">
        <v>0.27601213101503325</v>
      </c>
      <c r="N4148">
        <v>0.19514195627246425</v>
      </c>
      <c r="O4148">
        <v>0.25260960762042167</v>
      </c>
      <c r="P4148">
        <v>0.2762363050920808</v>
      </c>
    </row>
    <row r="4149" spans="13:16">
      <c r="M4149">
        <v>0.29957734968577526</v>
      </c>
      <c r="N4149">
        <v>0.18026360058834706</v>
      </c>
      <c r="O4149">
        <v>0.26109060518576116</v>
      </c>
      <c r="P4149">
        <v>0.25906844454011657</v>
      </c>
    </row>
    <row r="4150" spans="13:16">
      <c r="M4150">
        <v>0.3314051385182144</v>
      </c>
      <c r="N4150">
        <v>0.16807434311466357</v>
      </c>
      <c r="O4150">
        <v>0.24075588442308574</v>
      </c>
      <c r="P4150">
        <v>0.25976463394403626</v>
      </c>
    </row>
    <row r="4151" spans="13:16">
      <c r="M4151">
        <v>0.29431971367846566</v>
      </c>
      <c r="N4151">
        <v>0.18592785732364642</v>
      </c>
      <c r="O4151">
        <v>0.23808944921230135</v>
      </c>
      <c r="P4151">
        <v>0.28166297978558663</v>
      </c>
    </row>
    <row r="4152" spans="13:16">
      <c r="M4152">
        <v>0.29695829396474538</v>
      </c>
      <c r="N4152">
        <v>0.19441419605085031</v>
      </c>
      <c r="O4152">
        <v>0.24062427580679654</v>
      </c>
      <c r="P4152">
        <v>0.26800323417760785</v>
      </c>
    </row>
    <row r="4153" spans="13:16">
      <c r="M4153">
        <v>0.31700795535769061</v>
      </c>
      <c r="N4153">
        <v>0.17352400384504466</v>
      </c>
      <c r="O4153">
        <v>0.25753257054691797</v>
      </c>
      <c r="P4153">
        <v>0.25193547025034679</v>
      </c>
    </row>
    <row r="4154" spans="13:16">
      <c r="M4154">
        <v>0.26220966424731629</v>
      </c>
      <c r="N4154">
        <v>0.18135755168054149</v>
      </c>
      <c r="O4154">
        <v>0.29819747961055326</v>
      </c>
      <c r="P4154">
        <v>0.25823530446158899</v>
      </c>
    </row>
    <row r="4155" spans="13:16">
      <c r="M4155">
        <v>0.30929074917077204</v>
      </c>
      <c r="N4155">
        <v>0.16354457989634943</v>
      </c>
      <c r="O4155">
        <v>0.28078415471849116</v>
      </c>
      <c r="P4155">
        <v>0.24638051621438734</v>
      </c>
    </row>
    <row r="4156" spans="13:16">
      <c r="M4156">
        <v>0.27301759636348988</v>
      </c>
      <c r="N4156">
        <v>0.21143628127391401</v>
      </c>
      <c r="O4156">
        <v>0.2470035604013241</v>
      </c>
      <c r="P4156">
        <v>0.26854256196127207</v>
      </c>
    </row>
    <row r="4157" spans="13:16">
      <c r="M4157">
        <v>0.31930849362633851</v>
      </c>
      <c r="N4157">
        <v>0.16978791484527372</v>
      </c>
      <c r="O4157">
        <v>0.26270302016628866</v>
      </c>
      <c r="P4157">
        <v>0.24820057136209905</v>
      </c>
    </row>
    <row r="4158" spans="13:16">
      <c r="M4158">
        <v>0.29525802694442227</v>
      </c>
      <c r="N4158">
        <v>0.19861394383323622</v>
      </c>
      <c r="O4158">
        <v>0.22988297238195732</v>
      </c>
      <c r="P4158">
        <v>0.27624505684038425</v>
      </c>
    </row>
    <row r="4159" spans="13:16">
      <c r="M4159">
        <v>0.30058290279639271</v>
      </c>
      <c r="N4159">
        <v>0.18776623726831534</v>
      </c>
      <c r="O4159">
        <v>0.2454226620181332</v>
      </c>
      <c r="P4159">
        <v>0.26622819791715879</v>
      </c>
    </row>
    <row r="4160" spans="13:16">
      <c r="M4160">
        <v>0.30269669051196502</v>
      </c>
      <c r="N4160">
        <v>0.1781897743037105</v>
      </c>
      <c r="O4160">
        <v>0.26495309974273812</v>
      </c>
      <c r="P4160">
        <v>0.25416043544158629</v>
      </c>
    </row>
    <row r="4161" spans="13:16">
      <c r="M4161">
        <v>0.28367385276289508</v>
      </c>
      <c r="N4161">
        <v>0.19693237070989439</v>
      </c>
      <c r="O4161">
        <v>0.23950489133976732</v>
      </c>
      <c r="P4161">
        <v>0.27988888518744331</v>
      </c>
    </row>
    <row r="4162" spans="13:16">
      <c r="M4162">
        <v>0.28186609064307683</v>
      </c>
      <c r="N4162">
        <v>0.19793183580684429</v>
      </c>
      <c r="O4162">
        <v>0.24007056167826932</v>
      </c>
      <c r="P4162">
        <v>0.28013151187180962</v>
      </c>
    </row>
    <row r="4163" spans="13:16">
      <c r="M4163">
        <v>0.29413959065481193</v>
      </c>
      <c r="N4163">
        <v>0.17614183193111177</v>
      </c>
      <c r="O4163">
        <v>0.27916076267985285</v>
      </c>
      <c r="P4163">
        <v>0.25055781473422345</v>
      </c>
    </row>
    <row r="4164" spans="13:16">
      <c r="M4164">
        <v>0.29780526761467063</v>
      </c>
      <c r="N4164">
        <v>0.17581520799539743</v>
      </c>
      <c r="O4164">
        <v>0.27904843710173005</v>
      </c>
      <c r="P4164">
        <v>0.24733108728820188</v>
      </c>
    </row>
    <row r="4165" spans="13:16">
      <c r="M4165">
        <v>0.29740293684979119</v>
      </c>
      <c r="N4165">
        <v>0.18070493941862595</v>
      </c>
      <c r="O4165">
        <v>0.25270130011705044</v>
      </c>
      <c r="P4165">
        <v>0.26919082361453261</v>
      </c>
    </row>
    <row r="4166" spans="13:16">
      <c r="M4166">
        <v>0.28108727403987094</v>
      </c>
      <c r="N4166">
        <v>0.17917062323052912</v>
      </c>
      <c r="O4166">
        <v>0.28930108350746975</v>
      </c>
      <c r="P4166">
        <v>0.25044101922213013</v>
      </c>
    </row>
    <row r="4167" spans="13:16">
      <c r="M4167">
        <v>0.28089079962306079</v>
      </c>
      <c r="N4167">
        <v>0.2073623505866167</v>
      </c>
      <c r="O4167">
        <v>0.25366932500344602</v>
      </c>
      <c r="P4167">
        <v>0.25807752478687651</v>
      </c>
    </row>
    <row r="4168" spans="13:16">
      <c r="M4168">
        <v>0.30371273009170452</v>
      </c>
      <c r="N4168">
        <v>0.18785243279640623</v>
      </c>
      <c r="O4168">
        <v>0.25584138959787633</v>
      </c>
      <c r="P4168">
        <v>0.25259344751401303</v>
      </c>
    </row>
    <row r="4169" spans="13:16">
      <c r="M4169">
        <v>0.28767593903024075</v>
      </c>
      <c r="N4169">
        <v>0.19352987331166699</v>
      </c>
      <c r="O4169">
        <v>0.24988425816571819</v>
      </c>
      <c r="P4169">
        <v>0.26890992949237408</v>
      </c>
    </row>
    <row r="4170" spans="13:16">
      <c r="M4170">
        <v>0.27158436399785552</v>
      </c>
      <c r="N4170">
        <v>0.18919184792664129</v>
      </c>
      <c r="O4170">
        <v>0.28205965835263075</v>
      </c>
      <c r="P4170">
        <v>0.25716412972287234</v>
      </c>
    </row>
    <row r="4171" spans="13:16">
      <c r="M4171">
        <v>0.293156610157772</v>
      </c>
      <c r="N4171">
        <v>0.19014221010800475</v>
      </c>
      <c r="O4171">
        <v>0.26101432406490299</v>
      </c>
      <c r="P4171">
        <v>0.25568685566932015</v>
      </c>
    </row>
    <row r="4172" spans="13:16">
      <c r="M4172">
        <v>0.31109582978483807</v>
      </c>
      <c r="N4172">
        <v>0.17090037960151702</v>
      </c>
      <c r="O4172">
        <v>0.26582382907433355</v>
      </c>
      <c r="P4172">
        <v>0.25217996153931121</v>
      </c>
    </row>
    <row r="4173" spans="13:16">
      <c r="M4173">
        <v>0.2758493221867982</v>
      </c>
      <c r="N4173">
        <v>0.19042351937199148</v>
      </c>
      <c r="O4173">
        <v>0.26020363514897865</v>
      </c>
      <c r="P4173">
        <v>0.27352352329223162</v>
      </c>
    </row>
    <row r="4174" spans="13:16">
      <c r="M4174">
        <v>0.28971498221977188</v>
      </c>
      <c r="N4174">
        <v>0.20267648014341352</v>
      </c>
      <c r="O4174">
        <v>0.24124598901489172</v>
      </c>
      <c r="P4174">
        <v>0.26636254862192271</v>
      </c>
    </row>
    <row r="4175" spans="13:16">
      <c r="M4175">
        <v>0.28241124726626243</v>
      </c>
      <c r="N4175">
        <v>0.18229503633758237</v>
      </c>
      <c r="O4175">
        <v>0.2680616994103367</v>
      </c>
      <c r="P4175">
        <v>0.26723201698581855</v>
      </c>
    </row>
    <row r="4176" spans="13:16">
      <c r="M4176">
        <v>0.31404062124618581</v>
      </c>
      <c r="N4176">
        <v>0.18174190991347067</v>
      </c>
      <c r="O4176">
        <v>0.22514177438458433</v>
      </c>
      <c r="P4176">
        <v>0.2790756944557593</v>
      </c>
    </row>
    <row r="4177" spans="13:16">
      <c r="M4177">
        <v>0.28573787270608642</v>
      </c>
      <c r="N4177">
        <v>0.17380262236385666</v>
      </c>
      <c r="O4177">
        <v>0.30104191807576763</v>
      </c>
      <c r="P4177">
        <v>0.23941758685428924</v>
      </c>
    </row>
    <row r="4178" spans="13:16">
      <c r="M4178">
        <v>0.28315596493809331</v>
      </c>
      <c r="N4178">
        <v>0.18495729032593763</v>
      </c>
      <c r="O4178">
        <v>0.25076178794703596</v>
      </c>
      <c r="P4178">
        <v>0.28112495678893312</v>
      </c>
    </row>
    <row r="4179" spans="13:16">
      <c r="M4179">
        <v>0.31561157018290431</v>
      </c>
      <c r="N4179">
        <v>0.18893710178108536</v>
      </c>
      <c r="O4179">
        <v>0.23574604279119374</v>
      </c>
      <c r="P4179">
        <v>0.25970528524481651</v>
      </c>
    </row>
    <row r="4180" spans="13:16">
      <c r="M4180">
        <v>0.29079231258555405</v>
      </c>
      <c r="N4180">
        <v>0.1932985991573036</v>
      </c>
      <c r="O4180">
        <v>0.22408245597434392</v>
      </c>
      <c r="P4180">
        <v>0.29182663228279848</v>
      </c>
    </row>
    <row r="4181" spans="13:16">
      <c r="M4181">
        <v>0.3156265176945654</v>
      </c>
      <c r="N4181">
        <v>0.16531209975072172</v>
      </c>
      <c r="O4181">
        <v>0.26613804943534575</v>
      </c>
      <c r="P4181">
        <v>0.25292333311936704</v>
      </c>
    </row>
    <row r="4182" spans="13:16">
      <c r="M4182">
        <v>0.28577843293591276</v>
      </c>
      <c r="N4182">
        <v>0.19415792821913094</v>
      </c>
      <c r="O4182">
        <v>0.2685922040902628</v>
      </c>
      <c r="P4182">
        <v>0.25147143475469347</v>
      </c>
    </row>
    <row r="4183" spans="13:16">
      <c r="M4183">
        <v>0.32817412861805106</v>
      </c>
      <c r="N4183">
        <v>0.16834199074388792</v>
      </c>
      <c r="O4183">
        <v>0.25152486969623555</v>
      </c>
      <c r="P4183">
        <v>0.25195901094182543</v>
      </c>
    </row>
    <row r="4184" spans="13:16">
      <c r="M4184">
        <v>0.31385921773500591</v>
      </c>
      <c r="N4184">
        <v>0.17221216088712302</v>
      </c>
      <c r="O4184">
        <v>0.27187550644958708</v>
      </c>
      <c r="P4184">
        <v>0.24205311492828391</v>
      </c>
    </row>
    <row r="4185" spans="13:16">
      <c r="M4185">
        <v>0.27799988637763923</v>
      </c>
      <c r="N4185">
        <v>0.17467686710052255</v>
      </c>
      <c r="O4185">
        <v>0.29092386453604241</v>
      </c>
      <c r="P4185">
        <v>0.25639938198579582</v>
      </c>
    </row>
    <row r="4186" spans="13:16">
      <c r="M4186">
        <v>0.29574180085109358</v>
      </c>
      <c r="N4186">
        <v>0.17047584311970324</v>
      </c>
      <c r="O4186">
        <v>0.27769495875084765</v>
      </c>
      <c r="P4186">
        <v>0.2560873972783555</v>
      </c>
    </row>
    <row r="4187" spans="13:16">
      <c r="M4187">
        <v>0.3059196421237389</v>
      </c>
      <c r="N4187">
        <v>0.17583063305021751</v>
      </c>
      <c r="O4187">
        <v>0.25143048466269491</v>
      </c>
      <c r="P4187">
        <v>0.26681924016334857</v>
      </c>
    </row>
    <row r="4188" spans="13:16">
      <c r="M4188">
        <v>0.29048415868038596</v>
      </c>
      <c r="N4188">
        <v>0.17967199223859229</v>
      </c>
      <c r="O4188">
        <v>0.24859119322239595</v>
      </c>
      <c r="P4188">
        <v>0.28125265585862574</v>
      </c>
    </row>
    <row r="4189" spans="13:16">
      <c r="M4189">
        <v>0.26833484765303212</v>
      </c>
      <c r="N4189">
        <v>0.19459503159313316</v>
      </c>
      <c r="O4189">
        <v>0.26361166294067773</v>
      </c>
      <c r="P4189">
        <v>0.27345845781315703</v>
      </c>
    </row>
    <row r="4190" spans="13:16">
      <c r="M4190">
        <v>0.2840255822017892</v>
      </c>
      <c r="N4190">
        <v>0.19448126058439352</v>
      </c>
      <c r="O4190">
        <v>0.25469286412611958</v>
      </c>
      <c r="P4190">
        <v>0.26680029308769765</v>
      </c>
    </row>
    <row r="4191" spans="13:16">
      <c r="M4191">
        <v>0.28604223971587783</v>
      </c>
      <c r="N4191">
        <v>0.18537921893689033</v>
      </c>
      <c r="O4191">
        <v>0.26944860733369486</v>
      </c>
      <c r="P4191">
        <v>0.25912993401353701</v>
      </c>
    </row>
    <row r="4192" spans="13:16">
      <c r="M4192">
        <v>0.28619524613659564</v>
      </c>
      <c r="N4192">
        <v>0.17048535007256166</v>
      </c>
      <c r="O4192">
        <v>0.29466355334371208</v>
      </c>
      <c r="P4192">
        <v>0.24865585044713057</v>
      </c>
    </row>
    <row r="4193" spans="13:16">
      <c r="M4193">
        <v>0.26132123012513458</v>
      </c>
      <c r="N4193">
        <v>0.18101811323631514</v>
      </c>
      <c r="O4193">
        <v>0.30125095605873525</v>
      </c>
      <c r="P4193">
        <v>0.25640970057981483</v>
      </c>
    </row>
    <row r="4194" spans="13:16">
      <c r="M4194">
        <v>0.26850745143948307</v>
      </c>
      <c r="N4194">
        <v>0.18653715044440786</v>
      </c>
      <c r="O4194">
        <v>0.28419876171427061</v>
      </c>
      <c r="P4194">
        <v>0.26075663640183844</v>
      </c>
    </row>
    <row r="4195" spans="13:16">
      <c r="M4195">
        <v>0.29517823327047293</v>
      </c>
      <c r="N4195">
        <v>0.17505913335350717</v>
      </c>
      <c r="O4195">
        <v>0.28350502694991758</v>
      </c>
      <c r="P4195">
        <v>0.24625760642610245</v>
      </c>
    </row>
    <row r="4196" spans="13:16">
      <c r="M4196">
        <v>0.26314225728246415</v>
      </c>
      <c r="N4196">
        <v>0.17265921579467089</v>
      </c>
      <c r="O4196">
        <v>0.30382875799578091</v>
      </c>
      <c r="P4196">
        <v>0.26036976892708402</v>
      </c>
    </row>
    <row r="4197" spans="13:16">
      <c r="M4197">
        <v>0.28211332158820485</v>
      </c>
      <c r="N4197">
        <v>0.20001856273603208</v>
      </c>
      <c r="O4197">
        <v>0.25287823339633148</v>
      </c>
      <c r="P4197">
        <v>0.26498988227943165</v>
      </c>
    </row>
    <row r="4198" spans="13:16">
      <c r="M4198">
        <v>0.29989606863733376</v>
      </c>
      <c r="N4198">
        <v>0.18119799608495493</v>
      </c>
      <c r="O4198">
        <v>0.26521787046732465</v>
      </c>
      <c r="P4198">
        <v>0.25368806481038675</v>
      </c>
    </row>
    <row r="4199" spans="13:16">
      <c r="M4199">
        <v>0.30491119751626644</v>
      </c>
      <c r="N4199">
        <v>0.19769941278336201</v>
      </c>
      <c r="O4199">
        <v>0.23099655445187614</v>
      </c>
      <c r="P4199">
        <v>0.2663928352484955</v>
      </c>
    </row>
    <row r="4200" spans="13:16">
      <c r="M4200">
        <v>0.26446106081456194</v>
      </c>
      <c r="N4200">
        <v>0.19824236757979988</v>
      </c>
      <c r="O4200">
        <v>0.26440781662752505</v>
      </c>
      <c r="P4200">
        <v>0.2728887549781131</v>
      </c>
    </row>
    <row r="4201" spans="13:16">
      <c r="M4201">
        <v>0.27459062642619891</v>
      </c>
      <c r="N4201">
        <v>0.18291671319776276</v>
      </c>
      <c r="O4201">
        <v>0.275436747770053</v>
      </c>
      <c r="P4201">
        <v>0.26705591260598527</v>
      </c>
    </row>
    <row r="4202" spans="13:16">
      <c r="M4202">
        <v>0.30750000215868389</v>
      </c>
      <c r="N4202">
        <v>0.1851082795524133</v>
      </c>
      <c r="O4202">
        <v>0.25284700630110712</v>
      </c>
      <c r="P4202">
        <v>0.25454471198779566</v>
      </c>
    </row>
    <row r="4203" spans="13:16">
      <c r="M4203">
        <v>0.29582672138312671</v>
      </c>
      <c r="N4203">
        <v>0.17468612544933113</v>
      </c>
      <c r="O4203">
        <v>0.28318460689892405</v>
      </c>
      <c r="P4203">
        <v>0.24630254626861825</v>
      </c>
    </row>
    <row r="4204" spans="13:16">
      <c r="M4204">
        <v>0.30138269769123976</v>
      </c>
      <c r="N4204">
        <v>0.16674934589580095</v>
      </c>
      <c r="O4204">
        <v>0.28803480385321428</v>
      </c>
      <c r="P4204">
        <v>0.24383315255974508</v>
      </c>
    </row>
    <row r="4205" spans="13:16">
      <c r="M4205">
        <v>0.29509715883605958</v>
      </c>
      <c r="N4205">
        <v>0.17352029376495126</v>
      </c>
      <c r="O4205">
        <v>0.26652239726926819</v>
      </c>
      <c r="P4205">
        <v>0.26486015012972086</v>
      </c>
    </row>
    <row r="4206" spans="13:16">
      <c r="M4206">
        <v>0.26607795397429446</v>
      </c>
      <c r="N4206">
        <v>0.20200201392097933</v>
      </c>
      <c r="O4206">
        <v>0.25325037521722099</v>
      </c>
      <c r="P4206">
        <v>0.27866965688750522</v>
      </c>
    </row>
    <row r="4207" spans="13:16">
      <c r="M4207">
        <v>0.30053355095687506</v>
      </c>
      <c r="N4207">
        <v>0.19604616006829273</v>
      </c>
      <c r="O4207">
        <v>0.22508563792293709</v>
      </c>
      <c r="P4207">
        <v>0.2783346510518952</v>
      </c>
    </row>
    <row r="4208" spans="13:16">
      <c r="M4208">
        <v>0.2712388679990464</v>
      </c>
      <c r="N4208">
        <v>0.19835656345199953</v>
      </c>
      <c r="O4208">
        <v>0.26613072415492772</v>
      </c>
      <c r="P4208">
        <v>0.26427384439402618</v>
      </c>
    </row>
    <row r="4209" spans="13:16">
      <c r="M4209">
        <v>0.31922978979848043</v>
      </c>
      <c r="N4209">
        <v>0.16597932233055734</v>
      </c>
      <c r="O4209">
        <v>0.26627916017733955</v>
      </c>
      <c r="P4209">
        <v>0.2485117276936227</v>
      </c>
    </row>
    <row r="4210" spans="13:16">
      <c r="M4210">
        <v>0.32630926010371869</v>
      </c>
      <c r="N4210">
        <v>0.17296557385473957</v>
      </c>
      <c r="O4210">
        <v>0.24716536266595035</v>
      </c>
      <c r="P4210">
        <v>0.25355980337559147</v>
      </c>
    </row>
    <row r="4211" spans="13:16">
      <c r="M4211">
        <v>0.32001405084912615</v>
      </c>
      <c r="N4211">
        <v>0.17748139371029731</v>
      </c>
      <c r="O4211">
        <v>0.22822700334878179</v>
      </c>
      <c r="P4211">
        <v>0.27427755209179477</v>
      </c>
    </row>
    <row r="4212" spans="13:16">
      <c r="M4212">
        <v>0.27705338817546454</v>
      </c>
      <c r="N4212">
        <v>0.20021824914103561</v>
      </c>
      <c r="O4212">
        <v>0.2595989600303294</v>
      </c>
      <c r="P4212">
        <v>0.26312940265317053</v>
      </c>
    </row>
    <row r="4213" spans="13:16">
      <c r="M4213">
        <v>0.30879135247829564</v>
      </c>
      <c r="N4213">
        <v>0.17426017914654907</v>
      </c>
      <c r="O4213">
        <v>0.24001510565908718</v>
      </c>
      <c r="P4213">
        <v>0.276933362716068</v>
      </c>
    </row>
    <row r="4214" spans="13:16">
      <c r="M4214">
        <v>0.3165121074437125</v>
      </c>
      <c r="N4214">
        <v>0.19091462837276454</v>
      </c>
      <c r="O4214">
        <v>0.21255295858554499</v>
      </c>
      <c r="P4214">
        <v>0.28002030559797791</v>
      </c>
    </row>
    <row r="4215" spans="13:16">
      <c r="M4215">
        <v>0.26485270188920162</v>
      </c>
      <c r="N4215">
        <v>0.1824481364162952</v>
      </c>
      <c r="O4215">
        <v>0.29964969321570578</v>
      </c>
      <c r="P4215">
        <v>0.25304946847879728</v>
      </c>
    </row>
    <row r="4216" spans="13:16">
      <c r="M4216">
        <v>0.27853738756436286</v>
      </c>
      <c r="N4216">
        <v>0.18949170691683689</v>
      </c>
      <c r="O4216">
        <v>0.27971330601737404</v>
      </c>
      <c r="P4216">
        <v>0.25225759950142629</v>
      </c>
    </row>
    <row r="4217" spans="13:16">
      <c r="M4217">
        <v>0.27427708912951687</v>
      </c>
      <c r="N4217">
        <v>0.18473173423919603</v>
      </c>
      <c r="O4217">
        <v>0.2871315917253463</v>
      </c>
      <c r="P4217">
        <v>0.25385958490594068</v>
      </c>
    </row>
    <row r="4218" spans="13:16">
      <c r="M4218">
        <v>0.30370340414847669</v>
      </c>
      <c r="N4218">
        <v>0.16075894652305175</v>
      </c>
      <c r="O4218">
        <v>0.28733381707414618</v>
      </c>
      <c r="P4218">
        <v>0.24820383225432535</v>
      </c>
    </row>
    <row r="4219" spans="13:16">
      <c r="M4219">
        <v>0.29587630993771535</v>
      </c>
      <c r="N4219">
        <v>0.18903549190397917</v>
      </c>
      <c r="O4219">
        <v>0.25681964611721148</v>
      </c>
      <c r="P4219">
        <v>0.25826855204109384</v>
      </c>
    </row>
    <row r="4220" spans="13:16">
      <c r="M4220">
        <v>0.28730887046188258</v>
      </c>
      <c r="N4220">
        <v>0.19563021140877723</v>
      </c>
      <c r="O4220">
        <v>0.26201268333414063</v>
      </c>
      <c r="P4220">
        <v>0.25504823479519967</v>
      </c>
    </row>
    <row r="4221" spans="13:16">
      <c r="M4221">
        <v>0.29519646611784828</v>
      </c>
      <c r="N4221">
        <v>0.19589361917617804</v>
      </c>
      <c r="O4221">
        <v>0.25125064493500732</v>
      </c>
      <c r="P4221">
        <v>0.25765926977096631</v>
      </c>
    </row>
    <row r="4222" spans="13:16">
      <c r="M4222">
        <v>0.31741047509930992</v>
      </c>
      <c r="N4222">
        <v>0.19067043016898155</v>
      </c>
      <c r="O4222">
        <v>0.22453994272625349</v>
      </c>
      <c r="P4222">
        <v>0.26737915200545509</v>
      </c>
    </row>
    <row r="4223" spans="13:16">
      <c r="M4223">
        <v>0.30581723762093621</v>
      </c>
      <c r="N4223">
        <v>0.17264858302519415</v>
      </c>
      <c r="O4223">
        <v>0.26894580277591312</v>
      </c>
      <c r="P4223">
        <v>0.25258837657795635</v>
      </c>
    </row>
    <row r="4224" spans="13:16">
      <c r="M4224">
        <v>0.30228351079881716</v>
      </c>
      <c r="N4224">
        <v>0.193669870806639</v>
      </c>
      <c r="O4224">
        <v>0.22759968129907457</v>
      </c>
      <c r="P4224">
        <v>0.27644693709546925</v>
      </c>
    </row>
    <row r="4225" spans="13:16">
      <c r="M4225">
        <v>0.29341809883948372</v>
      </c>
      <c r="N4225">
        <v>0.1669538092287792</v>
      </c>
      <c r="O4225">
        <v>0.29481048262303106</v>
      </c>
      <c r="P4225">
        <v>0.24481760930870602</v>
      </c>
    </row>
    <row r="4226" spans="13:16">
      <c r="M4226">
        <v>0.29060587423629736</v>
      </c>
      <c r="N4226">
        <v>0.20151217308878311</v>
      </c>
      <c r="O4226">
        <v>0.23451542741134965</v>
      </c>
      <c r="P4226">
        <v>0.27336652526356986</v>
      </c>
    </row>
    <row r="4227" spans="13:16">
      <c r="M4227">
        <v>0.28809013405112693</v>
      </c>
      <c r="N4227">
        <v>0.1863910069466117</v>
      </c>
      <c r="O4227">
        <v>0.27740173559620307</v>
      </c>
      <c r="P4227">
        <v>0.24811712340605829</v>
      </c>
    </row>
    <row r="4228" spans="13:16">
      <c r="M4228">
        <v>0.33149869458082232</v>
      </c>
      <c r="N4228">
        <v>0.17199512951002313</v>
      </c>
      <c r="O4228">
        <v>0.2362290311518406</v>
      </c>
      <c r="P4228">
        <v>0.26027714475731401</v>
      </c>
    </row>
    <row r="4229" spans="13:16">
      <c r="M4229">
        <v>0.28305400606330172</v>
      </c>
      <c r="N4229">
        <v>0.17945649475334635</v>
      </c>
      <c r="O4229">
        <v>0.25318081320722774</v>
      </c>
      <c r="P4229">
        <v>0.28430868597612419</v>
      </c>
    </row>
    <row r="4230" spans="13:16">
      <c r="M4230">
        <v>0.27657191802881942</v>
      </c>
      <c r="N4230">
        <v>0.21825697954655121</v>
      </c>
      <c r="O4230">
        <v>0.22623613466285436</v>
      </c>
      <c r="P4230">
        <v>0.27893496776177507</v>
      </c>
    </row>
    <row r="4231" spans="13:16">
      <c r="M4231">
        <v>0.2828417965785669</v>
      </c>
      <c r="N4231">
        <v>0.1815547031597082</v>
      </c>
      <c r="O4231">
        <v>0.28281728486167484</v>
      </c>
      <c r="P4231">
        <v>0.25278621540005003</v>
      </c>
    </row>
    <row r="4232" spans="13:16">
      <c r="M4232">
        <v>0.31449956144603708</v>
      </c>
      <c r="N4232">
        <v>0.17285374244376092</v>
      </c>
      <c r="O4232">
        <v>0.25440139006632956</v>
      </c>
      <c r="P4232">
        <v>0.25824530604387247</v>
      </c>
    </row>
    <row r="4233" spans="13:16">
      <c r="M4233">
        <v>0.30173098077911015</v>
      </c>
      <c r="N4233">
        <v>0.20068248947768744</v>
      </c>
      <c r="O4233">
        <v>0.22816523656020044</v>
      </c>
      <c r="P4233">
        <v>0.26942129318300195</v>
      </c>
    </row>
    <row r="4234" spans="13:16">
      <c r="M4234">
        <v>0.29386946804739278</v>
      </c>
      <c r="N4234">
        <v>0.17588290945786592</v>
      </c>
      <c r="O4234">
        <v>0.28966125055690811</v>
      </c>
      <c r="P4234">
        <v>0.24058637193783311</v>
      </c>
    </row>
    <row r="4235" spans="13:16">
      <c r="M4235">
        <v>0.31344303981142041</v>
      </c>
      <c r="N4235">
        <v>0.17236904040199122</v>
      </c>
      <c r="O4235">
        <v>0.25296328715074451</v>
      </c>
      <c r="P4235">
        <v>0.261224632635844</v>
      </c>
    </row>
    <row r="4236" spans="13:16">
      <c r="M4236">
        <v>0.27438332598449627</v>
      </c>
      <c r="N4236">
        <v>0.18557543706608187</v>
      </c>
      <c r="O4236">
        <v>0.27792350445885267</v>
      </c>
      <c r="P4236">
        <v>0.26211773249056919</v>
      </c>
    </row>
    <row r="4237" spans="13:16">
      <c r="M4237">
        <v>0.29291084214473001</v>
      </c>
      <c r="N4237">
        <v>0.18622451371296336</v>
      </c>
      <c r="O4237">
        <v>0.25731710358514071</v>
      </c>
      <c r="P4237">
        <v>0.26354754055716595</v>
      </c>
    </row>
    <row r="4238" spans="13:16">
      <c r="M4238">
        <v>0.27736409507703075</v>
      </c>
      <c r="N4238">
        <v>0.18393112969370318</v>
      </c>
      <c r="O4238">
        <v>0.28189299931365153</v>
      </c>
      <c r="P4238">
        <v>0.25681177591561444</v>
      </c>
    </row>
    <row r="4239" spans="13:16">
      <c r="M4239">
        <v>0.28917851816007428</v>
      </c>
      <c r="N4239">
        <v>0.18683111030076457</v>
      </c>
      <c r="O4239">
        <v>0.25576023949346277</v>
      </c>
      <c r="P4239">
        <v>0.26823013204569829</v>
      </c>
    </row>
    <row r="4240" spans="13:16">
      <c r="M4240">
        <v>0.30678338845252356</v>
      </c>
      <c r="N4240">
        <v>0.18124833574731389</v>
      </c>
      <c r="O4240">
        <v>0.25068144331573139</v>
      </c>
      <c r="P4240">
        <v>0.26128683248443113</v>
      </c>
    </row>
    <row r="4241" spans="13:16">
      <c r="M4241">
        <v>0.26816298268085309</v>
      </c>
      <c r="N4241">
        <v>0.19027631323677571</v>
      </c>
      <c r="O4241">
        <v>0.27478370580293709</v>
      </c>
      <c r="P4241">
        <v>0.26677699827943402</v>
      </c>
    </row>
    <row r="4242" spans="13:16">
      <c r="M4242">
        <v>0.28082122876719695</v>
      </c>
      <c r="N4242">
        <v>0.18831109081266642</v>
      </c>
      <c r="O4242">
        <v>0.26477783189330972</v>
      </c>
      <c r="P4242">
        <v>0.26608984852682699</v>
      </c>
    </row>
    <row r="4243" spans="13:16">
      <c r="M4243">
        <v>0.27744099743971096</v>
      </c>
      <c r="N4243">
        <v>0.18324602805631221</v>
      </c>
      <c r="O4243">
        <v>0.26497377843609493</v>
      </c>
      <c r="P4243">
        <v>0.27433919606788187</v>
      </c>
    </row>
    <row r="4244" spans="13:16">
      <c r="M4244">
        <v>0.31881706489283018</v>
      </c>
      <c r="N4244">
        <v>0.17022443996346887</v>
      </c>
      <c r="O4244">
        <v>0.24175744447740821</v>
      </c>
      <c r="P4244">
        <v>0.26920105066629285</v>
      </c>
    </row>
    <row r="4245" spans="13:16">
      <c r="M4245">
        <v>0.31512771913915655</v>
      </c>
      <c r="N4245">
        <v>0.19926484108626177</v>
      </c>
      <c r="O4245">
        <v>0.22430557908968896</v>
      </c>
      <c r="P4245">
        <v>0.26130186068489275</v>
      </c>
    </row>
    <row r="4246" spans="13:16">
      <c r="M4246">
        <v>0.27615387961822557</v>
      </c>
      <c r="N4246">
        <v>0.17808527628584811</v>
      </c>
      <c r="O4246">
        <v>0.27577209774150674</v>
      </c>
      <c r="P4246">
        <v>0.26998874635441961</v>
      </c>
    </row>
    <row r="4247" spans="13:16">
      <c r="M4247">
        <v>0.27320944005856135</v>
      </c>
      <c r="N4247">
        <v>0.1843677821069501</v>
      </c>
      <c r="O4247">
        <v>0.28990539678036642</v>
      </c>
      <c r="P4247">
        <v>0.25251738105412208</v>
      </c>
    </row>
    <row r="4248" spans="13:16">
      <c r="M4248">
        <v>0.29109310165860919</v>
      </c>
      <c r="N4248">
        <v>0.17823056783353999</v>
      </c>
      <c r="O4248">
        <v>0.26239070161934031</v>
      </c>
      <c r="P4248">
        <v>0.26828562888851049</v>
      </c>
    </row>
    <row r="4249" spans="13:16">
      <c r="M4249">
        <v>0.2835692148878734</v>
      </c>
      <c r="N4249">
        <v>0.17276508603420634</v>
      </c>
      <c r="O4249">
        <v>0.29198372271981676</v>
      </c>
      <c r="P4249">
        <v>0.25168197635810341</v>
      </c>
    </row>
    <row r="4250" spans="13:16">
      <c r="M4250">
        <v>0.28596506131473909</v>
      </c>
      <c r="N4250">
        <v>0.20091499527599849</v>
      </c>
      <c r="O4250">
        <v>0.24842274117011695</v>
      </c>
      <c r="P4250">
        <v>0.26469720223914561</v>
      </c>
    </row>
    <row r="4251" spans="13:16">
      <c r="M4251">
        <v>0.27944332253765769</v>
      </c>
      <c r="N4251">
        <v>0.18121810321260393</v>
      </c>
      <c r="O4251">
        <v>0.26338838550884103</v>
      </c>
      <c r="P4251">
        <v>0.27595018874089738</v>
      </c>
    </row>
    <row r="4252" spans="13:16">
      <c r="M4252">
        <v>0.28836574330881404</v>
      </c>
      <c r="N4252">
        <v>0.17437822662762542</v>
      </c>
      <c r="O4252">
        <v>0.27940197125315475</v>
      </c>
      <c r="P4252">
        <v>0.25785405881040585</v>
      </c>
    </row>
    <row r="4253" spans="13:16">
      <c r="M4253">
        <v>0.28291122360582971</v>
      </c>
      <c r="N4253">
        <v>0.18262895143872435</v>
      </c>
      <c r="O4253">
        <v>0.27476512554854304</v>
      </c>
      <c r="P4253">
        <v>0.25969469940690282</v>
      </c>
    </row>
    <row r="4254" spans="13:16">
      <c r="M4254">
        <v>0.2731095279337733</v>
      </c>
      <c r="N4254">
        <v>0.21407348256029285</v>
      </c>
      <c r="O4254">
        <v>0.23898474081631699</v>
      </c>
      <c r="P4254">
        <v>0.27383224868961686</v>
      </c>
    </row>
    <row r="4255" spans="13:16">
      <c r="M4255">
        <v>0.31805157886342389</v>
      </c>
      <c r="N4255">
        <v>0.18188894520553603</v>
      </c>
      <c r="O4255">
        <v>0.22618103797430492</v>
      </c>
      <c r="P4255">
        <v>0.27387843795673511</v>
      </c>
    </row>
    <row r="4256" spans="13:16">
      <c r="M4256">
        <v>0.2895204760877656</v>
      </c>
      <c r="N4256">
        <v>0.18474239131530198</v>
      </c>
      <c r="O4256">
        <v>0.26577296759221464</v>
      </c>
      <c r="P4256">
        <v>0.25996416500471781</v>
      </c>
    </row>
    <row r="4257" spans="13:16">
      <c r="M4257">
        <v>0.27968753318689704</v>
      </c>
      <c r="N4257">
        <v>0.18909303395561208</v>
      </c>
      <c r="O4257">
        <v>0.26723148613552766</v>
      </c>
      <c r="P4257">
        <v>0.2639879467219633</v>
      </c>
    </row>
    <row r="4258" spans="13:16">
      <c r="M4258">
        <v>0.3030262114558025</v>
      </c>
      <c r="N4258">
        <v>0.18250153800404531</v>
      </c>
      <c r="O4258">
        <v>0.25729440525231184</v>
      </c>
      <c r="P4258">
        <v>0.25717784528784038</v>
      </c>
    </row>
    <row r="4259" spans="13:16">
      <c r="M4259">
        <v>0.27357587201537203</v>
      </c>
      <c r="N4259">
        <v>0.1893632749259993</v>
      </c>
      <c r="O4259">
        <v>0.27318696802412329</v>
      </c>
      <c r="P4259">
        <v>0.26387388503450548</v>
      </c>
    </row>
    <row r="4260" spans="13:16">
      <c r="M4260">
        <v>0.26358404931572438</v>
      </c>
      <c r="N4260">
        <v>0.20560468195144346</v>
      </c>
      <c r="O4260">
        <v>0.26100618491908567</v>
      </c>
      <c r="P4260">
        <v>0.26980508381374652</v>
      </c>
    </row>
    <row r="4261" spans="13:16">
      <c r="M4261">
        <v>0.28205187538931492</v>
      </c>
      <c r="N4261">
        <v>0.17873223273847932</v>
      </c>
      <c r="O4261">
        <v>0.2788675865057279</v>
      </c>
      <c r="P4261">
        <v>0.26034830536647785</v>
      </c>
    </row>
    <row r="4262" spans="13:16">
      <c r="M4262">
        <v>0.31915685239898295</v>
      </c>
      <c r="N4262">
        <v>0.18053507455209705</v>
      </c>
      <c r="O4262">
        <v>0.24425633675783726</v>
      </c>
      <c r="P4262">
        <v>0.25605173629108269</v>
      </c>
    </row>
    <row r="4263" spans="13:16">
      <c r="M4263">
        <v>0.28347825763582074</v>
      </c>
      <c r="N4263">
        <v>0.18451646006432815</v>
      </c>
      <c r="O4263">
        <v>0.25603279409640584</v>
      </c>
      <c r="P4263">
        <v>0.27597248820344528</v>
      </c>
    </row>
    <row r="4264" spans="13:16">
      <c r="M4264">
        <v>0.27089872067817788</v>
      </c>
      <c r="N4264">
        <v>0.18397697002585311</v>
      </c>
      <c r="O4264">
        <v>0.28100526998896641</v>
      </c>
      <c r="P4264">
        <v>0.26411903930700259</v>
      </c>
    </row>
    <row r="4265" spans="13:16">
      <c r="M4265">
        <v>0.28103887703906866</v>
      </c>
      <c r="N4265">
        <v>0.18556753677832077</v>
      </c>
      <c r="O4265">
        <v>0.25865185522118955</v>
      </c>
      <c r="P4265">
        <v>0.27474173096142107</v>
      </c>
    </row>
    <row r="4266" spans="13:16">
      <c r="M4266">
        <v>0.28566053757706733</v>
      </c>
      <c r="N4266">
        <v>0.18807776390854347</v>
      </c>
      <c r="O4266">
        <v>0.26336700259812784</v>
      </c>
      <c r="P4266">
        <v>0.26289469591626125</v>
      </c>
    </row>
    <row r="4267" spans="13:16">
      <c r="M4267">
        <v>0.26905028471225745</v>
      </c>
      <c r="N4267">
        <v>0.17432217757482607</v>
      </c>
      <c r="O4267">
        <v>0.28474882500033194</v>
      </c>
      <c r="P4267">
        <v>0.27187871271258451</v>
      </c>
    </row>
    <row r="4268" spans="13:16">
      <c r="M4268">
        <v>0.29386348328485151</v>
      </c>
      <c r="N4268">
        <v>0.2012330455902506</v>
      </c>
      <c r="O4268">
        <v>0.21480082917146764</v>
      </c>
      <c r="P4268">
        <v>0.29010264195343016</v>
      </c>
    </row>
    <row r="4269" spans="13:16">
      <c r="M4269">
        <v>0.27505250706331685</v>
      </c>
      <c r="N4269">
        <v>0.19184993629403913</v>
      </c>
      <c r="O4269">
        <v>0.26251496858353568</v>
      </c>
      <c r="P4269">
        <v>0.27058258805910834</v>
      </c>
    </row>
    <row r="4270" spans="13:16">
      <c r="M4270">
        <v>0.29592832092611665</v>
      </c>
      <c r="N4270">
        <v>0.16548638335987717</v>
      </c>
      <c r="O4270">
        <v>0.28431581861445282</v>
      </c>
      <c r="P4270">
        <v>0.25426947709955328</v>
      </c>
    </row>
    <row r="4271" spans="13:16">
      <c r="M4271">
        <v>0.27133198744579778</v>
      </c>
      <c r="N4271">
        <v>0.18495405308232182</v>
      </c>
      <c r="O4271">
        <v>0.27628131972579645</v>
      </c>
      <c r="P4271">
        <v>0.267432639746084</v>
      </c>
    </row>
    <row r="4272" spans="13:16">
      <c r="M4272">
        <v>0.31131504452254083</v>
      </c>
      <c r="N4272">
        <v>0.17858939034286148</v>
      </c>
      <c r="O4272">
        <v>0.24141975388926823</v>
      </c>
      <c r="P4272">
        <v>0.2686758112453293</v>
      </c>
    </row>
    <row r="4273" spans="13:16">
      <c r="M4273">
        <v>0.31893536730051419</v>
      </c>
      <c r="N4273">
        <v>0.15901403863103392</v>
      </c>
      <c r="O4273">
        <v>0.28030436172798956</v>
      </c>
      <c r="P4273">
        <v>0.24174623234046244</v>
      </c>
    </row>
    <row r="4274" spans="13:16">
      <c r="M4274">
        <v>0.30173810592971556</v>
      </c>
      <c r="N4274">
        <v>0.17093123718624939</v>
      </c>
      <c r="O4274">
        <v>0.2788064321106643</v>
      </c>
      <c r="P4274">
        <v>0.2485242247733708</v>
      </c>
    </row>
    <row r="4275" spans="13:16">
      <c r="M4275">
        <v>0.28989510471408231</v>
      </c>
      <c r="N4275">
        <v>0.17774238384803626</v>
      </c>
      <c r="O4275">
        <v>0.25458135741830568</v>
      </c>
      <c r="P4275">
        <v>0.27778115401957565</v>
      </c>
    </row>
    <row r="4276" spans="13:16">
      <c r="M4276">
        <v>0.28111417175967096</v>
      </c>
      <c r="N4276">
        <v>0.19452274277738862</v>
      </c>
      <c r="O4276">
        <v>0.25155224964561346</v>
      </c>
      <c r="P4276">
        <v>0.2728108358173269</v>
      </c>
    </row>
    <row r="4277" spans="13:16">
      <c r="M4277">
        <v>0.29224325135100548</v>
      </c>
      <c r="N4277">
        <v>0.19353523342723025</v>
      </c>
      <c r="O4277">
        <v>0.25883118566263075</v>
      </c>
      <c r="P4277">
        <v>0.25539032955913349</v>
      </c>
    </row>
    <row r="4278" spans="13:16">
      <c r="M4278">
        <v>0.28868978725512356</v>
      </c>
      <c r="N4278">
        <v>0.18288443119942391</v>
      </c>
      <c r="O4278">
        <v>0.26822591244271782</v>
      </c>
      <c r="P4278">
        <v>0.26019986910273463</v>
      </c>
    </row>
    <row r="4279" spans="13:16">
      <c r="M4279">
        <v>0.28784555488718067</v>
      </c>
      <c r="N4279">
        <v>0.20338093968289947</v>
      </c>
      <c r="O4279">
        <v>0.23316048719218657</v>
      </c>
      <c r="P4279">
        <v>0.27561301823773332</v>
      </c>
    </row>
    <row r="4280" spans="13:16">
      <c r="M4280">
        <v>0.28345737459760934</v>
      </c>
      <c r="N4280">
        <v>0.19776496704216928</v>
      </c>
      <c r="O4280">
        <v>0.26146181578034311</v>
      </c>
      <c r="P4280">
        <v>0.25731584257987822</v>
      </c>
    </row>
    <row r="4281" spans="13:16">
      <c r="M4281">
        <v>0.28778459479307611</v>
      </c>
      <c r="N4281">
        <v>0.19297523543973552</v>
      </c>
      <c r="O4281">
        <v>0.25738452109948967</v>
      </c>
      <c r="P4281">
        <v>0.26185564866769878</v>
      </c>
    </row>
    <row r="4282" spans="13:16">
      <c r="M4282">
        <v>0.30818294121701295</v>
      </c>
      <c r="N4282">
        <v>0.17784337661860425</v>
      </c>
      <c r="O4282">
        <v>0.2334744451044011</v>
      </c>
      <c r="P4282">
        <v>0.28049923705998175</v>
      </c>
    </row>
    <row r="4283" spans="13:16">
      <c r="M4283">
        <v>0.26271261258718964</v>
      </c>
      <c r="N4283">
        <v>0.20162562564258588</v>
      </c>
      <c r="O4283">
        <v>0.26491623817336146</v>
      </c>
      <c r="P4283">
        <v>0.2707455235968631</v>
      </c>
    </row>
    <row r="4284" spans="13:16">
      <c r="M4284">
        <v>0.30547710634357172</v>
      </c>
      <c r="N4284">
        <v>0.18945639676701012</v>
      </c>
      <c r="O4284">
        <v>0.23293332542055778</v>
      </c>
      <c r="P4284">
        <v>0.27213317146886046</v>
      </c>
    </row>
    <row r="4285" spans="13:16">
      <c r="M4285">
        <v>0.31505938111978732</v>
      </c>
      <c r="N4285">
        <v>0.17481614183487376</v>
      </c>
      <c r="O4285">
        <v>0.24023365095016022</v>
      </c>
      <c r="P4285">
        <v>0.26989082609517862</v>
      </c>
    </row>
    <row r="4286" spans="13:16">
      <c r="M4286">
        <v>0.31146367072957315</v>
      </c>
      <c r="N4286">
        <v>0.19973647131193606</v>
      </c>
      <c r="O4286">
        <v>0.23581698612940466</v>
      </c>
      <c r="P4286">
        <v>0.25298287182908619</v>
      </c>
    </row>
    <row r="4287" spans="13:16">
      <c r="M4287">
        <v>0.29113057695964156</v>
      </c>
      <c r="N4287">
        <v>0.18635914893989974</v>
      </c>
      <c r="O4287">
        <v>0.23699452443795826</v>
      </c>
      <c r="P4287">
        <v>0.28551574966250048</v>
      </c>
    </row>
    <row r="4288" spans="13:16">
      <c r="M4288">
        <v>0.28127080456097359</v>
      </c>
      <c r="N4288">
        <v>0.1878522534523715</v>
      </c>
      <c r="O4288">
        <v>0.26781078290750737</v>
      </c>
      <c r="P4288">
        <v>0.26306615907914749</v>
      </c>
    </row>
    <row r="4289" spans="13:16">
      <c r="M4289">
        <v>0.306483847127689</v>
      </c>
      <c r="N4289">
        <v>0.16698832053671986</v>
      </c>
      <c r="O4289">
        <v>0.26366401340136975</v>
      </c>
      <c r="P4289">
        <v>0.26286381893422134</v>
      </c>
    </row>
    <row r="4290" spans="13:16">
      <c r="M4290">
        <v>0.302364930839287</v>
      </c>
      <c r="N4290">
        <v>0.16135691488493009</v>
      </c>
      <c r="O4290">
        <v>0.29518391255566645</v>
      </c>
      <c r="P4290">
        <v>0.24109424172011645</v>
      </c>
    </row>
    <row r="4291" spans="13:16">
      <c r="M4291">
        <v>0.30121648078656044</v>
      </c>
      <c r="N4291">
        <v>0.17347820433314909</v>
      </c>
      <c r="O4291">
        <v>0.26869327754929023</v>
      </c>
      <c r="P4291">
        <v>0.25661203733100024</v>
      </c>
    </row>
    <row r="4292" spans="13:16">
      <c r="M4292">
        <v>0.2872250952769555</v>
      </c>
      <c r="N4292">
        <v>0.19081406614484656</v>
      </c>
      <c r="O4292">
        <v>0.238409443395069</v>
      </c>
      <c r="P4292">
        <v>0.283551395183129</v>
      </c>
    </row>
    <row r="4293" spans="13:16">
      <c r="M4293">
        <v>0.31862418765000683</v>
      </c>
      <c r="N4293">
        <v>0.18274005003858124</v>
      </c>
      <c r="O4293">
        <v>0.25020666400222613</v>
      </c>
      <c r="P4293">
        <v>0.24842909830918578</v>
      </c>
    </row>
    <row r="4294" spans="13:16">
      <c r="M4294">
        <v>0.30818729033976161</v>
      </c>
      <c r="N4294">
        <v>0.17106929699027343</v>
      </c>
      <c r="O4294">
        <v>0.26683294987939588</v>
      </c>
      <c r="P4294">
        <v>0.25391046279056906</v>
      </c>
    </row>
    <row r="4295" spans="13:16">
      <c r="M4295">
        <v>0.29341369697888797</v>
      </c>
      <c r="N4295">
        <v>0.18717408866953275</v>
      </c>
      <c r="O4295">
        <v>0.26085457600757028</v>
      </c>
      <c r="P4295">
        <v>0.25855763834400913</v>
      </c>
    </row>
    <row r="4296" spans="13:16">
      <c r="M4296">
        <v>0.30829499018976164</v>
      </c>
      <c r="N4296">
        <v>0.19194311786057533</v>
      </c>
      <c r="O4296">
        <v>0.23994666258165451</v>
      </c>
      <c r="P4296">
        <v>0.25981522936800849</v>
      </c>
    </row>
    <row r="4297" spans="13:16">
      <c r="M4297">
        <v>0.29029150748203814</v>
      </c>
      <c r="N4297">
        <v>0.20554598967956916</v>
      </c>
      <c r="O4297">
        <v>0.24022803219051025</v>
      </c>
      <c r="P4297">
        <v>0.26393447064788234</v>
      </c>
    </row>
    <row r="4298" spans="13:16">
      <c r="M4298">
        <v>0.31109453708706847</v>
      </c>
      <c r="N4298">
        <v>0.19548616396121876</v>
      </c>
      <c r="O4298">
        <v>0.22705173482688257</v>
      </c>
      <c r="P4298">
        <v>0.2663675641248302</v>
      </c>
    </row>
    <row r="4299" spans="13:16">
      <c r="M4299">
        <v>0.30925907179134171</v>
      </c>
      <c r="N4299">
        <v>0.19043058109507982</v>
      </c>
      <c r="O4299">
        <v>0.22851056167619982</v>
      </c>
      <c r="P4299">
        <v>0.27179978543737882</v>
      </c>
    </row>
    <row r="4300" spans="13:16">
      <c r="M4300">
        <v>0.31230086419217201</v>
      </c>
      <c r="N4300">
        <v>0.18719457485620267</v>
      </c>
      <c r="O4300">
        <v>0.23886353011056749</v>
      </c>
      <c r="P4300">
        <v>0.26164103084105789</v>
      </c>
    </row>
    <row r="4301" spans="13:16">
      <c r="M4301">
        <v>0.29809996858639914</v>
      </c>
      <c r="N4301">
        <v>0.18166375961355061</v>
      </c>
      <c r="O4301">
        <v>0.2376075120152939</v>
      </c>
      <c r="P4301">
        <v>0.28262875978475632</v>
      </c>
    </row>
    <row r="4302" spans="13:16">
      <c r="M4302">
        <v>0.30811056246997359</v>
      </c>
      <c r="N4302">
        <v>0.16914636020940307</v>
      </c>
      <c r="O4302">
        <v>0.27126870925678787</v>
      </c>
      <c r="P4302">
        <v>0.25147436806383539</v>
      </c>
    </row>
    <row r="4303" spans="13:16">
      <c r="M4303">
        <v>0.27554020159764214</v>
      </c>
      <c r="N4303">
        <v>0.17247982025311248</v>
      </c>
      <c r="O4303">
        <v>0.29665556024047679</v>
      </c>
      <c r="P4303">
        <v>0.25532441790876864</v>
      </c>
    </row>
    <row r="4304" spans="13:16">
      <c r="M4304">
        <v>0.28916773137252688</v>
      </c>
      <c r="N4304">
        <v>0.18642077749488234</v>
      </c>
      <c r="O4304">
        <v>0.24841834334471083</v>
      </c>
      <c r="P4304">
        <v>0.27599314778787981</v>
      </c>
    </row>
    <row r="4305" spans="13:16">
      <c r="M4305">
        <v>0.26785243171404016</v>
      </c>
      <c r="N4305">
        <v>0.17354699412232361</v>
      </c>
      <c r="O4305">
        <v>0.28040329507533279</v>
      </c>
      <c r="P4305">
        <v>0.27819727908830355</v>
      </c>
    </row>
    <row r="4306" spans="13:16">
      <c r="M4306">
        <v>0.307828649734045</v>
      </c>
      <c r="N4306">
        <v>0.1667349594254097</v>
      </c>
      <c r="O4306">
        <v>0.27259619137222768</v>
      </c>
      <c r="P4306">
        <v>0.25284019946831776</v>
      </c>
    </row>
    <row r="4307" spans="13:16">
      <c r="M4307">
        <v>0.31561206651465162</v>
      </c>
      <c r="N4307">
        <v>0.18902216827710103</v>
      </c>
      <c r="O4307">
        <v>0.23821759374363805</v>
      </c>
      <c r="P4307">
        <v>0.25714817146460933</v>
      </c>
    </row>
    <row r="4308" spans="13:16">
      <c r="M4308">
        <v>0.30003466566914788</v>
      </c>
      <c r="N4308">
        <v>0.17686731636373143</v>
      </c>
      <c r="O4308">
        <v>0.27318434195954427</v>
      </c>
      <c r="P4308">
        <v>0.24991367600757647</v>
      </c>
    </row>
    <row r="4309" spans="13:16">
      <c r="M4309">
        <v>0.28816643659811242</v>
      </c>
      <c r="N4309">
        <v>0.19170731640789446</v>
      </c>
      <c r="O4309">
        <v>0.27145307704783633</v>
      </c>
      <c r="P4309">
        <v>0.24867316994615662</v>
      </c>
    </row>
    <row r="4310" spans="13:16">
      <c r="M4310">
        <v>0.30950707751997608</v>
      </c>
      <c r="N4310">
        <v>0.17744843155359594</v>
      </c>
      <c r="O4310">
        <v>0.23777230078950651</v>
      </c>
      <c r="P4310">
        <v>0.2752721901369215</v>
      </c>
    </row>
    <row r="4311" spans="13:16">
      <c r="M4311">
        <v>0.26034464549437225</v>
      </c>
      <c r="N4311">
        <v>0.19569765461073621</v>
      </c>
      <c r="O4311">
        <v>0.26890947005039278</v>
      </c>
      <c r="P4311">
        <v>0.27504822984449867</v>
      </c>
    </row>
    <row r="4312" spans="13:16">
      <c r="M4312">
        <v>0.3245527104644565</v>
      </c>
      <c r="N4312">
        <v>0.18528447360065664</v>
      </c>
      <c r="O4312">
        <v>0.21907940145693858</v>
      </c>
      <c r="P4312">
        <v>0.27108341447794831</v>
      </c>
    </row>
    <row r="4313" spans="13:16">
      <c r="M4313">
        <v>0.31827909194494514</v>
      </c>
      <c r="N4313">
        <v>0.18865518054266345</v>
      </c>
      <c r="O4313">
        <v>0.22594749438732009</v>
      </c>
      <c r="P4313">
        <v>0.26711823312507155</v>
      </c>
    </row>
    <row r="4314" spans="13:16">
      <c r="M4314">
        <v>0.28523381046279528</v>
      </c>
      <c r="N4314">
        <v>0.19031039850333664</v>
      </c>
      <c r="O4314">
        <v>0.26407682455156639</v>
      </c>
      <c r="P4314">
        <v>0.26037896648230169</v>
      </c>
    </row>
    <row r="4315" spans="13:16">
      <c r="M4315">
        <v>0.31369030517671909</v>
      </c>
      <c r="N4315">
        <v>0.16499581040247013</v>
      </c>
      <c r="O4315">
        <v>0.28641820724607564</v>
      </c>
      <c r="P4315">
        <v>0.23489567717473511</v>
      </c>
    </row>
    <row r="4316" spans="13:16">
      <c r="M4316">
        <v>0.29317707960679856</v>
      </c>
      <c r="N4316">
        <v>0.18671238110227256</v>
      </c>
      <c r="O4316">
        <v>0.24086323091287226</v>
      </c>
      <c r="P4316">
        <v>0.27924730837805656</v>
      </c>
    </row>
    <row r="4317" spans="13:16">
      <c r="M4317">
        <v>0.27423287035324712</v>
      </c>
      <c r="N4317">
        <v>0.18951610514043302</v>
      </c>
      <c r="O4317">
        <v>0.26046558484088228</v>
      </c>
      <c r="P4317">
        <v>0.27578543966543762</v>
      </c>
    </row>
    <row r="4318" spans="13:16">
      <c r="M4318">
        <v>0.28036160492771395</v>
      </c>
      <c r="N4318">
        <v>0.17484415968375203</v>
      </c>
      <c r="O4318">
        <v>0.26138464690288099</v>
      </c>
      <c r="P4318">
        <v>0.28340958848565301</v>
      </c>
    </row>
    <row r="4319" spans="13:16">
      <c r="M4319">
        <v>0.29183421177462543</v>
      </c>
      <c r="N4319">
        <v>0.18894228813332781</v>
      </c>
      <c r="O4319">
        <v>0.24833297540848376</v>
      </c>
      <c r="P4319">
        <v>0.27089052468356289</v>
      </c>
    </row>
    <row r="4320" spans="13:16">
      <c r="M4320">
        <v>0.28998418413477278</v>
      </c>
      <c r="N4320">
        <v>0.19261274207885393</v>
      </c>
      <c r="O4320">
        <v>0.2396151364495453</v>
      </c>
      <c r="P4320">
        <v>0.27778793733682805</v>
      </c>
    </row>
    <row r="4321" spans="13:16">
      <c r="M4321">
        <v>0.28684087410549547</v>
      </c>
      <c r="N4321">
        <v>0.20291096031182915</v>
      </c>
      <c r="O4321">
        <v>0.23853279080932738</v>
      </c>
      <c r="P4321">
        <v>0.27171537477334801</v>
      </c>
    </row>
    <row r="4322" spans="13:16">
      <c r="M4322">
        <v>0.28331795104031543</v>
      </c>
      <c r="N4322">
        <v>0.21886167324065886</v>
      </c>
      <c r="O4322">
        <v>0.22254802147093852</v>
      </c>
      <c r="P4322">
        <v>0.27527235424808727</v>
      </c>
    </row>
    <row r="4323" spans="13:16">
      <c r="M4323">
        <v>0.29643355284562711</v>
      </c>
      <c r="N4323">
        <v>0.19039949933853423</v>
      </c>
      <c r="O4323">
        <v>0.25391366103110863</v>
      </c>
      <c r="P4323">
        <v>0.25925328678473003</v>
      </c>
    </row>
    <row r="4324" spans="13:16">
      <c r="M4324">
        <v>0.28314060792475804</v>
      </c>
      <c r="N4324">
        <v>0.18469013957500041</v>
      </c>
      <c r="O4324">
        <v>0.24634034567530289</v>
      </c>
      <c r="P4324">
        <v>0.28582890682493861</v>
      </c>
    </row>
    <row r="4325" spans="13:16">
      <c r="M4325">
        <v>0.27634845787421664</v>
      </c>
      <c r="N4325">
        <v>0.19000550979407943</v>
      </c>
      <c r="O4325">
        <v>0.25362951049245047</v>
      </c>
      <c r="P4325">
        <v>0.28001652183925341</v>
      </c>
    </row>
    <row r="4326" spans="13:16">
      <c r="M4326">
        <v>0.28158305566847114</v>
      </c>
      <c r="N4326">
        <v>0.16883439007808348</v>
      </c>
      <c r="O4326">
        <v>0.29850340805373016</v>
      </c>
      <c r="P4326">
        <v>0.25107914619971511</v>
      </c>
    </row>
    <row r="4327" spans="13:16">
      <c r="M4327">
        <v>0.30572857791116359</v>
      </c>
      <c r="N4327">
        <v>0.1788001627562377</v>
      </c>
      <c r="O4327">
        <v>0.24740566571955691</v>
      </c>
      <c r="P4327">
        <v>0.26806559361304166</v>
      </c>
    </row>
    <row r="4328" spans="13:16">
      <c r="M4328">
        <v>0.32186688335258912</v>
      </c>
      <c r="N4328">
        <v>0.18282731612077782</v>
      </c>
      <c r="O4328">
        <v>0.23420162302730638</v>
      </c>
      <c r="P4328">
        <v>0.26110417749932679</v>
      </c>
    </row>
    <row r="4329" spans="13:16">
      <c r="M4329">
        <v>0.28441112232318527</v>
      </c>
      <c r="N4329">
        <v>0.20070314840709416</v>
      </c>
      <c r="O4329">
        <v>0.25967282855529983</v>
      </c>
      <c r="P4329">
        <v>0.25521290071442065</v>
      </c>
    </row>
    <row r="4330" spans="13:16">
      <c r="M4330">
        <v>0.30488517981720548</v>
      </c>
      <c r="N4330">
        <v>0.19595566205516771</v>
      </c>
      <c r="O4330">
        <v>0.22770608123102998</v>
      </c>
      <c r="P4330">
        <v>0.27145307689659687</v>
      </c>
    </row>
    <row r="4331" spans="13:16">
      <c r="M4331">
        <v>0.31733701611480231</v>
      </c>
      <c r="N4331">
        <v>0.18486074486470408</v>
      </c>
      <c r="O4331">
        <v>0.22633644931187091</v>
      </c>
      <c r="P4331">
        <v>0.27146578970862262</v>
      </c>
    </row>
    <row r="4332" spans="13:16">
      <c r="M4332">
        <v>0.28120714337496883</v>
      </c>
      <c r="N4332">
        <v>0.17233999144880505</v>
      </c>
      <c r="O4332">
        <v>0.2906020084499496</v>
      </c>
      <c r="P4332">
        <v>0.2558508567262765</v>
      </c>
    </row>
    <row r="4333" spans="13:16">
      <c r="M4333">
        <v>0.2994934612579393</v>
      </c>
      <c r="N4333">
        <v>0.17246989527600637</v>
      </c>
      <c r="O4333">
        <v>0.29585260950486802</v>
      </c>
      <c r="P4333">
        <v>0.23218403396118628</v>
      </c>
    </row>
    <row r="4334" spans="13:16">
      <c r="M4334">
        <v>0.28467639780477383</v>
      </c>
      <c r="N4334">
        <v>0.19117882685155416</v>
      </c>
      <c r="O4334">
        <v>0.27162759647044799</v>
      </c>
      <c r="P4334">
        <v>0.252517178873224</v>
      </c>
    </row>
    <row r="4335" spans="13:16">
      <c r="M4335">
        <v>0.28596197420448055</v>
      </c>
      <c r="N4335">
        <v>0.16706607123730791</v>
      </c>
      <c r="O4335">
        <v>0.28948318286778357</v>
      </c>
      <c r="P4335">
        <v>0.257488771690428</v>
      </c>
    </row>
    <row r="4336" spans="13:16">
      <c r="M4336">
        <v>0.28780380200857281</v>
      </c>
      <c r="N4336">
        <v>0.18655089417003881</v>
      </c>
      <c r="O4336">
        <v>0.27207836627725762</v>
      </c>
      <c r="P4336">
        <v>0.25356693754413068</v>
      </c>
    </row>
    <row r="4337" spans="13:16">
      <c r="M4337">
        <v>0.27886734936350766</v>
      </c>
      <c r="N4337">
        <v>0.19201208607911632</v>
      </c>
      <c r="O4337">
        <v>0.26203755879565693</v>
      </c>
      <c r="P4337">
        <v>0.26708300576171912</v>
      </c>
    </row>
    <row r="4338" spans="13:16">
      <c r="M4338">
        <v>0.32390343933049492</v>
      </c>
      <c r="N4338">
        <v>0.17537873232711571</v>
      </c>
      <c r="O4338">
        <v>0.22557273438385828</v>
      </c>
      <c r="P4338">
        <v>0.2751450939585311</v>
      </c>
    </row>
    <row r="4339" spans="13:16">
      <c r="M4339">
        <v>0.31967485360713971</v>
      </c>
      <c r="N4339">
        <v>0.18437777391837268</v>
      </c>
      <c r="O4339">
        <v>0.22298320400181701</v>
      </c>
      <c r="P4339">
        <v>0.27296416847267063</v>
      </c>
    </row>
    <row r="4340" spans="13:16">
      <c r="M4340">
        <v>0.29695567204289502</v>
      </c>
      <c r="N4340">
        <v>0.18099113849172196</v>
      </c>
      <c r="O4340">
        <v>0.25316436476420157</v>
      </c>
      <c r="P4340">
        <v>0.26888882470118142</v>
      </c>
    </row>
    <row r="4341" spans="13:16">
      <c r="M4341">
        <v>0.27717792683555054</v>
      </c>
      <c r="N4341">
        <v>0.19527402115050102</v>
      </c>
      <c r="O4341">
        <v>0.26840298358060793</v>
      </c>
      <c r="P4341">
        <v>0.25914506843334051</v>
      </c>
    </row>
    <row r="4342" spans="13:16">
      <c r="M4342">
        <v>0.31809721121357409</v>
      </c>
      <c r="N4342">
        <v>0.16939100078357297</v>
      </c>
      <c r="O4342">
        <v>0.24617695496778599</v>
      </c>
      <c r="P4342">
        <v>0.26633483303506694</v>
      </c>
    </row>
    <row r="4343" spans="13:16">
      <c r="M4343">
        <v>0.28424219117839772</v>
      </c>
      <c r="N4343">
        <v>0.1798008584999912</v>
      </c>
      <c r="O4343">
        <v>0.25480181519977213</v>
      </c>
      <c r="P4343">
        <v>0.28115513512183898</v>
      </c>
    </row>
    <row r="4344" spans="13:16">
      <c r="M4344">
        <v>0.31054786485312091</v>
      </c>
      <c r="N4344">
        <v>0.17869758858925539</v>
      </c>
      <c r="O4344">
        <v>0.23481295133482524</v>
      </c>
      <c r="P4344">
        <v>0.27594159522279843</v>
      </c>
    </row>
    <row r="4345" spans="13:16">
      <c r="M4345">
        <v>0.29323036496132748</v>
      </c>
      <c r="N4345">
        <v>0.1782481557912669</v>
      </c>
      <c r="O4345">
        <v>0.27660293178749346</v>
      </c>
      <c r="P4345">
        <v>0.2519185474599121</v>
      </c>
    </row>
    <row r="4346" spans="13:16">
      <c r="M4346">
        <v>0.2804186588415582</v>
      </c>
      <c r="N4346">
        <v>0.17466074989709696</v>
      </c>
      <c r="O4346">
        <v>0.27611314847920893</v>
      </c>
      <c r="P4346">
        <v>0.26880744278213592</v>
      </c>
    </row>
    <row r="4347" spans="13:16">
      <c r="M4347">
        <v>0.26888376501134548</v>
      </c>
      <c r="N4347">
        <v>0.18910102200767223</v>
      </c>
      <c r="O4347">
        <v>0.28151834058540931</v>
      </c>
      <c r="P4347">
        <v>0.26049687239557306</v>
      </c>
    </row>
    <row r="4348" spans="13:16">
      <c r="M4348">
        <v>0.31021999219475999</v>
      </c>
      <c r="N4348">
        <v>0.16698862164056022</v>
      </c>
      <c r="O4348">
        <v>0.27447768484153839</v>
      </c>
      <c r="P4348">
        <v>0.24831370132314129</v>
      </c>
    </row>
    <row r="4349" spans="13:16">
      <c r="M4349">
        <v>0.28594867736480578</v>
      </c>
      <c r="N4349">
        <v>0.17809773949623292</v>
      </c>
      <c r="O4349">
        <v>0.28223781581459184</v>
      </c>
      <c r="P4349">
        <v>0.25371576732436951</v>
      </c>
    </row>
    <row r="4350" spans="13:16">
      <c r="M4350">
        <v>0.30306091132045043</v>
      </c>
      <c r="N4350">
        <v>0.17686226095983842</v>
      </c>
      <c r="O4350">
        <v>0.26778979454068225</v>
      </c>
      <c r="P4350">
        <v>0.2522870331790289</v>
      </c>
    </row>
    <row r="4351" spans="13:16">
      <c r="M4351">
        <v>0.2692318516927813</v>
      </c>
      <c r="N4351">
        <v>0.19399170645136635</v>
      </c>
      <c r="O4351">
        <v>0.28673576990169908</v>
      </c>
      <c r="P4351">
        <v>0.2500406719541533</v>
      </c>
    </row>
    <row r="4352" spans="13:16">
      <c r="M4352">
        <v>0.30331475666405189</v>
      </c>
      <c r="N4352">
        <v>0.18669203231297424</v>
      </c>
      <c r="O4352">
        <v>0.24908568781224164</v>
      </c>
      <c r="P4352">
        <v>0.26090752321073218</v>
      </c>
    </row>
    <row r="4353" spans="13:16">
      <c r="M4353">
        <v>0.28686931368157165</v>
      </c>
      <c r="N4353">
        <v>0.18607432861615439</v>
      </c>
      <c r="O4353">
        <v>0.24552777914474874</v>
      </c>
      <c r="P4353">
        <v>0.28152857855752511</v>
      </c>
    </row>
    <row r="4354" spans="13:16">
      <c r="M4354">
        <v>0.29441757134615826</v>
      </c>
      <c r="N4354">
        <v>0.18412852949383629</v>
      </c>
      <c r="O4354">
        <v>0.25516953228360523</v>
      </c>
      <c r="P4354">
        <v>0.26628436687640011</v>
      </c>
    </row>
    <row r="4355" spans="13:16">
      <c r="M4355">
        <v>0.29674651137126123</v>
      </c>
      <c r="N4355">
        <v>0.20881298391204442</v>
      </c>
      <c r="O4355">
        <v>0.22200067741890486</v>
      </c>
      <c r="P4355">
        <v>0.27243982729778943</v>
      </c>
    </row>
    <row r="4356" spans="13:16">
      <c r="M4356">
        <v>0.27554673425944864</v>
      </c>
      <c r="N4356">
        <v>0.18934103114946368</v>
      </c>
      <c r="O4356">
        <v>0.26458484566415214</v>
      </c>
      <c r="P4356">
        <v>0.27052738892693551</v>
      </c>
    </row>
    <row r="4357" spans="13:16">
      <c r="M4357">
        <v>0.27420337443745524</v>
      </c>
      <c r="N4357">
        <v>0.192561141281265</v>
      </c>
      <c r="O4357">
        <v>0.26389768400272351</v>
      </c>
      <c r="P4357">
        <v>0.26933780027855631</v>
      </c>
    </row>
    <row r="4358" spans="13:16">
      <c r="M4358">
        <v>0.25823253928556877</v>
      </c>
      <c r="N4358">
        <v>0.19430569907501208</v>
      </c>
      <c r="O4358">
        <v>0.27760022421271918</v>
      </c>
      <c r="P4358">
        <v>0.26986153742670005</v>
      </c>
    </row>
    <row r="4359" spans="13:16">
      <c r="M4359">
        <v>0.29726793415844488</v>
      </c>
      <c r="N4359">
        <v>0.18773910214882777</v>
      </c>
      <c r="O4359">
        <v>0.2450300845997142</v>
      </c>
      <c r="P4359">
        <v>0.26996287909301303</v>
      </c>
    </row>
    <row r="4360" spans="13:16">
      <c r="M4360">
        <v>0.30367806565794014</v>
      </c>
      <c r="N4360">
        <v>0.17909012287408282</v>
      </c>
      <c r="O4360">
        <v>0.25755040839757104</v>
      </c>
      <c r="P4360">
        <v>0.25968140307040599</v>
      </c>
    </row>
    <row r="4361" spans="13:16">
      <c r="M4361">
        <v>0.26922364315997444</v>
      </c>
      <c r="N4361">
        <v>0.18878150877406186</v>
      </c>
      <c r="O4361">
        <v>0.27074732224253639</v>
      </c>
      <c r="P4361">
        <v>0.2712475258234272</v>
      </c>
    </row>
    <row r="4362" spans="13:16">
      <c r="M4362">
        <v>0.300104716273707</v>
      </c>
      <c r="N4362">
        <v>0.17771934917163765</v>
      </c>
      <c r="O4362">
        <v>0.24048653914716481</v>
      </c>
      <c r="P4362">
        <v>0.28168939540749077</v>
      </c>
    </row>
    <row r="4363" spans="13:16">
      <c r="M4363">
        <v>0.27267960560562987</v>
      </c>
      <c r="N4363">
        <v>0.19096676992604605</v>
      </c>
      <c r="O4363">
        <v>0.27084999713572405</v>
      </c>
      <c r="P4363">
        <v>0.26550362733260019</v>
      </c>
    </row>
    <row r="4364" spans="13:16">
      <c r="M4364">
        <v>0.30191537848008237</v>
      </c>
      <c r="N4364">
        <v>0.17211564045080591</v>
      </c>
      <c r="O4364">
        <v>0.2624595943539087</v>
      </c>
      <c r="P4364">
        <v>0.26350938671520313</v>
      </c>
    </row>
    <row r="4365" spans="13:16">
      <c r="M4365">
        <v>0.31920839532710865</v>
      </c>
      <c r="N4365">
        <v>0.18006334913816532</v>
      </c>
      <c r="O4365">
        <v>0.21965696639455995</v>
      </c>
      <c r="P4365">
        <v>0.28107128914016616</v>
      </c>
    </row>
    <row r="4366" spans="13:16">
      <c r="M4366">
        <v>0.29024662922631433</v>
      </c>
      <c r="N4366">
        <v>0.18346267202972441</v>
      </c>
      <c r="O4366">
        <v>0.24182359026368189</v>
      </c>
      <c r="P4366">
        <v>0.28446710848027928</v>
      </c>
    </row>
    <row r="4367" spans="13:16">
      <c r="M4367">
        <v>0.29717255999373143</v>
      </c>
      <c r="N4367">
        <v>0.18281765924626767</v>
      </c>
      <c r="O4367">
        <v>0.23358688149233098</v>
      </c>
      <c r="P4367">
        <v>0.28642289926766995</v>
      </c>
    </row>
    <row r="4368" spans="13:16">
      <c r="M4368">
        <v>0.29908576199216153</v>
      </c>
      <c r="N4368">
        <v>0.19467758118996445</v>
      </c>
      <c r="O4368">
        <v>0.23897873799617017</v>
      </c>
      <c r="P4368">
        <v>0.26725791882170397</v>
      </c>
    </row>
    <row r="4369" spans="13:16">
      <c r="M4369">
        <v>0.28242416483547628</v>
      </c>
      <c r="N4369">
        <v>0.19990925367384962</v>
      </c>
      <c r="O4369">
        <v>0.24449067170900496</v>
      </c>
      <c r="P4369">
        <v>0.273175909781669</v>
      </c>
    </row>
    <row r="4370" spans="13:16">
      <c r="M4370">
        <v>0.2954322810078856</v>
      </c>
      <c r="N4370">
        <v>0.19335586243821043</v>
      </c>
      <c r="O4370">
        <v>0.24989590504438175</v>
      </c>
      <c r="P4370">
        <v>0.2613159515095223</v>
      </c>
    </row>
    <row r="4371" spans="13:16">
      <c r="M4371">
        <v>0.30474093939911862</v>
      </c>
      <c r="N4371">
        <v>0.16965211062772778</v>
      </c>
      <c r="O4371">
        <v>0.2763381849847209</v>
      </c>
      <c r="P4371">
        <v>0.24926876498843267</v>
      </c>
    </row>
    <row r="4372" spans="13:16">
      <c r="M4372">
        <v>0.26862865889174725</v>
      </c>
      <c r="N4372">
        <v>0.19074720368810091</v>
      </c>
      <c r="O4372">
        <v>0.25655694353873887</v>
      </c>
      <c r="P4372">
        <v>0.28406719388141299</v>
      </c>
    </row>
    <row r="4373" spans="13:16">
      <c r="M4373">
        <v>0.29421105572974138</v>
      </c>
      <c r="N4373">
        <v>0.18081784331030146</v>
      </c>
      <c r="O4373">
        <v>0.25141644560240051</v>
      </c>
      <c r="P4373">
        <v>0.27355465535755674</v>
      </c>
    </row>
    <row r="4374" spans="13:16">
      <c r="M4374">
        <v>0.30879949152652786</v>
      </c>
      <c r="N4374">
        <v>0.18029553236082602</v>
      </c>
      <c r="O4374">
        <v>0.24991246731444089</v>
      </c>
      <c r="P4374">
        <v>0.26099250879820524</v>
      </c>
    </row>
    <row r="4375" spans="13:16">
      <c r="M4375">
        <v>0.26329214315824817</v>
      </c>
      <c r="N4375">
        <v>0.18898290633285159</v>
      </c>
      <c r="O4375">
        <v>0.29057355657851153</v>
      </c>
      <c r="P4375">
        <v>0.25715139393038883</v>
      </c>
    </row>
    <row r="4376" spans="13:16">
      <c r="M4376">
        <v>0.27805377266646519</v>
      </c>
      <c r="N4376">
        <v>0.19180679821235561</v>
      </c>
      <c r="O4376">
        <v>0.2768457139262796</v>
      </c>
      <c r="P4376">
        <v>0.25329371519489952</v>
      </c>
    </row>
    <row r="4377" spans="13:16">
      <c r="M4377">
        <v>0.28655497382346073</v>
      </c>
      <c r="N4377">
        <v>0.17352783840928321</v>
      </c>
      <c r="O4377">
        <v>0.29403487825742269</v>
      </c>
      <c r="P4377">
        <v>0.24588230950983342</v>
      </c>
    </row>
    <row r="4378" spans="13:16">
      <c r="M4378">
        <v>0.27784501616916857</v>
      </c>
      <c r="N4378">
        <v>0.17632098993159412</v>
      </c>
      <c r="O4378">
        <v>0.30057034196448285</v>
      </c>
      <c r="P4378">
        <v>0.2452636519347545</v>
      </c>
    </row>
    <row r="4379" spans="13:16">
      <c r="M4379">
        <v>0.27881886819770491</v>
      </c>
      <c r="N4379">
        <v>0.19000081771541305</v>
      </c>
      <c r="O4379">
        <v>0.24599817949866426</v>
      </c>
      <c r="P4379">
        <v>0.28518213458821778</v>
      </c>
    </row>
    <row r="4380" spans="13:16">
      <c r="M4380">
        <v>0.30694311399871965</v>
      </c>
      <c r="N4380">
        <v>0.20827773126642043</v>
      </c>
      <c r="O4380">
        <v>0.21233951127314743</v>
      </c>
      <c r="P4380">
        <v>0.27243964346171246</v>
      </c>
    </row>
    <row r="4381" spans="13:16">
      <c r="M4381">
        <v>0.26182522674777248</v>
      </c>
      <c r="N4381">
        <v>0.19298266697815378</v>
      </c>
      <c r="O4381">
        <v>0.28435516497256502</v>
      </c>
      <c r="P4381">
        <v>0.26083694130150864</v>
      </c>
    </row>
    <row r="4382" spans="13:16">
      <c r="M4382">
        <v>0.27883407660711529</v>
      </c>
      <c r="N4382">
        <v>0.18589024284705241</v>
      </c>
      <c r="O4382">
        <v>0.28579934306014609</v>
      </c>
      <c r="P4382">
        <v>0.24947633748568618</v>
      </c>
    </row>
    <row r="4383" spans="13:16">
      <c r="M4383">
        <v>0.32218833923070439</v>
      </c>
      <c r="N4383">
        <v>0.17123746991933911</v>
      </c>
      <c r="O4383">
        <v>0.23981618388921164</v>
      </c>
      <c r="P4383">
        <v>0.26675800696074486</v>
      </c>
    </row>
    <row r="4384" spans="13:16">
      <c r="M4384">
        <v>0.2832737564703488</v>
      </c>
      <c r="N4384">
        <v>0.18649371649148877</v>
      </c>
      <c r="O4384">
        <v>0.2681025354330987</v>
      </c>
      <c r="P4384">
        <v>0.26212999160506378</v>
      </c>
    </row>
    <row r="4385" spans="13:16">
      <c r="M4385">
        <v>0.29003505424908005</v>
      </c>
      <c r="N4385">
        <v>0.20241971254293672</v>
      </c>
      <c r="O4385">
        <v>0.24652918005545404</v>
      </c>
      <c r="P4385">
        <v>0.26101605315252907</v>
      </c>
    </row>
    <row r="4386" spans="13:16">
      <c r="M4386">
        <v>0.2697643687084384</v>
      </c>
      <c r="N4386">
        <v>0.20777977905243208</v>
      </c>
      <c r="O4386">
        <v>0.25697522908230308</v>
      </c>
      <c r="P4386">
        <v>0.26548062315682663</v>
      </c>
    </row>
    <row r="4387" spans="13:16">
      <c r="M4387">
        <v>0.28948363813956202</v>
      </c>
      <c r="N4387">
        <v>0.19884677760254779</v>
      </c>
      <c r="O4387">
        <v>0.25508447810243717</v>
      </c>
      <c r="P4387">
        <v>0.25658510615545299</v>
      </c>
    </row>
    <row r="4388" spans="13:16">
      <c r="M4388">
        <v>0.29746293591563239</v>
      </c>
      <c r="N4388">
        <v>0.1746983097048353</v>
      </c>
      <c r="O4388">
        <v>0.2747359709465888</v>
      </c>
      <c r="P4388">
        <v>0.25310278343294357</v>
      </c>
    </row>
    <row r="4389" spans="13:16">
      <c r="M4389">
        <v>0.26586188397330485</v>
      </c>
      <c r="N4389">
        <v>0.20868698174705716</v>
      </c>
      <c r="O4389">
        <v>0.25925583572435251</v>
      </c>
      <c r="P4389">
        <v>0.26619529855528545</v>
      </c>
    </row>
    <row r="4390" spans="13:16">
      <c r="M4390">
        <v>0.30268100042771956</v>
      </c>
      <c r="N4390">
        <v>0.17943058486429422</v>
      </c>
      <c r="O4390">
        <v>0.26050624569557451</v>
      </c>
      <c r="P4390">
        <v>0.25738216901241157</v>
      </c>
    </row>
    <row r="4391" spans="13:16">
      <c r="M4391">
        <v>0.31366593322353092</v>
      </c>
      <c r="N4391">
        <v>0.20116076039333103</v>
      </c>
      <c r="O4391">
        <v>0.22366322353566531</v>
      </c>
      <c r="P4391">
        <v>0.26151008284747262</v>
      </c>
    </row>
    <row r="4392" spans="13:16">
      <c r="M4392">
        <v>0.26807692486436585</v>
      </c>
      <c r="N4392">
        <v>0.18122388353813346</v>
      </c>
      <c r="O4392">
        <v>0.29243435131889739</v>
      </c>
      <c r="P4392">
        <v>0.25826484027860347</v>
      </c>
    </row>
    <row r="4393" spans="13:16">
      <c r="M4393">
        <v>0.31885125206508952</v>
      </c>
      <c r="N4393">
        <v>0.18602439641377688</v>
      </c>
      <c r="O4393">
        <v>0.21095336778992146</v>
      </c>
      <c r="P4393">
        <v>0.28417098373121213</v>
      </c>
    </row>
    <row r="4394" spans="13:16">
      <c r="M4394">
        <v>0.2691840681605468</v>
      </c>
      <c r="N4394">
        <v>0.17594598621344792</v>
      </c>
      <c r="O4394">
        <v>0.2880863409276041</v>
      </c>
      <c r="P4394">
        <v>0.26678360469840112</v>
      </c>
    </row>
    <row r="4395" spans="13:16">
      <c r="M4395">
        <v>0.31496082279875975</v>
      </c>
      <c r="N4395">
        <v>0.1800851762521827</v>
      </c>
      <c r="O4395">
        <v>0.23680699795401261</v>
      </c>
      <c r="P4395">
        <v>0.26814700299504496</v>
      </c>
    </row>
    <row r="4396" spans="13:16">
      <c r="M4396">
        <v>0.30148478885815466</v>
      </c>
      <c r="N4396">
        <v>0.19426674227052093</v>
      </c>
      <c r="O4396">
        <v>0.25143790086641704</v>
      </c>
      <c r="P4396">
        <v>0.25281056800490731</v>
      </c>
    </row>
    <row r="4397" spans="13:16">
      <c r="M4397">
        <v>0.31812866163651798</v>
      </c>
      <c r="N4397">
        <v>0.16472603414758624</v>
      </c>
      <c r="O4397">
        <v>0.26156917850316241</v>
      </c>
      <c r="P4397">
        <v>0.25557612571273336</v>
      </c>
    </row>
    <row r="4398" spans="13:16">
      <c r="M4398">
        <v>0.28808163455048791</v>
      </c>
      <c r="N4398">
        <v>0.18551695797489623</v>
      </c>
      <c r="O4398">
        <v>0.26767702532127113</v>
      </c>
      <c r="P4398">
        <v>0.25872438215334453</v>
      </c>
    </row>
    <row r="4399" spans="13:16">
      <c r="M4399">
        <v>0.32103341505439897</v>
      </c>
      <c r="N4399">
        <v>0.17096685347660773</v>
      </c>
      <c r="O4399">
        <v>0.24355796830690149</v>
      </c>
      <c r="P4399">
        <v>0.26444176316209178</v>
      </c>
    </row>
    <row r="4400" spans="13:16">
      <c r="M4400">
        <v>0.2754265915185416</v>
      </c>
      <c r="N4400">
        <v>0.18379063371699608</v>
      </c>
      <c r="O4400">
        <v>0.2936381695263468</v>
      </c>
      <c r="P4400">
        <v>0.24714460523811554</v>
      </c>
    </row>
    <row r="4401" spans="13:16">
      <c r="M4401">
        <v>0.28929933518001033</v>
      </c>
      <c r="N4401">
        <v>0.17270714205755541</v>
      </c>
      <c r="O4401">
        <v>0.28367150144276188</v>
      </c>
      <c r="P4401">
        <v>0.25432202131967235</v>
      </c>
    </row>
    <row r="4402" spans="13:16">
      <c r="M4402">
        <v>0.26314549475291132</v>
      </c>
      <c r="N4402">
        <v>0.20170645958680902</v>
      </c>
      <c r="O4402">
        <v>0.27387809767635357</v>
      </c>
      <c r="P4402">
        <v>0.26126994798392611</v>
      </c>
    </row>
    <row r="4403" spans="13:16">
      <c r="M4403">
        <v>0.31841146451762664</v>
      </c>
      <c r="N4403">
        <v>0.17298888148741187</v>
      </c>
      <c r="O4403">
        <v>0.26236595033085613</v>
      </c>
      <c r="P4403">
        <v>0.24623370366410541</v>
      </c>
    </row>
    <row r="4404" spans="13:16">
      <c r="M4404">
        <v>0.27851613468828335</v>
      </c>
      <c r="N4404">
        <v>0.19212307913988499</v>
      </c>
      <c r="O4404">
        <v>0.26306502299440865</v>
      </c>
      <c r="P4404">
        <v>0.26629576317742309</v>
      </c>
    </row>
    <row r="4405" spans="13:16">
      <c r="M4405">
        <v>0.31555739596736582</v>
      </c>
      <c r="N4405">
        <v>0.17135389288003511</v>
      </c>
      <c r="O4405">
        <v>0.25621988577651994</v>
      </c>
      <c r="P4405">
        <v>0.25686882537607919</v>
      </c>
    </row>
    <row r="4406" spans="13:16">
      <c r="M4406">
        <v>0.31727576129342366</v>
      </c>
      <c r="N4406">
        <v>0.18016513489767139</v>
      </c>
      <c r="O4406">
        <v>0.21788790483759649</v>
      </c>
      <c r="P4406">
        <v>0.28467119897130838</v>
      </c>
    </row>
    <row r="4407" spans="13:16">
      <c r="M4407">
        <v>0.29965894967824525</v>
      </c>
      <c r="N4407">
        <v>0.16845170366566051</v>
      </c>
      <c r="O4407">
        <v>0.28049169034413068</v>
      </c>
      <c r="P4407">
        <v>0.25139765631196365</v>
      </c>
    </row>
    <row r="4408" spans="13:16">
      <c r="M4408">
        <v>0.29205368873474918</v>
      </c>
      <c r="N4408">
        <v>0.19327368652505414</v>
      </c>
      <c r="O4408">
        <v>0.25594365379626394</v>
      </c>
      <c r="P4408">
        <v>0.25872897094393288</v>
      </c>
    </row>
    <row r="4409" spans="13:16">
      <c r="M4409">
        <v>0.27655149669665524</v>
      </c>
      <c r="N4409">
        <v>0.20943221888456803</v>
      </c>
      <c r="O4409">
        <v>0.23839722507796898</v>
      </c>
      <c r="P4409">
        <v>0.27561905934080766</v>
      </c>
    </row>
    <row r="4410" spans="13:16">
      <c r="M4410">
        <v>0.29238982111094591</v>
      </c>
      <c r="N4410">
        <v>0.19228979456345516</v>
      </c>
      <c r="O4410">
        <v>0.24955845571482885</v>
      </c>
      <c r="P4410">
        <v>0.26576192861077008</v>
      </c>
    </row>
    <row r="4411" spans="13:16">
      <c r="M4411">
        <v>0.26501536128184511</v>
      </c>
      <c r="N4411">
        <v>0.18772316990438051</v>
      </c>
      <c r="O4411">
        <v>0.28987591636384208</v>
      </c>
      <c r="P4411">
        <v>0.25738555244993239</v>
      </c>
    </row>
    <row r="4412" spans="13:16">
      <c r="M4412">
        <v>0.30622534519119321</v>
      </c>
      <c r="N4412">
        <v>0.18094279819782347</v>
      </c>
      <c r="O4412">
        <v>0.25492775414292673</v>
      </c>
      <c r="P4412">
        <v>0.25790410246805662</v>
      </c>
    </row>
    <row r="4413" spans="13:16">
      <c r="M4413">
        <v>0.26007608792472187</v>
      </c>
      <c r="N4413">
        <v>0.20302418216592488</v>
      </c>
      <c r="O4413">
        <v>0.26672430294444904</v>
      </c>
      <c r="P4413">
        <v>0.27017542696490426</v>
      </c>
    </row>
    <row r="4414" spans="13:16">
      <c r="M4414">
        <v>0.29901528794475635</v>
      </c>
      <c r="N4414">
        <v>0.18984043108469439</v>
      </c>
      <c r="O4414">
        <v>0.2640575488432228</v>
      </c>
      <c r="P4414">
        <v>0.24708673212732651</v>
      </c>
    </row>
    <row r="4415" spans="13:16">
      <c r="M4415">
        <v>0.30787705579157504</v>
      </c>
      <c r="N4415">
        <v>0.17186634986300375</v>
      </c>
      <c r="O4415">
        <v>0.25832036126529412</v>
      </c>
      <c r="P4415">
        <v>0.26193623308012703</v>
      </c>
    </row>
    <row r="4416" spans="13:16">
      <c r="M4416">
        <v>0.29336306945694091</v>
      </c>
      <c r="N4416">
        <v>0.19186295212387178</v>
      </c>
      <c r="O4416">
        <v>0.21910874662705776</v>
      </c>
      <c r="P4416">
        <v>0.29566523179212967</v>
      </c>
    </row>
    <row r="4417" spans="13:16">
      <c r="M4417">
        <v>0.29019381365213848</v>
      </c>
      <c r="N4417">
        <v>0.21308065218187713</v>
      </c>
      <c r="O4417">
        <v>0.2274900710798107</v>
      </c>
      <c r="P4417">
        <v>0.26923546308617358</v>
      </c>
    </row>
    <row r="4418" spans="13:16">
      <c r="M4418">
        <v>0.28324309097893674</v>
      </c>
      <c r="N4418">
        <v>0.17663123663190508</v>
      </c>
      <c r="O4418">
        <v>0.25444804261736531</v>
      </c>
      <c r="P4418">
        <v>0.2856776297717929</v>
      </c>
    </row>
    <row r="4419" spans="13:16">
      <c r="M4419">
        <v>0.30326283479260513</v>
      </c>
      <c r="N4419">
        <v>0.17938424373662015</v>
      </c>
      <c r="O4419">
        <v>0.25229338730857992</v>
      </c>
      <c r="P4419">
        <v>0.2650595341621948</v>
      </c>
    </row>
    <row r="4420" spans="13:16">
      <c r="M4420">
        <v>0.28470731442792568</v>
      </c>
      <c r="N4420">
        <v>0.18119803603635573</v>
      </c>
      <c r="O4420">
        <v>0.26872334541753595</v>
      </c>
      <c r="P4420">
        <v>0.26537130411818255</v>
      </c>
    </row>
    <row r="4421" spans="13:16">
      <c r="M4421">
        <v>0.30214698354783598</v>
      </c>
      <c r="N4421">
        <v>0.18119075710452959</v>
      </c>
      <c r="O4421">
        <v>0.25374822928780599</v>
      </c>
      <c r="P4421">
        <v>0.26291403005982861</v>
      </c>
    </row>
    <row r="4422" spans="13:16">
      <c r="M4422">
        <v>0.27484842791751207</v>
      </c>
      <c r="N4422">
        <v>0.17719204653739901</v>
      </c>
      <c r="O4422">
        <v>0.27585170049755164</v>
      </c>
      <c r="P4422">
        <v>0.27210782504753733</v>
      </c>
    </row>
    <row r="4423" spans="13:16">
      <c r="M4423">
        <v>0.26815916682220314</v>
      </c>
      <c r="N4423">
        <v>0.19836180771953124</v>
      </c>
      <c r="O4423">
        <v>0.26042828743102775</v>
      </c>
      <c r="P4423">
        <v>0.27305073802723784</v>
      </c>
    </row>
    <row r="4424" spans="13:16">
      <c r="M4424">
        <v>0.31093935695179997</v>
      </c>
      <c r="N4424">
        <v>0.17874950556210406</v>
      </c>
      <c r="O4424">
        <v>0.24385977039127996</v>
      </c>
      <c r="P4424">
        <v>0.26645136709481598</v>
      </c>
    </row>
    <row r="4425" spans="13:16">
      <c r="M4425">
        <v>0.29351317630626766</v>
      </c>
      <c r="N4425">
        <v>0.19611048753078886</v>
      </c>
      <c r="O4425">
        <v>0.24267223877709421</v>
      </c>
      <c r="P4425">
        <v>0.26770409738584916</v>
      </c>
    </row>
    <row r="4426" spans="13:16">
      <c r="M4426">
        <v>0.31745936571543953</v>
      </c>
      <c r="N4426">
        <v>0.19447829643469144</v>
      </c>
      <c r="O4426">
        <v>0.22030250754334413</v>
      </c>
      <c r="P4426">
        <v>0.267759830306525</v>
      </c>
    </row>
    <row r="4427" spans="13:16">
      <c r="M4427">
        <v>0.32052679485920632</v>
      </c>
      <c r="N4427">
        <v>0.18075822387094895</v>
      </c>
      <c r="O4427">
        <v>0.22727264896742583</v>
      </c>
      <c r="P4427">
        <v>0.27144233230241888</v>
      </c>
    </row>
    <row r="4428" spans="13:16">
      <c r="M4428">
        <v>0.28108437004313352</v>
      </c>
      <c r="N4428">
        <v>0.1963661170738103</v>
      </c>
      <c r="O4428">
        <v>0.25314137105405604</v>
      </c>
      <c r="P4428">
        <v>0.26940814182900014</v>
      </c>
    </row>
    <row r="4429" spans="13:16">
      <c r="M4429">
        <v>0.25800316787376698</v>
      </c>
      <c r="N4429">
        <v>0.20260019979505661</v>
      </c>
      <c r="O4429">
        <v>0.27084437478123197</v>
      </c>
      <c r="P4429">
        <v>0.26855225754994438</v>
      </c>
    </row>
    <row r="4430" spans="13:16">
      <c r="M4430">
        <v>0.26133527688653185</v>
      </c>
      <c r="N4430">
        <v>0.18741540768839932</v>
      </c>
      <c r="O4430">
        <v>0.28623141290583659</v>
      </c>
      <c r="P4430">
        <v>0.2650179025192323</v>
      </c>
    </row>
    <row r="4431" spans="13:16">
      <c r="M4431">
        <v>0.27314949998994092</v>
      </c>
      <c r="N4431">
        <v>0.18515205248193295</v>
      </c>
      <c r="O4431">
        <v>0.28097487619820116</v>
      </c>
      <c r="P4431">
        <v>0.26072357132992502</v>
      </c>
    </row>
    <row r="4432" spans="13:16">
      <c r="M4432">
        <v>0.28867393763206345</v>
      </c>
      <c r="N4432">
        <v>0.17958059817825905</v>
      </c>
      <c r="O4432">
        <v>0.25833479596907127</v>
      </c>
      <c r="P4432">
        <v>0.27341066822060617</v>
      </c>
    </row>
    <row r="4433" spans="13:16">
      <c r="M4433">
        <v>0.28935383644083879</v>
      </c>
      <c r="N4433">
        <v>0.19952475881656997</v>
      </c>
      <c r="O4433">
        <v>0.23033211858448391</v>
      </c>
      <c r="P4433">
        <v>0.28078928615810728</v>
      </c>
    </row>
    <row r="4434" spans="13:16">
      <c r="M4434">
        <v>0.29596597367117861</v>
      </c>
      <c r="N4434">
        <v>0.17517383979799167</v>
      </c>
      <c r="O4434">
        <v>0.26353961662635605</v>
      </c>
      <c r="P4434">
        <v>0.26532056990447361</v>
      </c>
    </row>
    <row r="4435" spans="13:16">
      <c r="M4435">
        <v>0.28577787440460384</v>
      </c>
      <c r="N4435">
        <v>0.18105572458113789</v>
      </c>
      <c r="O4435">
        <v>0.28597321160757905</v>
      </c>
      <c r="P4435">
        <v>0.24719318940667925</v>
      </c>
    </row>
    <row r="4436" spans="13:16">
      <c r="M4436">
        <v>0.28290159721156538</v>
      </c>
      <c r="N4436">
        <v>0.18133988158394318</v>
      </c>
      <c r="O4436">
        <v>0.28333388462361681</v>
      </c>
      <c r="P4436">
        <v>0.25242463658087461</v>
      </c>
    </row>
    <row r="4437" spans="13:16">
      <c r="M4437">
        <v>0.30639423190938914</v>
      </c>
      <c r="N4437">
        <v>0.1783745043510821</v>
      </c>
      <c r="O4437">
        <v>0.26701992669721336</v>
      </c>
      <c r="P4437">
        <v>0.24821133704231543</v>
      </c>
    </row>
    <row r="4438" spans="13:16">
      <c r="M4438">
        <v>0.3115220037249069</v>
      </c>
      <c r="N4438">
        <v>0.16708540942726904</v>
      </c>
      <c r="O4438">
        <v>0.2668403607175262</v>
      </c>
      <c r="P4438">
        <v>0.25455222613029793</v>
      </c>
    </row>
    <row r="4439" spans="13:16">
      <c r="M4439">
        <v>0.2686152805519883</v>
      </c>
      <c r="N4439">
        <v>0.18437988331849453</v>
      </c>
      <c r="O4439">
        <v>0.28112148648665108</v>
      </c>
      <c r="P4439">
        <v>0.26588334964286592</v>
      </c>
    </row>
    <row r="4440" spans="13:16">
      <c r="M4440">
        <v>0.27607647806313884</v>
      </c>
      <c r="N4440">
        <v>0.18930383091818268</v>
      </c>
      <c r="O4440">
        <v>0.26294622072350582</v>
      </c>
      <c r="P4440">
        <v>0.27167347029517269</v>
      </c>
    </row>
    <row r="4441" spans="13:16">
      <c r="M4441">
        <v>0.28703211623416169</v>
      </c>
      <c r="N4441">
        <v>0.19577757028882722</v>
      </c>
      <c r="O4441">
        <v>0.23264629495048264</v>
      </c>
      <c r="P4441">
        <v>0.28454401852652839</v>
      </c>
    </row>
    <row r="4442" spans="13:16">
      <c r="M4442">
        <v>0.32278530185707</v>
      </c>
      <c r="N4442">
        <v>0.17292246880512852</v>
      </c>
      <c r="O4442">
        <v>0.22961409706919314</v>
      </c>
      <c r="P4442">
        <v>0.27467813226860838</v>
      </c>
    </row>
    <row r="4443" spans="13:16">
      <c r="M4443">
        <v>0.27973479262089196</v>
      </c>
      <c r="N4443">
        <v>0.19302124285952077</v>
      </c>
      <c r="O4443">
        <v>0.2519395493711773</v>
      </c>
      <c r="P4443">
        <v>0.27530441514840998</v>
      </c>
    </row>
    <row r="4444" spans="13:16">
      <c r="M4444">
        <v>0.28674777261595819</v>
      </c>
      <c r="N4444">
        <v>0.19693751239187698</v>
      </c>
      <c r="O4444">
        <v>0.24416970902350488</v>
      </c>
      <c r="P4444">
        <v>0.27214500596865987</v>
      </c>
    </row>
    <row r="4445" spans="13:16">
      <c r="M4445">
        <v>0.29512466265484383</v>
      </c>
      <c r="N4445">
        <v>0.17737713712040681</v>
      </c>
      <c r="O4445">
        <v>0.26896204059188561</v>
      </c>
      <c r="P4445">
        <v>0.25853615963286386</v>
      </c>
    </row>
    <row r="4446" spans="13:16">
      <c r="M4446">
        <v>0.29006509203242103</v>
      </c>
      <c r="N4446">
        <v>0.19528260105399275</v>
      </c>
      <c r="O4446">
        <v>0.25523462374638073</v>
      </c>
      <c r="P4446">
        <v>0.25941768316720548</v>
      </c>
    </row>
    <row r="4447" spans="13:16">
      <c r="M4447">
        <v>0.28675775664470304</v>
      </c>
      <c r="N4447">
        <v>0.19054316244293087</v>
      </c>
      <c r="O4447">
        <v>0.25738356623582048</v>
      </c>
      <c r="P4447">
        <v>0.26531551467654563</v>
      </c>
    </row>
    <row r="4448" spans="13:16">
      <c r="M4448">
        <v>0.28815302111472973</v>
      </c>
      <c r="N4448">
        <v>0.18224238630900721</v>
      </c>
      <c r="O4448">
        <v>0.26933103637125544</v>
      </c>
      <c r="P4448">
        <v>0.26027355620500753</v>
      </c>
    </row>
    <row r="4449" spans="13:16">
      <c r="M4449">
        <v>0.29477025673780954</v>
      </c>
      <c r="N4449">
        <v>0.1944026354840207</v>
      </c>
      <c r="O4449">
        <v>0.24899845437552903</v>
      </c>
      <c r="P4449">
        <v>0.26182865340264078</v>
      </c>
    </row>
    <row r="4450" spans="13:16">
      <c r="M4450">
        <v>0.29131668195814092</v>
      </c>
      <c r="N4450">
        <v>0.18530442150213369</v>
      </c>
      <c r="O4450">
        <v>0.26147226261452999</v>
      </c>
      <c r="P4450">
        <v>0.26190663392519548</v>
      </c>
    </row>
    <row r="4451" spans="13:16">
      <c r="M4451">
        <v>0.29258310403848242</v>
      </c>
      <c r="N4451">
        <v>0.1889520548720432</v>
      </c>
      <c r="O4451">
        <v>0.25266350271994642</v>
      </c>
      <c r="P4451">
        <v>0.26580133836952813</v>
      </c>
    </row>
    <row r="4452" spans="13:16">
      <c r="M4452">
        <v>0.30813567682239429</v>
      </c>
      <c r="N4452">
        <v>0.1640474743900881</v>
      </c>
      <c r="O4452">
        <v>0.27776337631963821</v>
      </c>
      <c r="P4452">
        <v>0.2500534724678794</v>
      </c>
    </row>
    <row r="4453" spans="13:16">
      <c r="M4453">
        <v>0.28040845235352585</v>
      </c>
      <c r="N4453">
        <v>0.19208209967248233</v>
      </c>
      <c r="O4453">
        <v>0.24514348943132624</v>
      </c>
      <c r="P4453">
        <v>0.2823659585426655</v>
      </c>
    </row>
    <row r="4454" spans="13:16">
      <c r="M4454">
        <v>0.29076357786559537</v>
      </c>
      <c r="N4454">
        <v>0.18033236499599947</v>
      </c>
      <c r="O4454">
        <v>0.27054547722133127</v>
      </c>
      <c r="P4454">
        <v>0.25835857991707378</v>
      </c>
    </row>
    <row r="4455" spans="13:16">
      <c r="M4455">
        <v>0.30276997225812807</v>
      </c>
      <c r="N4455">
        <v>0.17897456557963437</v>
      </c>
      <c r="O4455">
        <v>0.25738005901133254</v>
      </c>
      <c r="P4455">
        <v>0.26087540315090485</v>
      </c>
    </row>
    <row r="4456" spans="13:16">
      <c r="M4456">
        <v>0.29757251086773562</v>
      </c>
      <c r="N4456">
        <v>0.18548660437514397</v>
      </c>
      <c r="O4456">
        <v>0.25040608951932958</v>
      </c>
      <c r="P4456">
        <v>0.266534795237791</v>
      </c>
    </row>
    <row r="4457" spans="13:16">
      <c r="M4457">
        <v>0.28464780637640641</v>
      </c>
      <c r="N4457">
        <v>0.18713760386895509</v>
      </c>
      <c r="O4457">
        <v>0.24311949310078537</v>
      </c>
      <c r="P4457">
        <v>0.28509509665385308</v>
      </c>
    </row>
    <row r="4458" spans="13:16">
      <c r="M4458">
        <v>0.28800269463845363</v>
      </c>
      <c r="N4458">
        <v>0.1789012163073988</v>
      </c>
      <c r="O4458">
        <v>0.28496551254379598</v>
      </c>
      <c r="P4458">
        <v>0.2481305765103515</v>
      </c>
    </row>
    <row r="4459" spans="13:16">
      <c r="M4459">
        <v>0.30066402265868575</v>
      </c>
      <c r="N4459">
        <v>0.19340449967718418</v>
      </c>
      <c r="O4459">
        <v>0.20853810862393968</v>
      </c>
      <c r="P4459">
        <v>0.29739336904019031</v>
      </c>
    </row>
    <row r="4460" spans="13:16">
      <c r="M4460">
        <v>0.2810237355867039</v>
      </c>
      <c r="N4460">
        <v>0.1900782473890453</v>
      </c>
      <c r="O4460">
        <v>0.27137097217878964</v>
      </c>
      <c r="P4460">
        <v>0.25752704484546107</v>
      </c>
    </row>
    <row r="4461" spans="13:16">
      <c r="M4461">
        <v>0.30582497495722522</v>
      </c>
      <c r="N4461">
        <v>0.18940555113569482</v>
      </c>
      <c r="O4461">
        <v>0.23852580963579822</v>
      </c>
      <c r="P4461">
        <v>0.26624366427128182</v>
      </c>
    </row>
    <row r="4462" spans="13:16">
      <c r="M4462">
        <v>0.3216245281928215</v>
      </c>
      <c r="N4462">
        <v>0.16047911263681813</v>
      </c>
      <c r="O4462">
        <v>0.27002128863759894</v>
      </c>
      <c r="P4462">
        <v>0.24787507053276145</v>
      </c>
    </row>
    <row r="4463" spans="13:16">
      <c r="M4463">
        <v>0.25927745727594226</v>
      </c>
      <c r="N4463">
        <v>0.18321693630341654</v>
      </c>
      <c r="O4463">
        <v>0.2997845626107119</v>
      </c>
      <c r="P4463">
        <v>0.25772104380992922</v>
      </c>
    </row>
    <row r="4464" spans="13:16">
      <c r="M4464">
        <v>0.27163947432184515</v>
      </c>
      <c r="N4464">
        <v>0.19525170635702654</v>
      </c>
      <c r="O4464">
        <v>0.2513678295002813</v>
      </c>
      <c r="P4464">
        <v>0.28174098982084694</v>
      </c>
    </row>
    <row r="4465" spans="13:16">
      <c r="M4465">
        <v>0.31205645912541091</v>
      </c>
      <c r="N4465">
        <v>0.18443491271399007</v>
      </c>
      <c r="O4465">
        <v>0.25084389310613958</v>
      </c>
      <c r="P4465">
        <v>0.25266473505445947</v>
      </c>
    </row>
    <row r="4466" spans="13:16">
      <c r="M4466">
        <v>0.2969739625642594</v>
      </c>
      <c r="N4466">
        <v>0.19071996443807548</v>
      </c>
      <c r="O4466">
        <v>0.25716736602072804</v>
      </c>
      <c r="P4466">
        <v>0.25513870697693719</v>
      </c>
    </row>
    <row r="4467" spans="13:16">
      <c r="M4467">
        <v>0.26996932829180809</v>
      </c>
      <c r="N4467">
        <v>0.19757496756247406</v>
      </c>
      <c r="O4467">
        <v>0.27190698484411985</v>
      </c>
      <c r="P4467">
        <v>0.26054871930159784</v>
      </c>
    </row>
    <row r="4468" spans="13:16">
      <c r="M4468">
        <v>0.30042112517422831</v>
      </c>
      <c r="N4468">
        <v>0.18936280662295094</v>
      </c>
      <c r="O4468">
        <v>0.24685494737411959</v>
      </c>
      <c r="P4468">
        <v>0.26336112082870117</v>
      </c>
    </row>
    <row r="4469" spans="13:16">
      <c r="M4469">
        <v>0.28676916604061209</v>
      </c>
      <c r="N4469">
        <v>0.18467153378357176</v>
      </c>
      <c r="O4469">
        <v>0.25467818336575881</v>
      </c>
      <c r="P4469">
        <v>0.27388111681005739</v>
      </c>
    </row>
    <row r="4470" spans="13:16">
      <c r="M4470">
        <v>0.32042691725156414</v>
      </c>
      <c r="N4470">
        <v>0.16637022808634533</v>
      </c>
      <c r="O4470">
        <v>0.25860065159792378</v>
      </c>
      <c r="P4470">
        <v>0.2546022030641667</v>
      </c>
    </row>
    <row r="4471" spans="13:16">
      <c r="M4471">
        <v>0.3152796019259565</v>
      </c>
      <c r="N4471">
        <v>0.20214867257501706</v>
      </c>
      <c r="O4471">
        <v>0.22459578518250675</v>
      </c>
      <c r="P4471">
        <v>0.25797594031651971</v>
      </c>
    </row>
    <row r="4472" spans="13:16">
      <c r="M4472">
        <v>0.283390296571289</v>
      </c>
      <c r="N4472">
        <v>0.19089339514914372</v>
      </c>
      <c r="O4472">
        <v>0.2695480743652563</v>
      </c>
      <c r="P4472">
        <v>0.25616823391431098</v>
      </c>
    </row>
    <row r="4473" spans="13:16">
      <c r="M4473">
        <v>0.28020996724295189</v>
      </c>
      <c r="N4473">
        <v>0.1937238274919624</v>
      </c>
      <c r="O4473">
        <v>0.24382973653322365</v>
      </c>
      <c r="P4473">
        <v>0.28223646873186214</v>
      </c>
    </row>
    <row r="4474" spans="13:16">
      <c r="M4474">
        <v>0.2966194652309484</v>
      </c>
      <c r="N4474">
        <v>0.18037733190335403</v>
      </c>
      <c r="O4474">
        <v>0.27689569056297086</v>
      </c>
      <c r="P4474">
        <v>0.24610751230272673</v>
      </c>
    </row>
    <row r="4475" spans="13:16">
      <c r="M4475">
        <v>0.30976552932115592</v>
      </c>
      <c r="N4475">
        <v>0.17720970664700159</v>
      </c>
      <c r="O4475">
        <v>0.25530666497159799</v>
      </c>
      <c r="P4475">
        <v>0.25771809906024445</v>
      </c>
    </row>
    <row r="4476" spans="13:16">
      <c r="M4476">
        <v>0.30814345583492792</v>
      </c>
      <c r="N4476">
        <v>0.16919056988334971</v>
      </c>
      <c r="O4476">
        <v>0.26165712752183701</v>
      </c>
      <c r="P4476">
        <v>0.26100884675988539</v>
      </c>
    </row>
    <row r="4477" spans="13:16">
      <c r="M4477">
        <v>0.28928767287315649</v>
      </c>
      <c r="N4477">
        <v>0.17247209093527149</v>
      </c>
      <c r="O4477">
        <v>0.27262326329300729</v>
      </c>
      <c r="P4477">
        <v>0.26561697289856473</v>
      </c>
    </row>
    <row r="4478" spans="13:16">
      <c r="M4478">
        <v>0.2738646761326391</v>
      </c>
      <c r="N4478">
        <v>0.19962897194042709</v>
      </c>
      <c r="O4478">
        <v>0.24827342958520818</v>
      </c>
      <c r="P4478">
        <v>0.2782329223417257</v>
      </c>
    </row>
    <row r="4479" spans="13:16">
      <c r="M4479">
        <v>0.31470790187566666</v>
      </c>
      <c r="N4479">
        <v>0.18155207433846071</v>
      </c>
      <c r="O4479">
        <v>0.22515737000823804</v>
      </c>
      <c r="P4479">
        <v>0.27858265377763469</v>
      </c>
    </row>
    <row r="4480" spans="13:16">
      <c r="M4480">
        <v>0.3039761217532983</v>
      </c>
      <c r="N4480">
        <v>0.17742830238141141</v>
      </c>
      <c r="O4480">
        <v>0.24256290632794619</v>
      </c>
      <c r="P4480">
        <v>0.27603266953734412</v>
      </c>
    </row>
    <row r="4481" spans="13:16">
      <c r="M4481">
        <v>0.32353766518298632</v>
      </c>
      <c r="N4481">
        <v>0.17045486665372367</v>
      </c>
      <c r="O4481">
        <v>0.246229163057093</v>
      </c>
      <c r="P4481">
        <v>0.25977830510619709</v>
      </c>
    </row>
    <row r="4482" spans="13:16">
      <c r="M4482">
        <v>0.2929731736337382</v>
      </c>
      <c r="N4482">
        <v>0.18362572909732627</v>
      </c>
      <c r="O4482">
        <v>0.25374367926757241</v>
      </c>
      <c r="P4482">
        <v>0.26965741800136311</v>
      </c>
    </row>
    <row r="4483" spans="13:16">
      <c r="M4483">
        <v>0.29785436638615193</v>
      </c>
      <c r="N4483">
        <v>0.17474395814263324</v>
      </c>
      <c r="O4483">
        <v>0.28690284456091014</v>
      </c>
      <c r="P4483">
        <v>0.24049883091030469</v>
      </c>
    </row>
    <row r="4484" spans="13:16">
      <c r="M4484">
        <v>0.28795626588571693</v>
      </c>
      <c r="N4484">
        <v>0.18194617820166017</v>
      </c>
      <c r="O4484">
        <v>0.26592057991213375</v>
      </c>
      <c r="P4484">
        <v>0.26417697600048906</v>
      </c>
    </row>
    <row r="4485" spans="13:16">
      <c r="M4485">
        <v>0.28300145926282494</v>
      </c>
      <c r="N4485">
        <v>0.19573172450585219</v>
      </c>
      <c r="O4485">
        <v>0.25610288291639716</v>
      </c>
      <c r="P4485">
        <v>0.26516393331492571</v>
      </c>
    </row>
    <row r="4486" spans="13:16">
      <c r="M4486">
        <v>0.2706666282996672</v>
      </c>
      <c r="N4486">
        <v>0.19647485808597243</v>
      </c>
      <c r="O4486">
        <v>0.27352386565780779</v>
      </c>
      <c r="P4486">
        <v>0.25933464795655248</v>
      </c>
    </row>
    <row r="4487" spans="13:16">
      <c r="M4487">
        <v>0.30651833983648025</v>
      </c>
      <c r="N4487">
        <v>0.18176370270891803</v>
      </c>
      <c r="O4487">
        <v>0.23683729318379043</v>
      </c>
      <c r="P4487">
        <v>0.27488066427081126</v>
      </c>
    </row>
    <row r="4488" spans="13:16">
      <c r="M4488">
        <v>0.26982114356663056</v>
      </c>
      <c r="N4488">
        <v>0.17607989786802991</v>
      </c>
      <c r="O4488">
        <v>0.28945136955679041</v>
      </c>
      <c r="P4488">
        <v>0.26464758900854907</v>
      </c>
    </row>
    <row r="4489" spans="13:16">
      <c r="M4489">
        <v>0.28210249658467768</v>
      </c>
      <c r="N4489">
        <v>0.17581126352848231</v>
      </c>
      <c r="O4489">
        <v>0.28376139549217511</v>
      </c>
      <c r="P4489">
        <v>0.2583248443946648</v>
      </c>
    </row>
    <row r="4490" spans="13:16">
      <c r="M4490">
        <v>0.2959696523133904</v>
      </c>
      <c r="N4490">
        <v>0.17856964109950185</v>
      </c>
      <c r="O4490">
        <v>0.27957108152626892</v>
      </c>
      <c r="P4490">
        <v>0.24588962506083878</v>
      </c>
    </row>
    <row r="4491" spans="13:16">
      <c r="M4491">
        <v>0.27955808764832019</v>
      </c>
      <c r="N4491">
        <v>0.2005665510672453</v>
      </c>
      <c r="O4491">
        <v>0.24469869259017829</v>
      </c>
      <c r="P4491">
        <v>0.27517666869425617</v>
      </c>
    </row>
    <row r="4492" spans="13:16">
      <c r="M4492">
        <v>0.30002035513381436</v>
      </c>
      <c r="N4492">
        <v>0.18560013373078846</v>
      </c>
      <c r="O4492">
        <v>0.2204784791275464</v>
      </c>
      <c r="P4492">
        <v>0.29390103200785067</v>
      </c>
    </row>
    <row r="4493" spans="13:16">
      <c r="M4493">
        <v>0.3153048163158601</v>
      </c>
      <c r="N4493">
        <v>0.16655556661480456</v>
      </c>
      <c r="O4493">
        <v>0.28831346797549767</v>
      </c>
      <c r="P4493">
        <v>0.22982614909383767</v>
      </c>
    </row>
    <row r="4494" spans="13:16">
      <c r="M4494">
        <v>0.27068802138493581</v>
      </c>
      <c r="N4494">
        <v>0.18378812947379683</v>
      </c>
      <c r="O4494">
        <v>0.28144021203277581</v>
      </c>
      <c r="P4494">
        <v>0.2640836371084917</v>
      </c>
    </row>
    <row r="4495" spans="13:16">
      <c r="M4495">
        <v>0.30653097868893803</v>
      </c>
      <c r="N4495">
        <v>0.17507316281651406</v>
      </c>
      <c r="O4495">
        <v>0.27818412090599637</v>
      </c>
      <c r="P4495">
        <v>0.24021173758855144</v>
      </c>
    </row>
    <row r="4496" spans="13:16">
      <c r="M4496">
        <v>0.32423183576454906</v>
      </c>
      <c r="N4496">
        <v>0.17379532154976005</v>
      </c>
      <c r="O4496">
        <v>0.23447189215622308</v>
      </c>
      <c r="P4496">
        <v>0.26750095052946787</v>
      </c>
    </row>
    <row r="4497" spans="13:16">
      <c r="M4497">
        <v>0.28873412449373281</v>
      </c>
      <c r="N4497">
        <v>0.19134401246218549</v>
      </c>
      <c r="O4497">
        <v>0.25636939841967332</v>
      </c>
      <c r="P4497">
        <v>0.2635524646244084</v>
      </c>
    </row>
    <row r="4498" spans="13:16">
      <c r="M4498">
        <v>0.30006885066951555</v>
      </c>
      <c r="N4498">
        <v>0.1917823386710707</v>
      </c>
      <c r="O4498">
        <v>0.24762468625581105</v>
      </c>
      <c r="P4498">
        <v>0.26052412440360267</v>
      </c>
    </row>
    <row r="4499" spans="13:16">
      <c r="M4499">
        <v>0.2878942212267776</v>
      </c>
      <c r="N4499">
        <v>0.17826106878828701</v>
      </c>
      <c r="O4499">
        <v>0.25770641218298773</v>
      </c>
      <c r="P4499">
        <v>0.27613829780194776</v>
      </c>
    </row>
    <row r="4500" spans="13:16">
      <c r="M4500">
        <v>0.30231706724971469</v>
      </c>
      <c r="N4500">
        <v>0.17367856985525348</v>
      </c>
      <c r="O4500">
        <v>0.27233915589964547</v>
      </c>
      <c r="P4500">
        <v>0.25166520699538636</v>
      </c>
    </row>
    <row r="4501" spans="13:16">
      <c r="M4501">
        <v>0.3032738727626898</v>
      </c>
      <c r="N4501">
        <v>0.20161891686481165</v>
      </c>
      <c r="O4501">
        <v>0.24414689742712872</v>
      </c>
      <c r="P4501">
        <v>0.25096031294536986</v>
      </c>
    </row>
    <row r="4502" spans="13:16">
      <c r="M4502">
        <v>0.28013896990341258</v>
      </c>
      <c r="N4502">
        <v>0.17533906080538486</v>
      </c>
      <c r="O4502">
        <v>0.26926801177483867</v>
      </c>
      <c r="P4502">
        <v>0.27525395751636389</v>
      </c>
    </row>
    <row r="4503" spans="13:16">
      <c r="M4503">
        <v>0.26792155448298904</v>
      </c>
      <c r="N4503">
        <v>0.18465140166668559</v>
      </c>
      <c r="O4503">
        <v>0.26963403857500157</v>
      </c>
      <c r="P4503">
        <v>0.27779300527532369</v>
      </c>
    </row>
    <row r="4504" spans="13:16">
      <c r="M4504">
        <v>0.25805637885886001</v>
      </c>
      <c r="N4504">
        <v>0.19921811301882117</v>
      </c>
      <c r="O4504">
        <v>0.2767765128199729</v>
      </c>
      <c r="P4504">
        <v>0.26594899530234589</v>
      </c>
    </row>
    <row r="4505" spans="13:16">
      <c r="M4505">
        <v>0.26426716877284623</v>
      </c>
      <c r="N4505">
        <v>0.20704808073680489</v>
      </c>
      <c r="O4505">
        <v>0.25995802805766233</v>
      </c>
      <c r="P4505">
        <v>0.26872672243268653</v>
      </c>
    </row>
    <row r="4506" spans="13:16">
      <c r="M4506">
        <v>0.31558366618852013</v>
      </c>
      <c r="N4506">
        <v>0.18308381949887759</v>
      </c>
      <c r="O4506">
        <v>0.25095675680594259</v>
      </c>
      <c r="P4506">
        <v>0.2503757575066598</v>
      </c>
    </row>
    <row r="4507" spans="13:16">
      <c r="M4507">
        <v>0.2756730976249146</v>
      </c>
      <c r="N4507">
        <v>0.19756890419141074</v>
      </c>
      <c r="O4507">
        <v>0.25184032742633977</v>
      </c>
      <c r="P4507">
        <v>0.27491767075733475</v>
      </c>
    </row>
    <row r="4508" spans="13:16">
      <c r="M4508">
        <v>0.32517990254985324</v>
      </c>
      <c r="N4508">
        <v>0.17963197728504843</v>
      </c>
      <c r="O4508">
        <v>0.22005394058883929</v>
      </c>
      <c r="P4508">
        <v>0.27513417957625913</v>
      </c>
    </row>
    <row r="4509" spans="13:16">
      <c r="M4509">
        <v>0.28058531618770305</v>
      </c>
      <c r="N4509">
        <v>0.1809457540284457</v>
      </c>
      <c r="O4509">
        <v>0.2749253943068064</v>
      </c>
      <c r="P4509">
        <v>0.26354353547704473</v>
      </c>
    </row>
    <row r="4510" spans="13:16">
      <c r="M4510">
        <v>0.26733932145489447</v>
      </c>
      <c r="N4510">
        <v>0.19032579028914698</v>
      </c>
      <c r="O4510">
        <v>0.27591023803919662</v>
      </c>
      <c r="P4510">
        <v>0.26642465021676193</v>
      </c>
    </row>
    <row r="4511" spans="13:16">
      <c r="M4511">
        <v>0.29153669693375445</v>
      </c>
      <c r="N4511">
        <v>0.20779158732661529</v>
      </c>
      <c r="O4511">
        <v>0.22630167776501114</v>
      </c>
      <c r="P4511">
        <v>0.27437003797461917</v>
      </c>
    </row>
    <row r="4512" spans="13:16">
      <c r="M4512">
        <v>0.28903237012483357</v>
      </c>
      <c r="N4512">
        <v>0.19729399803447009</v>
      </c>
      <c r="O4512">
        <v>0.24189125534955541</v>
      </c>
      <c r="P4512">
        <v>0.27178237649114095</v>
      </c>
    </row>
    <row r="4513" spans="13:16">
      <c r="M4513">
        <v>0.27413387401020928</v>
      </c>
      <c r="N4513">
        <v>0.19377219426537726</v>
      </c>
      <c r="O4513">
        <v>0.25364046808919305</v>
      </c>
      <c r="P4513">
        <v>0.27845346363522044</v>
      </c>
    </row>
    <row r="4514" spans="13:16">
      <c r="M4514">
        <v>0.29639489995706442</v>
      </c>
      <c r="N4514">
        <v>0.2001520394934469</v>
      </c>
      <c r="O4514">
        <v>0.2511680404229642</v>
      </c>
      <c r="P4514">
        <v>0.25228502012652448</v>
      </c>
    </row>
    <row r="4515" spans="13:16">
      <c r="M4515">
        <v>0.28565491419469224</v>
      </c>
      <c r="N4515">
        <v>0.18900260558232859</v>
      </c>
      <c r="O4515">
        <v>0.25289400332510242</v>
      </c>
      <c r="P4515">
        <v>0.27244847689787666</v>
      </c>
    </row>
    <row r="4516" spans="13:16">
      <c r="M4516">
        <v>0.27623555912558012</v>
      </c>
      <c r="N4516">
        <v>0.18394142472631766</v>
      </c>
      <c r="O4516">
        <v>0.26795073720043383</v>
      </c>
      <c r="P4516">
        <v>0.2718722789476683</v>
      </c>
    </row>
    <row r="4517" spans="13:16">
      <c r="M4517">
        <v>0.29188480554136753</v>
      </c>
      <c r="N4517">
        <v>0.19039477570705951</v>
      </c>
      <c r="O4517">
        <v>0.26853004629748856</v>
      </c>
      <c r="P4517">
        <v>0.24919037245408443</v>
      </c>
    </row>
    <row r="4518" spans="13:16">
      <c r="M4518">
        <v>0.27704703798924069</v>
      </c>
      <c r="N4518">
        <v>0.18234465323936497</v>
      </c>
      <c r="O4518">
        <v>0.27555756558657568</v>
      </c>
      <c r="P4518">
        <v>0.26505074318481864</v>
      </c>
    </row>
    <row r="4519" spans="13:16">
      <c r="M4519">
        <v>0.30007802065599809</v>
      </c>
      <c r="N4519">
        <v>0.1794943914885197</v>
      </c>
      <c r="O4519">
        <v>0.24801538492025607</v>
      </c>
      <c r="P4519">
        <v>0.27241220293522606</v>
      </c>
    </row>
    <row r="4520" spans="13:16">
      <c r="M4520">
        <v>0.29063268501867701</v>
      </c>
      <c r="N4520">
        <v>0.19124745626527895</v>
      </c>
      <c r="O4520">
        <v>0.25391040052754799</v>
      </c>
      <c r="P4520">
        <v>0.26420945818849617</v>
      </c>
    </row>
    <row r="4521" spans="13:16">
      <c r="M4521">
        <v>0.30687783460093543</v>
      </c>
      <c r="N4521">
        <v>0.18156015009211871</v>
      </c>
      <c r="O4521">
        <v>0.26423920554384855</v>
      </c>
      <c r="P4521">
        <v>0.24732280976309728</v>
      </c>
    </row>
    <row r="4522" spans="13:16">
      <c r="M4522">
        <v>0.3154456328415568</v>
      </c>
      <c r="N4522">
        <v>0.16533476886662668</v>
      </c>
      <c r="O4522">
        <v>0.26053159109469798</v>
      </c>
      <c r="P4522">
        <v>0.25868800719711854</v>
      </c>
    </row>
    <row r="4523" spans="13:16">
      <c r="M4523">
        <v>0.29644411626474387</v>
      </c>
      <c r="N4523">
        <v>0.20181782912102963</v>
      </c>
      <c r="O4523">
        <v>0.21009277927358613</v>
      </c>
      <c r="P4523">
        <v>0.29164527534064039</v>
      </c>
    </row>
    <row r="4524" spans="13:16">
      <c r="M4524">
        <v>0.32890071460356096</v>
      </c>
      <c r="N4524">
        <v>0.16821806338697193</v>
      </c>
      <c r="O4524">
        <v>0.23401486413812916</v>
      </c>
      <c r="P4524">
        <v>0.26886635787133806</v>
      </c>
    </row>
    <row r="4525" spans="13:16">
      <c r="M4525">
        <v>0.28709896190121864</v>
      </c>
      <c r="N4525">
        <v>0.18658426420715413</v>
      </c>
      <c r="O4525">
        <v>0.25489189823776326</v>
      </c>
      <c r="P4525">
        <v>0.27142487565386397</v>
      </c>
    </row>
    <row r="4526" spans="13:16">
      <c r="M4526">
        <v>0.28597111451918994</v>
      </c>
      <c r="N4526">
        <v>0.17994193788175267</v>
      </c>
      <c r="O4526">
        <v>0.27316252937791702</v>
      </c>
      <c r="P4526">
        <v>0.26092441822114049</v>
      </c>
    </row>
    <row r="4527" spans="13:16">
      <c r="M4527">
        <v>0.30599068805148089</v>
      </c>
      <c r="N4527">
        <v>0.19799146445676724</v>
      </c>
      <c r="O4527">
        <v>0.21582114714462905</v>
      </c>
      <c r="P4527">
        <v>0.28019670034712268</v>
      </c>
    </row>
    <row r="4528" spans="13:16">
      <c r="M4528">
        <v>0.28559612589340044</v>
      </c>
      <c r="N4528">
        <v>0.19475741691248322</v>
      </c>
      <c r="O4528">
        <v>0.26081799209918133</v>
      </c>
      <c r="P4528">
        <v>0.25882846509493507</v>
      </c>
    </row>
    <row r="4529" spans="13:16">
      <c r="M4529">
        <v>0.29298368543338993</v>
      </c>
      <c r="N4529">
        <v>0.1950316985356372</v>
      </c>
      <c r="O4529">
        <v>0.23918628101245135</v>
      </c>
      <c r="P4529">
        <v>0.27279833501852147</v>
      </c>
    </row>
    <row r="4530" spans="13:16">
      <c r="M4530">
        <v>0.2744192205226163</v>
      </c>
      <c r="N4530">
        <v>0.18876153571056906</v>
      </c>
      <c r="O4530">
        <v>0.28466254799830104</v>
      </c>
      <c r="P4530">
        <v>0.25215669576851352</v>
      </c>
    </row>
    <row r="4531" spans="13:16">
      <c r="M4531">
        <v>0.28045525359692336</v>
      </c>
      <c r="N4531">
        <v>0.18573441334656124</v>
      </c>
      <c r="O4531">
        <v>0.27336403715236574</v>
      </c>
      <c r="P4531">
        <v>0.26044629590414964</v>
      </c>
    </row>
    <row r="4532" spans="13:16">
      <c r="M4532">
        <v>0.31219921848059312</v>
      </c>
      <c r="N4532">
        <v>0.16890132245748993</v>
      </c>
      <c r="O4532">
        <v>0.27314946495385856</v>
      </c>
      <c r="P4532">
        <v>0.24574999410805842</v>
      </c>
    </row>
    <row r="4533" spans="13:16">
      <c r="M4533">
        <v>0.31815551850458085</v>
      </c>
      <c r="N4533">
        <v>0.17676192489920498</v>
      </c>
      <c r="O4533">
        <v>0.26329773546372359</v>
      </c>
      <c r="P4533">
        <v>0.24178482113249061</v>
      </c>
    </row>
    <row r="4534" spans="13:16">
      <c r="M4534">
        <v>0.28661417095466291</v>
      </c>
      <c r="N4534">
        <v>0.19559995434340643</v>
      </c>
      <c r="O4534">
        <v>0.24113272707595984</v>
      </c>
      <c r="P4534">
        <v>0.27665314762597093</v>
      </c>
    </row>
    <row r="4535" spans="13:16">
      <c r="M4535">
        <v>0.26672186887671917</v>
      </c>
      <c r="N4535">
        <v>0.19025028404303632</v>
      </c>
      <c r="O4535">
        <v>0.28063883411547769</v>
      </c>
      <c r="P4535">
        <v>0.2623890129647668</v>
      </c>
    </row>
    <row r="4536" spans="13:16">
      <c r="M4536">
        <v>0.29771203163326709</v>
      </c>
      <c r="N4536">
        <v>0.20168494041866666</v>
      </c>
      <c r="O4536">
        <v>0.23739005854708628</v>
      </c>
      <c r="P4536">
        <v>0.2632129694009801</v>
      </c>
    </row>
    <row r="4537" spans="13:16">
      <c r="M4537">
        <v>0.28520238432797046</v>
      </c>
      <c r="N4537">
        <v>0.19327856909260369</v>
      </c>
      <c r="O4537">
        <v>0.27368937486393119</v>
      </c>
      <c r="P4537">
        <v>0.24782967171549466</v>
      </c>
    </row>
    <row r="4538" spans="13:16">
      <c r="M4538">
        <v>0.27795215453828126</v>
      </c>
      <c r="N4538">
        <v>0.19964296389258168</v>
      </c>
      <c r="O4538">
        <v>0.24805356598076447</v>
      </c>
      <c r="P4538">
        <v>0.27435131558837261</v>
      </c>
    </row>
    <row r="4539" spans="13:16">
      <c r="M4539">
        <v>0.26866523387763547</v>
      </c>
      <c r="N4539">
        <v>0.19861486808947934</v>
      </c>
      <c r="O4539">
        <v>0.26790148580092199</v>
      </c>
      <c r="P4539">
        <v>0.26481841223196306</v>
      </c>
    </row>
    <row r="4540" spans="13:16">
      <c r="M4540">
        <v>0.26797531886631681</v>
      </c>
      <c r="N4540">
        <v>0.19082882175221241</v>
      </c>
      <c r="O4540">
        <v>0.27589979578608143</v>
      </c>
      <c r="P4540">
        <v>0.26529606359538932</v>
      </c>
    </row>
    <row r="4541" spans="13:16">
      <c r="M4541">
        <v>0.30531085902295851</v>
      </c>
      <c r="N4541">
        <v>0.18699779889791582</v>
      </c>
      <c r="O4541">
        <v>0.23352738607152285</v>
      </c>
      <c r="P4541">
        <v>0.27416395600760279</v>
      </c>
    </row>
    <row r="4542" spans="13:16">
      <c r="M4542">
        <v>0.31619071947225241</v>
      </c>
      <c r="N4542">
        <v>0.17896134144932452</v>
      </c>
      <c r="O4542">
        <v>0.23733179597409693</v>
      </c>
      <c r="P4542">
        <v>0.26751614310432631</v>
      </c>
    </row>
    <row r="4543" spans="13:16">
      <c r="M4543">
        <v>0.2780491104063525</v>
      </c>
      <c r="N4543">
        <v>0.20387655477868311</v>
      </c>
      <c r="O4543">
        <v>0.25484745608476972</v>
      </c>
      <c r="P4543">
        <v>0.26322687873019479</v>
      </c>
    </row>
    <row r="4544" spans="13:16">
      <c r="M4544">
        <v>0.29055856453892015</v>
      </c>
      <c r="N4544">
        <v>0.20221750389065779</v>
      </c>
      <c r="O4544">
        <v>0.24077223326289027</v>
      </c>
      <c r="P4544">
        <v>0.26645169830753185</v>
      </c>
    </row>
    <row r="4545" spans="13:16">
      <c r="M4545">
        <v>0.27702357123403831</v>
      </c>
      <c r="N4545">
        <v>0.18572300009749068</v>
      </c>
      <c r="O4545">
        <v>0.2760038671351645</v>
      </c>
      <c r="P4545">
        <v>0.26124956153330642</v>
      </c>
    </row>
    <row r="4546" spans="13:16">
      <c r="M4546">
        <v>0.27945544311389009</v>
      </c>
      <c r="N4546">
        <v>0.17375990296158916</v>
      </c>
      <c r="O4546">
        <v>0.28598307064479445</v>
      </c>
      <c r="P4546">
        <v>0.26080158327972625</v>
      </c>
    </row>
    <row r="4547" spans="13:16">
      <c r="M4547">
        <v>0.2937161229638372</v>
      </c>
      <c r="N4547">
        <v>0.1634534782738421</v>
      </c>
      <c r="O4547">
        <v>0.29350141033875099</v>
      </c>
      <c r="P4547">
        <v>0.24932898842356971</v>
      </c>
    </row>
    <row r="4548" spans="13:16">
      <c r="M4548">
        <v>0.29172281285438278</v>
      </c>
      <c r="N4548">
        <v>0.19792848515704065</v>
      </c>
      <c r="O4548">
        <v>0.25016360860875003</v>
      </c>
      <c r="P4548">
        <v>0.26018509337982654</v>
      </c>
    </row>
    <row r="4549" spans="13:16">
      <c r="M4549">
        <v>0.282042989061215</v>
      </c>
      <c r="N4549">
        <v>0.20003863015418538</v>
      </c>
      <c r="O4549">
        <v>0.23706038168421811</v>
      </c>
      <c r="P4549">
        <v>0.28085799910038139</v>
      </c>
    </row>
    <row r="4550" spans="13:16">
      <c r="M4550">
        <v>0.29681010686216175</v>
      </c>
      <c r="N4550">
        <v>0.17195121000843369</v>
      </c>
      <c r="O4550">
        <v>0.27986502428389398</v>
      </c>
      <c r="P4550">
        <v>0.25137365884551061</v>
      </c>
    </row>
    <row r="4551" spans="13:16">
      <c r="M4551">
        <v>0.30056716987705095</v>
      </c>
      <c r="N4551">
        <v>0.19644636325968687</v>
      </c>
      <c r="O4551">
        <v>0.24702980754605322</v>
      </c>
      <c r="P4551">
        <v>0.25595665931720896</v>
      </c>
    </row>
    <row r="4552" spans="13:16">
      <c r="M4552">
        <v>0.30416310735272073</v>
      </c>
      <c r="N4552">
        <v>0.18634237767326969</v>
      </c>
      <c r="O4552">
        <v>0.24509532514684867</v>
      </c>
      <c r="P4552">
        <v>0.26439918982716082</v>
      </c>
    </row>
    <row r="4553" spans="13:16">
      <c r="M4553">
        <v>0.29933400624059364</v>
      </c>
      <c r="N4553">
        <v>0.19224146824483132</v>
      </c>
      <c r="O4553">
        <v>0.26721064859039306</v>
      </c>
      <c r="P4553">
        <v>0.24121387692418192</v>
      </c>
    </row>
    <row r="4554" spans="13:16">
      <c r="M4554">
        <v>0.27954594694587737</v>
      </c>
      <c r="N4554">
        <v>0.18837753698939128</v>
      </c>
      <c r="O4554">
        <v>0.26075431977058838</v>
      </c>
      <c r="P4554">
        <v>0.27132219629414289</v>
      </c>
    </row>
    <row r="4555" spans="13:16">
      <c r="M4555">
        <v>0.31253597865932925</v>
      </c>
      <c r="N4555">
        <v>0.18438039244278304</v>
      </c>
      <c r="O4555">
        <v>0.23939929867924761</v>
      </c>
      <c r="P4555">
        <v>0.26368433021864002</v>
      </c>
    </row>
    <row r="4556" spans="13:16">
      <c r="M4556">
        <v>0.28346452448166276</v>
      </c>
      <c r="N4556">
        <v>0.20375673249295528</v>
      </c>
      <c r="O4556">
        <v>0.24082511203681958</v>
      </c>
      <c r="P4556">
        <v>0.2719536309885624</v>
      </c>
    </row>
    <row r="4557" spans="13:16">
      <c r="M4557">
        <v>0.28894704732570842</v>
      </c>
      <c r="N4557">
        <v>0.19362231920854547</v>
      </c>
      <c r="O4557">
        <v>0.24523333034135769</v>
      </c>
      <c r="P4557">
        <v>0.2721973031243885</v>
      </c>
    </row>
    <row r="4558" spans="13:16">
      <c r="M4558">
        <v>0.31727641736352297</v>
      </c>
      <c r="N4558">
        <v>0.17160227650657833</v>
      </c>
      <c r="O4558">
        <v>0.2535129241991057</v>
      </c>
      <c r="P4558">
        <v>0.25760838193079316</v>
      </c>
    </row>
    <row r="4559" spans="13:16">
      <c r="M4559">
        <v>0.27695018189279413</v>
      </c>
      <c r="N4559">
        <v>0.19231446602176486</v>
      </c>
      <c r="O4559">
        <v>0.25566964032792955</v>
      </c>
      <c r="P4559">
        <v>0.27506571175751154</v>
      </c>
    </row>
    <row r="4560" spans="13:16">
      <c r="M4560">
        <v>0.29748392462782852</v>
      </c>
      <c r="N4560">
        <v>0.17666821909609756</v>
      </c>
      <c r="O4560">
        <v>0.27112482882119676</v>
      </c>
      <c r="P4560">
        <v>0.25472302745487724</v>
      </c>
    </row>
    <row r="4561" spans="13:16">
      <c r="M4561">
        <v>0.28494814526630435</v>
      </c>
      <c r="N4561">
        <v>0.1824985805370361</v>
      </c>
      <c r="O4561">
        <v>0.27048688406204718</v>
      </c>
      <c r="P4561">
        <v>0.26206639013461225</v>
      </c>
    </row>
    <row r="4562" spans="13:16">
      <c r="M4562">
        <v>0.2846334114412673</v>
      </c>
      <c r="N4562">
        <v>0.19261266669077851</v>
      </c>
      <c r="O4562">
        <v>0.26761395068765698</v>
      </c>
      <c r="P4562">
        <v>0.25513997118029713</v>
      </c>
    </row>
    <row r="4563" spans="13:16">
      <c r="M4563">
        <v>0.3133012702809016</v>
      </c>
      <c r="N4563">
        <v>0.18556212605613936</v>
      </c>
      <c r="O4563">
        <v>0.24408858474118225</v>
      </c>
      <c r="P4563">
        <v>0.25704801892177681</v>
      </c>
    </row>
    <row r="4564" spans="13:16">
      <c r="M4564">
        <v>0.2737220382108369</v>
      </c>
      <c r="N4564">
        <v>0.19103457879742361</v>
      </c>
      <c r="O4564">
        <v>0.25781658606107333</v>
      </c>
      <c r="P4564">
        <v>0.27742679693066619</v>
      </c>
    </row>
    <row r="4565" spans="13:16">
      <c r="M4565">
        <v>0.27139289588789844</v>
      </c>
      <c r="N4565">
        <v>0.19533950092140839</v>
      </c>
      <c r="O4565">
        <v>0.27367600035413736</v>
      </c>
      <c r="P4565">
        <v>0.25959160283655586</v>
      </c>
    </row>
    <row r="4566" spans="13:16">
      <c r="M4566">
        <v>0.28343745251643532</v>
      </c>
      <c r="N4566">
        <v>0.18395323992208815</v>
      </c>
      <c r="O4566">
        <v>0.265778893062181</v>
      </c>
      <c r="P4566">
        <v>0.2668304144992954</v>
      </c>
    </row>
    <row r="4567" spans="13:16">
      <c r="M4567">
        <v>0.27872363807663986</v>
      </c>
      <c r="N4567">
        <v>0.18522614722087502</v>
      </c>
      <c r="O4567">
        <v>0.27933792346042091</v>
      </c>
      <c r="P4567">
        <v>0.25671229124206424</v>
      </c>
    </row>
    <row r="4568" spans="13:16">
      <c r="M4568">
        <v>0.27590028158285124</v>
      </c>
      <c r="N4568">
        <v>0.19421344796768539</v>
      </c>
      <c r="O4568">
        <v>0.26643695138132595</v>
      </c>
      <c r="P4568">
        <v>0.2634493190681374</v>
      </c>
    </row>
    <row r="4569" spans="13:16">
      <c r="M4569">
        <v>0.29324177735785711</v>
      </c>
      <c r="N4569">
        <v>0.19960081956256959</v>
      </c>
      <c r="O4569">
        <v>0.2489397911283715</v>
      </c>
      <c r="P4569">
        <v>0.25821761195120185</v>
      </c>
    </row>
    <row r="4570" spans="13:16">
      <c r="M4570">
        <v>0.28011013070248003</v>
      </c>
      <c r="N4570">
        <v>0.20220150718234703</v>
      </c>
      <c r="O4570">
        <v>0.23583821157496554</v>
      </c>
      <c r="P4570">
        <v>0.28185015054020729</v>
      </c>
    </row>
    <row r="4571" spans="13:16">
      <c r="M4571">
        <v>0.29422086340720227</v>
      </c>
      <c r="N4571">
        <v>0.17688208921882703</v>
      </c>
      <c r="O4571">
        <v>0.26676569581873399</v>
      </c>
      <c r="P4571">
        <v>0.26213135155523681</v>
      </c>
    </row>
    <row r="4572" spans="13:16">
      <c r="M4572">
        <v>0.27084768176273705</v>
      </c>
      <c r="N4572">
        <v>0.20428216238019989</v>
      </c>
      <c r="O4572">
        <v>0.25943605713637841</v>
      </c>
      <c r="P4572">
        <v>0.26543409872068457</v>
      </c>
    </row>
    <row r="4573" spans="13:16">
      <c r="M4573">
        <v>0.31186093779205382</v>
      </c>
      <c r="N4573">
        <v>0.16674452093810413</v>
      </c>
      <c r="O4573">
        <v>0.25931081134948147</v>
      </c>
      <c r="P4573">
        <v>0.2620837299203605</v>
      </c>
    </row>
    <row r="4574" spans="13:16">
      <c r="M4574">
        <v>0.29963773257389853</v>
      </c>
      <c r="N4574">
        <v>0.18173025533431256</v>
      </c>
      <c r="O4574">
        <v>0.25589437943490206</v>
      </c>
      <c r="P4574">
        <v>0.26273763265688699</v>
      </c>
    </row>
    <row r="4575" spans="13:16">
      <c r="M4575">
        <v>0.30243207231737829</v>
      </c>
      <c r="N4575">
        <v>0.21166811796274948</v>
      </c>
      <c r="O4575">
        <v>0.22014986304171197</v>
      </c>
      <c r="P4575">
        <v>0.26574994667816043</v>
      </c>
    </row>
    <row r="4576" spans="13:16">
      <c r="M4576">
        <v>0.27652869232105437</v>
      </c>
      <c r="N4576">
        <v>0.19714658132746546</v>
      </c>
      <c r="O4576">
        <v>0.26416128051578963</v>
      </c>
      <c r="P4576">
        <v>0.26216344583569051</v>
      </c>
    </row>
    <row r="4577" spans="13:16">
      <c r="M4577">
        <v>0.3004862994176794</v>
      </c>
      <c r="N4577">
        <v>0.17020710562078795</v>
      </c>
      <c r="O4577">
        <v>0.27341692995961997</v>
      </c>
      <c r="P4577">
        <v>0.25588966500191268</v>
      </c>
    </row>
    <row r="4578" spans="13:16">
      <c r="M4578">
        <v>0.26976006842431249</v>
      </c>
      <c r="N4578">
        <v>0.21093005090653857</v>
      </c>
      <c r="O4578">
        <v>0.25395462582312456</v>
      </c>
      <c r="P4578">
        <v>0.2653552548460244</v>
      </c>
    </row>
    <row r="4579" spans="13:16">
      <c r="M4579">
        <v>0.28922640406687045</v>
      </c>
      <c r="N4579">
        <v>0.17372004479569456</v>
      </c>
      <c r="O4579">
        <v>0.26709978146073621</v>
      </c>
      <c r="P4579">
        <v>0.26995376967669876</v>
      </c>
    </row>
    <row r="4580" spans="13:16">
      <c r="M4580">
        <v>0.28039761973496508</v>
      </c>
      <c r="N4580">
        <v>0.18312891656547697</v>
      </c>
      <c r="O4580">
        <v>0.26423910919394422</v>
      </c>
      <c r="P4580">
        <v>0.27223435450561378</v>
      </c>
    </row>
    <row r="4581" spans="13:16">
      <c r="M4581">
        <v>0.28475153943347165</v>
      </c>
      <c r="N4581">
        <v>0.18260846582492732</v>
      </c>
      <c r="O4581">
        <v>0.26229521296327901</v>
      </c>
      <c r="P4581">
        <v>0.27034478177832216</v>
      </c>
    </row>
    <row r="4582" spans="13:16">
      <c r="M4582">
        <v>0.31747695086833672</v>
      </c>
      <c r="N4582">
        <v>0.17115195511329159</v>
      </c>
      <c r="O4582">
        <v>0.24954771936611336</v>
      </c>
      <c r="P4582">
        <v>0.26182337465225825</v>
      </c>
    </row>
    <row r="4583" spans="13:16">
      <c r="M4583">
        <v>0.30931149854181406</v>
      </c>
      <c r="N4583">
        <v>0.18220417209077108</v>
      </c>
      <c r="O4583">
        <v>0.2402014662467514</v>
      </c>
      <c r="P4583">
        <v>0.26828286312066346</v>
      </c>
    </row>
    <row r="4584" spans="13:16">
      <c r="M4584">
        <v>0.28187665249970351</v>
      </c>
      <c r="N4584">
        <v>0.19355715838387391</v>
      </c>
      <c r="O4584">
        <v>0.27020763911639056</v>
      </c>
      <c r="P4584">
        <v>0.25435855000003205</v>
      </c>
    </row>
    <row r="4585" spans="13:16">
      <c r="M4585">
        <v>0.28856295770430346</v>
      </c>
      <c r="N4585">
        <v>0.18409912283780955</v>
      </c>
      <c r="O4585">
        <v>0.24628717745745007</v>
      </c>
      <c r="P4585">
        <v>0.28105074200043689</v>
      </c>
    </row>
    <row r="4586" spans="13:16">
      <c r="M4586">
        <v>0.29004254137946517</v>
      </c>
      <c r="N4586">
        <v>0.18952728040536498</v>
      </c>
      <c r="O4586">
        <v>0.24068982155918425</v>
      </c>
      <c r="P4586">
        <v>0.27974035665598562</v>
      </c>
    </row>
    <row r="4587" spans="13:16">
      <c r="M4587">
        <v>0.29891304634297927</v>
      </c>
      <c r="N4587">
        <v>0.17720654785562204</v>
      </c>
      <c r="O4587">
        <v>0.25825236789778649</v>
      </c>
      <c r="P4587">
        <v>0.26562803790361222</v>
      </c>
    </row>
    <row r="4588" spans="13:16">
      <c r="M4588">
        <v>0.28965638947082678</v>
      </c>
      <c r="N4588">
        <v>0.19314915910707012</v>
      </c>
      <c r="O4588">
        <v>0.2607282930889997</v>
      </c>
      <c r="P4588">
        <v>0.25646615833310343</v>
      </c>
    </row>
    <row r="4589" spans="13:16">
      <c r="M4589">
        <v>0.27794689959934232</v>
      </c>
      <c r="N4589">
        <v>0.18066537528845106</v>
      </c>
      <c r="O4589">
        <v>0.27777764469877647</v>
      </c>
      <c r="P4589">
        <v>0.26361008041343004</v>
      </c>
    </row>
    <row r="4590" spans="13:16">
      <c r="M4590">
        <v>0.28171764183615994</v>
      </c>
      <c r="N4590">
        <v>0.18710281158241984</v>
      </c>
      <c r="O4590">
        <v>0.27320876984933545</v>
      </c>
      <c r="P4590">
        <v>0.25797077673208474</v>
      </c>
    </row>
    <row r="4591" spans="13:16">
      <c r="M4591">
        <v>0.33465392095548985</v>
      </c>
      <c r="N4591">
        <v>0.17230916798443482</v>
      </c>
      <c r="O4591">
        <v>0.23362439353270287</v>
      </c>
      <c r="P4591">
        <v>0.25941251752737243</v>
      </c>
    </row>
    <row r="4592" spans="13:16">
      <c r="M4592">
        <v>0.29555555506532472</v>
      </c>
      <c r="N4592">
        <v>0.19310462939534909</v>
      </c>
      <c r="O4592">
        <v>0.24745231892751668</v>
      </c>
      <c r="P4592">
        <v>0.26388749661180944</v>
      </c>
    </row>
    <row r="4593" spans="13:16">
      <c r="M4593">
        <v>0.29297682780189521</v>
      </c>
      <c r="N4593">
        <v>0.19248389798391799</v>
      </c>
      <c r="O4593">
        <v>0.24563971949620936</v>
      </c>
      <c r="P4593">
        <v>0.26889955471797744</v>
      </c>
    </row>
    <row r="4594" spans="13:16">
      <c r="M4594">
        <v>0.28661564069385448</v>
      </c>
      <c r="N4594">
        <v>0.19493458610694311</v>
      </c>
      <c r="O4594">
        <v>0.25103915187390541</v>
      </c>
      <c r="P4594">
        <v>0.26741062132529703</v>
      </c>
    </row>
    <row r="4595" spans="13:16">
      <c r="M4595">
        <v>0.31488342009190001</v>
      </c>
      <c r="N4595">
        <v>0.17222551502455094</v>
      </c>
      <c r="O4595">
        <v>0.26271332235890427</v>
      </c>
      <c r="P4595">
        <v>0.25017774252464464</v>
      </c>
    </row>
    <row r="4596" spans="13:16">
      <c r="M4596">
        <v>0.30070922973904807</v>
      </c>
      <c r="N4596">
        <v>0.18105786911565877</v>
      </c>
      <c r="O4596">
        <v>0.2647722996394134</v>
      </c>
      <c r="P4596">
        <v>0.25346060150587973</v>
      </c>
    </row>
    <row r="4597" spans="13:16">
      <c r="M4597">
        <v>0.29143471336564536</v>
      </c>
      <c r="N4597">
        <v>0.18239402576195929</v>
      </c>
      <c r="O4597">
        <v>0.24815890006846589</v>
      </c>
      <c r="P4597">
        <v>0.27801236080392944</v>
      </c>
    </row>
    <row r="4598" spans="13:16">
      <c r="M4598">
        <v>0.28348208972910721</v>
      </c>
      <c r="N4598">
        <v>0.18285246571264788</v>
      </c>
      <c r="O4598">
        <v>0.25170329029903205</v>
      </c>
      <c r="P4598">
        <v>0.28196215425921289</v>
      </c>
    </row>
    <row r="4599" spans="13:16">
      <c r="M4599">
        <v>0.28243151534513311</v>
      </c>
      <c r="N4599">
        <v>0.20066430411474029</v>
      </c>
      <c r="O4599">
        <v>0.26000276597871502</v>
      </c>
      <c r="P4599">
        <v>0.25690141456141152</v>
      </c>
    </row>
    <row r="4600" spans="13:16">
      <c r="M4600">
        <v>0.27577807070224064</v>
      </c>
      <c r="N4600">
        <v>0.1769928588317157</v>
      </c>
      <c r="O4600">
        <v>0.28761360984239814</v>
      </c>
      <c r="P4600">
        <v>0.25961546062364538</v>
      </c>
    </row>
    <row r="4601" spans="13:16">
      <c r="M4601">
        <v>0.28485802403064231</v>
      </c>
      <c r="N4601">
        <v>0.17559920787796102</v>
      </c>
      <c r="O4601">
        <v>0.29417245697331751</v>
      </c>
      <c r="P4601">
        <v>0.24537031111807911</v>
      </c>
    </row>
    <row r="4602" spans="13:16">
      <c r="M4602">
        <v>0.28831598158853367</v>
      </c>
      <c r="N4602">
        <v>0.17413709204022232</v>
      </c>
      <c r="O4602">
        <v>0.29123130059013236</v>
      </c>
      <c r="P4602">
        <v>0.24631562578111157</v>
      </c>
    </row>
    <row r="4603" spans="13:16">
      <c r="M4603">
        <v>0.27259024330415699</v>
      </c>
      <c r="N4603">
        <v>0.18572687596732948</v>
      </c>
      <c r="O4603">
        <v>0.27263975715035699</v>
      </c>
      <c r="P4603">
        <v>0.26904312357815657</v>
      </c>
    </row>
    <row r="4604" spans="13:16">
      <c r="M4604">
        <v>0.28649493783307051</v>
      </c>
      <c r="N4604">
        <v>0.17141873948042241</v>
      </c>
      <c r="O4604">
        <v>0.27902813824646971</v>
      </c>
      <c r="P4604">
        <v>0.26305818444003737</v>
      </c>
    </row>
    <row r="4605" spans="13:16">
      <c r="M4605">
        <v>0.28073343220138786</v>
      </c>
      <c r="N4605">
        <v>0.19167006596896213</v>
      </c>
      <c r="O4605">
        <v>0.27403392560577627</v>
      </c>
      <c r="P4605">
        <v>0.25356257622387374</v>
      </c>
    </row>
    <row r="4606" spans="13:16">
      <c r="M4606">
        <v>0.27124238081500029</v>
      </c>
      <c r="N4606">
        <v>0.19581038426901523</v>
      </c>
      <c r="O4606">
        <v>0.2739372484036422</v>
      </c>
      <c r="P4606">
        <v>0.25900998651234247</v>
      </c>
    </row>
    <row r="4607" spans="13:16">
      <c r="M4607">
        <v>0.28313591215673312</v>
      </c>
      <c r="N4607">
        <v>0.19198186563578615</v>
      </c>
      <c r="O4607">
        <v>0.26164149947207016</v>
      </c>
      <c r="P4607">
        <v>0.26324072273541066</v>
      </c>
    </row>
    <row r="4608" spans="13:16">
      <c r="M4608">
        <v>0.28723709524042929</v>
      </c>
      <c r="N4608">
        <v>0.18495985488896691</v>
      </c>
      <c r="O4608">
        <v>0.26200685416587866</v>
      </c>
      <c r="P4608">
        <v>0.26579619570472518</v>
      </c>
    </row>
    <row r="4609" spans="13:16">
      <c r="M4609">
        <v>0.29477734101539127</v>
      </c>
      <c r="N4609">
        <v>0.17472110311316502</v>
      </c>
      <c r="O4609">
        <v>0.27241323999826028</v>
      </c>
      <c r="P4609">
        <v>0.25808831587318337</v>
      </c>
    </row>
    <row r="4610" spans="13:16">
      <c r="M4610">
        <v>0.29644466503031841</v>
      </c>
      <c r="N4610">
        <v>0.17240814938244994</v>
      </c>
      <c r="O4610">
        <v>0.28682531947387691</v>
      </c>
      <c r="P4610">
        <v>0.24432186611335466</v>
      </c>
    </row>
    <row r="4611" spans="13:16">
      <c r="M4611">
        <v>0.2783843062226285</v>
      </c>
      <c r="N4611">
        <v>0.17407251512098634</v>
      </c>
      <c r="O4611">
        <v>0.26915010821045748</v>
      </c>
      <c r="P4611">
        <v>0.27839307044592765</v>
      </c>
    </row>
    <row r="4612" spans="13:16">
      <c r="M4612">
        <v>0.28749582804473178</v>
      </c>
      <c r="N4612">
        <v>0.20575146003899156</v>
      </c>
      <c r="O4612">
        <v>0.24856439255535612</v>
      </c>
      <c r="P4612">
        <v>0.25818831936092057</v>
      </c>
    </row>
    <row r="4613" spans="13:16">
      <c r="M4613">
        <v>0.30086430950868343</v>
      </c>
      <c r="N4613">
        <v>0.17569668454564166</v>
      </c>
      <c r="O4613">
        <v>0.2705046939154136</v>
      </c>
      <c r="P4613">
        <v>0.2529343120302614</v>
      </c>
    </row>
    <row r="4614" spans="13:16">
      <c r="M4614">
        <v>0.27760886968653192</v>
      </c>
      <c r="N4614">
        <v>0.18818550968105405</v>
      </c>
      <c r="O4614">
        <v>0.27306885036729367</v>
      </c>
      <c r="P4614">
        <v>0.26113677026512033</v>
      </c>
    </row>
    <row r="4615" spans="13:16">
      <c r="M4615">
        <v>0.28195282697046636</v>
      </c>
      <c r="N4615">
        <v>0.19924311814473447</v>
      </c>
      <c r="O4615">
        <v>0.26129294093647926</v>
      </c>
      <c r="P4615">
        <v>0.25751111394832005</v>
      </c>
    </row>
    <row r="4616" spans="13:16">
      <c r="M4616">
        <v>0.28103053356340496</v>
      </c>
      <c r="N4616">
        <v>0.17226330828154726</v>
      </c>
      <c r="O4616">
        <v>0.28417261141918887</v>
      </c>
      <c r="P4616">
        <v>0.26253354673585905</v>
      </c>
    </row>
    <row r="4617" spans="13:16">
      <c r="M4617">
        <v>0.27393024578892361</v>
      </c>
      <c r="N4617">
        <v>0.2075666801427837</v>
      </c>
      <c r="O4617">
        <v>0.24649196369022733</v>
      </c>
      <c r="P4617">
        <v>0.27201111037806541</v>
      </c>
    </row>
    <row r="4618" spans="13:16">
      <c r="M4618">
        <v>0.2915086763396767</v>
      </c>
      <c r="N4618">
        <v>0.19251358172742386</v>
      </c>
      <c r="O4618">
        <v>0.25205970607879996</v>
      </c>
      <c r="P4618">
        <v>0.26391803585409929</v>
      </c>
    </row>
    <row r="4619" spans="13:16">
      <c r="M4619">
        <v>0.3001087244658277</v>
      </c>
      <c r="N4619">
        <v>0.18974860095091992</v>
      </c>
      <c r="O4619">
        <v>0.23538265853608073</v>
      </c>
      <c r="P4619">
        <v>0.2747600160471716</v>
      </c>
    </row>
    <row r="4620" spans="13:16">
      <c r="M4620">
        <v>0.30332234926688939</v>
      </c>
      <c r="N4620">
        <v>0.18966276508722649</v>
      </c>
      <c r="O4620">
        <v>0.21539851515021535</v>
      </c>
      <c r="P4620">
        <v>0.29161637049566885</v>
      </c>
    </row>
    <row r="4621" spans="13:16">
      <c r="M4621">
        <v>0.30715598153755802</v>
      </c>
      <c r="N4621">
        <v>0.17529771661381152</v>
      </c>
      <c r="O4621">
        <v>0.25255439805450647</v>
      </c>
      <c r="P4621">
        <v>0.26499190379412391</v>
      </c>
    </row>
    <row r="4622" spans="13:16">
      <c r="M4622">
        <v>0.30978059349627124</v>
      </c>
      <c r="N4622">
        <v>0.17235364871334544</v>
      </c>
      <c r="O4622">
        <v>0.26758793194451247</v>
      </c>
      <c r="P4622">
        <v>0.25027782584587083</v>
      </c>
    </row>
    <row r="4623" spans="13:16">
      <c r="M4623">
        <v>0.28782854958911808</v>
      </c>
      <c r="N4623">
        <v>0.20058082011397818</v>
      </c>
      <c r="O4623">
        <v>0.25463451541631033</v>
      </c>
      <c r="P4623">
        <v>0.25695611488059333</v>
      </c>
    </row>
    <row r="4624" spans="13:16">
      <c r="M4624">
        <v>0.29018413960138673</v>
      </c>
      <c r="N4624">
        <v>0.20303489939710562</v>
      </c>
      <c r="O4624">
        <v>0.24643947076650249</v>
      </c>
      <c r="P4624">
        <v>0.26034149023500519</v>
      </c>
    </row>
    <row r="4625" spans="13:16">
      <c r="M4625">
        <v>0.30778261510547245</v>
      </c>
      <c r="N4625">
        <v>0.1815330195877746</v>
      </c>
      <c r="O4625">
        <v>0.23563382443649836</v>
      </c>
      <c r="P4625">
        <v>0.27505054087025455</v>
      </c>
    </row>
    <row r="4626" spans="13:16">
      <c r="M4626">
        <v>0.29140432518206238</v>
      </c>
      <c r="N4626">
        <v>0.18686402694297743</v>
      </c>
      <c r="O4626">
        <v>0.26194157756654068</v>
      </c>
      <c r="P4626">
        <v>0.25979007030841955</v>
      </c>
    </row>
    <row r="4627" spans="13:16">
      <c r="M4627">
        <v>0.30327847485493747</v>
      </c>
      <c r="N4627">
        <v>0.17183075706128581</v>
      </c>
      <c r="O4627">
        <v>0.27481626196304459</v>
      </c>
      <c r="P4627">
        <v>0.25007450612073207</v>
      </c>
    </row>
    <row r="4628" spans="13:16">
      <c r="M4628">
        <v>0.29079541311286428</v>
      </c>
      <c r="N4628">
        <v>0.20390909069674543</v>
      </c>
      <c r="O4628">
        <v>0.23781954211181622</v>
      </c>
      <c r="P4628">
        <v>0.26747595407857411</v>
      </c>
    </row>
    <row r="4629" spans="13:16">
      <c r="M4629">
        <v>0.28751938890142337</v>
      </c>
      <c r="N4629">
        <v>0.18095613689128193</v>
      </c>
      <c r="O4629">
        <v>0.28179295279726152</v>
      </c>
      <c r="P4629">
        <v>0.24973152141003313</v>
      </c>
    </row>
    <row r="4630" spans="13:16">
      <c r="M4630">
        <v>0.2830789233840536</v>
      </c>
      <c r="N4630">
        <v>0.19146950194006998</v>
      </c>
      <c r="O4630">
        <v>0.24987878480004469</v>
      </c>
      <c r="P4630">
        <v>0.27557278987583178</v>
      </c>
    </row>
    <row r="4631" spans="13:16">
      <c r="M4631">
        <v>0.29832391811115511</v>
      </c>
      <c r="N4631">
        <v>0.16895331927989074</v>
      </c>
      <c r="O4631">
        <v>0.29167093287383938</v>
      </c>
      <c r="P4631">
        <v>0.24105182973511471</v>
      </c>
    </row>
    <row r="4632" spans="13:16">
      <c r="M4632">
        <v>0.28671810592743768</v>
      </c>
      <c r="N4632">
        <v>0.19159016575780702</v>
      </c>
      <c r="O4632">
        <v>0.25691003326376</v>
      </c>
      <c r="P4632">
        <v>0.26478169505099514</v>
      </c>
    </row>
    <row r="4633" spans="13:16">
      <c r="M4633">
        <v>0.29298528851169714</v>
      </c>
      <c r="N4633">
        <v>0.18516791633376481</v>
      </c>
      <c r="O4633">
        <v>0.27600312424531626</v>
      </c>
      <c r="P4633">
        <v>0.24584367090922177</v>
      </c>
    </row>
    <row r="4634" spans="13:16">
      <c r="M4634">
        <v>0.26795388691694882</v>
      </c>
      <c r="N4634">
        <v>0.18219814031417667</v>
      </c>
      <c r="O4634">
        <v>0.2852847380476265</v>
      </c>
      <c r="P4634">
        <v>0.2645632347212481</v>
      </c>
    </row>
    <row r="4635" spans="13:16">
      <c r="M4635">
        <v>0.32150569499683401</v>
      </c>
      <c r="N4635">
        <v>0.16940293099903445</v>
      </c>
      <c r="O4635">
        <v>0.25718387443342533</v>
      </c>
      <c r="P4635">
        <v>0.25190749957070618</v>
      </c>
    </row>
    <row r="4636" spans="13:16">
      <c r="M4636">
        <v>0.28545797061938094</v>
      </c>
      <c r="N4636">
        <v>0.17071996479548113</v>
      </c>
      <c r="O4636">
        <v>0.28417423326011421</v>
      </c>
      <c r="P4636">
        <v>0.25964783132502361</v>
      </c>
    </row>
    <row r="4637" spans="13:16">
      <c r="M4637">
        <v>0.31273376243329881</v>
      </c>
      <c r="N4637">
        <v>0.15031449226065721</v>
      </c>
      <c r="O4637">
        <v>0.30436144172016877</v>
      </c>
      <c r="P4637">
        <v>0.23259030358587512</v>
      </c>
    </row>
    <row r="4638" spans="13:16">
      <c r="M4638">
        <v>0.26025037168646581</v>
      </c>
      <c r="N4638">
        <v>0.196037324485558</v>
      </c>
      <c r="O4638">
        <v>0.28306841301850277</v>
      </c>
      <c r="P4638">
        <v>0.26064389080947353</v>
      </c>
    </row>
    <row r="4639" spans="13:16">
      <c r="M4639">
        <v>0.32260417009326664</v>
      </c>
      <c r="N4639">
        <v>0.18488538052961592</v>
      </c>
      <c r="O4639">
        <v>0.2250339063818112</v>
      </c>
      <c r="P4639">
        <v>0.26747654299530621</v>
      </c>
    </row>
    <row r="4640" spans="13:16">
      <c r="M4640">
        <v>0.26178232393746054</v>
      </c>
      <c r="N4640">
        <v>0.20162551699548018</v>
      </c>
      <c r="O4640">
        <v>0.26581690364386873</v>
      </c>
      <c r="P4640">
        <v>0.27077525542319048</v>
      </c>
    </row>
    <row r="4641" spans="13:16">
      <c r="M4641">
        <v>0.27706804968418358</v>
      </c>
      <c r="N4641">
        <v>0.20288409210182323</v>
      </c>
      <c r="O4641">
        <v>0.24831103199145849</v>
      </c>
      <c r="P4641">
        <v>0.2717368262225347</v>
      </c>
    </row>
    <row r="4642" spans="13:16">
      <c r="M4642">
        <v>0.27527769732315577</v>
      </c>
      <c r="N4642">
        <v>0.18955899933370157</v>
      </c>
      <c r="O4642">
        <v>0.26884367126254038</v>
      </c>
      <c r="P4642">
        <v>0.26631963208060233</v>
      </c>
    </row>
    <row r="4643" spans="13:16">
      <c r="M4643">
        <v>0.29582991508696271</v>
      </c>
      <c r="N4643">
        <v>0.19653246514198799</v>
      </c>
      <c r="O4643">
        <v>0.23061621942190758</v>
      </c>
      <c r="P4643">
        <v>0.27702140034914174</v>
      </c>
    </row>
    <row r="4644" spans="13:16">
      <c r="M4644">
        <v>0.29564900945753969</v>
      </c>
      <c r="N4644">
        <v>0.17483981503316839</v>
      </c>
      <c r="O4644">
        <v>0.26824846248368711</v>
      </c>
      <c r="P4644">
        <v>0.26126271302560489</v>
      </c>
    </row>
    <row r="4645" spans="13:16">
      <c r="M4645">
        <v>0.26657022671387409</v>
      </c>
      <c r="N4645">
        <v>0.18571299376080055</v>
      </c>
      <c r="O4645">
        <v>0.29164838171085183</v>
      </c>
      <c r="P4645">
        <v>0.25606839781447355</v>
      </c>
    </row>
    <row r="4646" spans="13:16">
      <c r="M4646">
        <v>0.30799696229899776</v>
      </c>
      <c r="N4646">
        <v>0.17641227240569132</v>
      </c>
      <c r="O4646">
        <v>0.24894595757825433</v>
      </c>
      <c r="P4646">
        <v>0.26664480771705662</v>
      </c>
    </row>
    <row r="4647" spans="13:16">
      <c r="M4647">
        <v>0.30855196188772693</v>
      </c>
      <c r="N4647">
        <v>0.17593636757145892</v>
      </c>
      <c r="O4647">
        <v>0.26139885659410123</v>
      </c>
      <c r="P4647">
        <v>0.25411281394671298</v>
      </c>
    </row>
    <row r="4648" spans="13:16">
      <c r="M4648">
        <v>0.30412957541439684</v>
      </c>
      <c r="N4648">
        <v>0.16737579739854766</v>
      </c>
      <c r="O4648">
        <v>0.27378773250956362</v>
      </c>
      <c r="P4648">
        <v>0.25470689467749191</v>
      </c>
    </row>
    <row r="4649" spans="13:16">
      <c r="M4649">
        <v>0.32114683863558663</v>
      </c>
      <c r="N4649">
        <v>0.18399625778103265</v>
      </c>
      <c r="O4649">
        <v>0.23727355375970863</v>
      </c>
      <c r="P4649">
        <v>0.25758334982367198</v>
      </c>
    </row>
    <row r="4650" spans="13:16">
      <c r="M4650">
        <v>0.30617955756944504</v>
      </c>
      <c r="N4650">
        <v>0.16435175876769648</v>
      </c>
      <c r="O4650">
        <v>0.2865798732496197</v>
      </c>
      <c r="P4650">
        <v>0.24288881041323868</v>
      </c>
    </row>
    <row r="4651" spans="13:16">
      <c r="M4651">
        <v>0.27229395854423794</v>
      </c>
      <c r="N4651">
        <v>0.17203600666566313</v>
      </c>
      <c r="O4651">
        <v>0.29388567545401328</v>
      </c>
      <c r="P4651">
        <v>0.26178435933608551</v>
      </c>
    </row>
    <row r="4652" spans="13:16">
      <c r="M4652">
        <v>0.32102715148685873</v>
      </c>
      <c r="N4652">
        <v>0.16910296367424163</v>
      </c>
      <c r="O4652">
        <v>0.25419596916604997</v>
      </c>
      <c r="P4652">
        <v>0.25567391567284975</v>
      </c>
    </row>
    <row r="4653" spans="13:16">
      <c r="M4653">
        <v>0.27347862330459166</v>
      </c>
      <c r="N4653">
        <v>0.17645061038646909</v>
      </c>
      <c r="O4653">
        <v>0.28792718462634237</v>
      </c>
      <c r="P4653">
        <v>0.26214358168259688</v>
      </c>
    </row>
    <row r="4654" spans="13:16">
      <c r="M4654">
        <v>0.29799009772446589</v>
      </c>
      <c r="N4654">
        <v>0.19628310203645408</v>
      </c>
      <c r="O4654">
        <v>0.22619141451389968</v>
      </c>
      <c r="P4654">
        <v>0.27953538572518022</v>
      </c>
    </row>
    <row r="4655" spans="13:16">
      <c r="M4655">
        <v>0.29052400501107017</v>
      </c>
      <c r="N4655">
        <v>0.19448485563326814</v>
      </c>
      <c r="O4655">
        <v>0.24778087178000621</v>
      </c>
      <c r="P4655">
        <v>0.26721026757565552</v>
      </c>
    </row>
    <row r="4656" spans="13:16">
      <c r="M4656">
        <v>0.28371584491257457</v>
      </c>
      <c r="N4656">
        <v>0.19403699412134703</v>
      </c>
      <c r="O4656">
        <v>0.25037653753313172</v>
      </c>
      <c r="P4656">
        <v>0.27187062343294677</v>
      </c>
    </row>
    <row r="4657" spans="13:16">
      <c r="M4657">
        <v>0.27554706671964935</v>
      </c>
      <c r="N4657">
        <v>0.20379961987923328</v>
      </c>
      <c r="O4657">
        <v>0.25304157614214179</v>
      </c>
      <c r="P4657">
        <v>0.26761173725897552</v>
      </c>
    </row>
    <row r="4658" spans="13:16">
      <c r="M4658">
        <v>0.30728934921495765</v>
      </c>
      <c r="N4658">
        <v>0.18208524686917749</v>
      </c>
      <c r="O4658">
        <v>0.23669118053634183</v>
      </c>
      <c r="P4658">
        <v>0.27393422337952295</v>
      </c>
    </row>
    <row r="4659" spans="13:16">
      <c r="M4659">
        <v>0.31115109578950367</v>
      </c>
      <c r="N4659">
        <v>0.1754051424456716</v>
      </c>
      <c r="O4659">
        <v>0.26807156413028843</v>
      </c>
      <c r="P4659">
        <v>0.24537219763453633</v>
      </c>
    </row>
    <row r="4660" spans="13:16">
      <c r="M4660">
        <v>0.28507568052078908</v>
      </c>
      <c r="N4660">
        <v>0.19480012720314369</v>
      </c>
      <c r="O4660">
        <v>0.23996052671788765</v>
      </c>
      <c r="P4660">
        <v>0.28016366555817962</v>
      </c>
    </row>
    <row r="4661" spans="13:16">
      <c r="M4661">
        <v>0.29394834769256684</v>
      </c>
      <c r="N4661">
        <v>0.19653452336186633</v>
      </c>
      <c r="O4661">
        <v>0.24897119794658978</v>
      </c>
      <c r="P4661">
        <v>0.26054593099897705</v>
      </c>
    </row>
    <row r="4662" spans="13:16">
      <c r="M4662">
        <v>0.28294812300674982</v>
      </c>
      <c r="N4662">
        <v>0.20053815663224897</v>
      </c>
      <c r="O4662">
        <v>0.26086663260744353</v>
      </c>
      <c r="P4662">
        <v>0.25564708775355766</v>
      </c>
    </row>
    <row r="4663" spans="13:16">
      <c r="M4663">
        <v>0.2916696712743691</v>
      </c>
      <c r="N4663">
        <v>0.18537758296734469</v>
      </c>
      <c r="O4663">
        <v>0.25277324888412867</v>
      </c>
      <c r="P4663">
        <v>0.27017949687415754</v>
      </c>
    </row>
    <row r="4664" spans="13:16">
      <c r="M4664">
        <v>0.28157906485054995</v>
      </c>
      <c r="N4664">
        <v>0.21372638077067538</v>
      </c>
      <c r="O4664">
        <v>0.21685851517640717</v>
      </c>
      <c r="P4664">
        <v>0.28783603920236744</v>
      </c>
    </row>
    <row r="4665" spans="13:16">
      <c r="M4665">
        <v>0.29223018449099242</v>
      </c>
      <c r="N4665">
        <v>0.17103976822522385</v>
      </c>
      <c r="O4665">
        <v>0.27949636327864713</v>
      </c>
      <c r="P4665">
        <v>0.25723368400513658</v>
      </c>
    </row>
    <row r="4666" spans="13:16">
      <c r="M4666">
        <v>0.31279039068272046</v>
      </c>
      <c r="N4666">
        <v>0.18101170710642092</v>
      </c>
      <c r="O4666">
        <v>0.24030245200073</v>
      </c>
      <c r="P4666">
        <v>0.26589545021012861</v>
      </c>
    </row>
    <row r="4667" spans="13:16">
      <c r="M4667">
        <v>0.26602398758884005</v>
      </c>
      <c r="N4667">
        <v>0.21142305873222406</v>
      </c>
      <c r="O4667">
        <v>0.25018948641764954</v>
      </c>
      <c r="P4667">
        <v>0.27236346726128641</v>
      </c>
    </row>
    <row r="4668" spans="13:16">
      <c r="M4668">
        <v>0.30131888670359391</v>
      </c>
      <c r="N4668">
        <v>0.19197665080586523</v>
      </c>
      <c r="O4668">
        <v>0.24240799915467989</v>
      </c>
      <c r="P4668">
        <v>0.26429646333586099</v>
      </c>
    </row>
    <row r="4669" spans="13:16">
      <c r="M4669">
        <v>0.27374642229365242</v>
      </c>
      <c r="N4669">
        <v>0.18474569027884269</v>
      </c>
      <c r="O4669">
        <v>0.27258346286852841</v>
      </c>
      <c r="P4669">
        <v>0.2689244245589763</v>
      </c>
    </row>
    <row r="4670" spans="13:16">
      <c r="M4670">
        <v>0.29653879446142656</v>
      </c>
      <c r="N4670">
        <v>0.18701440951321255</v>
      </c>
      <c r="O4670">
        <v>0.26795025767338604</v>
      </c>
      <c r="P4670">
        <v>0.24849653835197497</v>
      </c>
    </row>
    <row r="4671" spans="13:16">
      <c r="M4671">
        <v>0.296886219086338</v>
      </c>
      <c r="N4671">
        <v>0.18530303088325578</v>
      </c>
      <c r="O4671">
        <v>0.25615588265295031</v>
      </c>
      <c r="P4671">
        <v>0.26165486737745591</v>
      </c>
    </row>
    <row r="4672" spans="13:16">
      <c r="M4672">
        <v>0.28245306417442317</v>
      </c>
      <c r="N4672">
        <v>0.17427515363194832</v>
      </c>
      <c r="O4672">
        <v>0.27747207084149578</v>
      </c>
      <c r="P4672">
        <v>0.26579971135213259</v>
      </c>
    </row>
    <row r="4673" spans="13:16">
      <c r="M4673">
        <v>0.27447952396308539</v>
      </c>
      <c r="N4673">
        <v>0.19478260762256891</v>
      </c>
      <c r="O4673">
        <v>0.28268436742786618</v>
      </c>
      <c r="P4673">
        <v>0.24805350098647941</v>
      </c>
    </row>
    <row r="4674" spans="13:16">
      <c r="M4674">
        <v>0.2764377863757293</v>
      </c>
      <c r="N4674">
        <v>0.19115921126767085</v>
      </c>
      <c r="O4674">
        <v>0.26643874045108229</v>
      </c>
      <c r="P4674">
        <v>0.26596426190551753</v>
      </c>
    </row>
    <row r="4675" spans="13:16">
      <c r="M4675">
        <v>0.26650541913557002</v>
      </c>
      <c r="N4675">
        <v>0.20696836235766664</v>
      </c>
      <c r="O4675">
        <v>0.25694196734696112</v>
      </c>
      <c r="P4675">
        <v>0.26958425115980217</v>
      </c>
    </row>
    <row r="4676" spans="13:16">
      <c r="M4676">
        <v>0.2708715912778592</v>
      </c>
      <c r="N4676">
        <v>0.20896819330445163</v>
      </c>
      <c r="O4676">
        <v>0.24330878567896055</v>
      </c>
      <c r="P4676">
        <v>0.27685142973872845</v>
      </c>
    </row>
    <row r="4677" spans="13:16">
      <c r="M4677">
        <v>0.2990538144167717</v>
      </c>
      <c r="N4677">
        <v>0.18288520592058982</v>
      </c>
      <c r="O4677">
        <v>0.22558572819664935</v>
      </c>
      <c r="P4677">
        <v>0.29247525146598913</v>
      </c>
    </row>
    <row r="4678" spans="13:16">
      <c r="M4678">
        <v>0.31825327554926924</v>
      </c>
      <c r="N4678">
        <v>0.17723959667057917</v>
      </c>
      <c r="O4678">
        <v>0.2402488280497477</v>
      </c>
      <c r="P4678">
        <v>0.26425829973040377</v>
      </c>
    </row>
    <row r="4679" spans="13:16">
      <c r="M4679">
        <v>0.29638728483337579</v>
      </c>
      <c r="N4679">
        <v>0.20175501722209566</v>
      </c>
      <c r="O4679">
        <v>0.23663932771185281</v>
      </c>
      <c r="P4679">
        <v>0.26521837023267575</v>
      </c>
    </row>
    <row r="4680" spans="13:16">
      <c r="M4680">
        <v>0.27643292007632431</v>
      </c>
      <c r="N4680">
        <v>0.18619457967363687</v>
      </c>
      <c r="O4680">
        <v>0.26237943022157034</v>
      </c>
      <c r="P4680">
        <v>0.27499307002846846</v>
      </c>
    </row>
    <row r="4681" spans="13:16">
      <c r="M4681">
        <v>0.26640333628034141</v>
      </c>
      <c r="N4681">
        <v>0.19217456565547333</v>
      </c>
      <c r="O4681">
        <v>0.28447388603976514</v>
      </c>
      <c r="P4681">
        <v>0.25694821202442014</v>
      </c>
    </row>
    <row r="4682" spans="13:16">
      <c r="M4682">
        <v>0.29177848272082607</v>
      </c>
      <c r="N4682">
        <v>0.19823256773477457</v>
      </c>
      <c r="O4682">
        <v>0.23711501381423972</v>
      </c>
      <c r="P4682">
        <v>0.27287393573015967</v>
      </c>
    </row>
    <row r="4683" spans="13:16">
      <c r="M4683">
        <v>0.29493225020900316</v>
      </c>
      <c r="N4683">
        <v>0.18304537969406742</v>
      </c>
      <c r="O4683">
        <v>0.25187563430009263</v>
      </c>
      <c r="P4683">
        <v>0.27014673579683673</v>
      </c>
    </row>
    <row r="4684" spans="13:16">
      <c r="M4684">
        <v>0.27767083720265395</v>
      </c>
      <c r="N4684">
        <v>0.18776673240088088</v>
      </c>
      <c r="O4684">
        <v>0.27382531719355224</v>
      </c>
      <c r="P4684">
        <v>0.26073711320291293</v>
      </c>
    </row>
    <row r="4685" spans="13:16">
      <c r="M4685">
        <v>0.27399885442262661</v>
      </c>
      <c r="N4685">
        <v>0.19419153495755959</v>
      </c>
      <c r="O4685">
        <v>0.25969793993485296</v>
      </c>
      <c r="P4685">
        <v>0.27211167068496095</v>
      </c>
    </row>
    <row r="4686" spans="13:16">
      <c r="M4686">
        <v>0.28244737358414146</v>
      </c>
      <c r="N4686">
        <v>0.18098256619474329</v>
      </c>
      <c r="O4686">
        <v>0.27492509371659152</v>
      </c>
      <c r="P4686">
        <v>0.26164496650452368</v>
      </c>
    </row>
    <row r="4687" spans="13:16">
      <c r="M4687">
        <v>0.27821158641095817</v>
      </c>
      <c r="N4687">
        <v>0.18520126820627511</v>
      </c>
      <c r="O4687">
        <v>0.2748211422785975</v>
      </c>
      <c r="P4687">
        <v>0.2617660031041692</v>
      </c>
    </row>
    <row r="4688" spans="13:16">
      <c r="M4688">
        <v>0.29446540350298422</v>
      </c>
      <c r="N4688">
        <v>0.18183511147287743</v>
      </c>
      <c r="O4688">
        <v>0.22896301882397876</v>
      </c>
      <c r="P4688">
        <v>0.29473646620015953</v>
      </c>
    </row>
    <row r="4689" spans="13:16">
      <c r="M4689">
        <v>0.31683738533478789</v>
      </c>
      <c r="N4689">
        <v>0.191723008708231</v>
      </c>
      <c r="O4689">
        <v>0.23273515277129508</v>
      </c>
      <c r="P4689">
        <v>0.25870445318568597</v>
      </c>
    </row>
    <row r="4690" spans="13:16">
      <c r="M4690">
        <v>0.28551302475868628</v>
      </c>
      <c r="N4690">
        <v>0.18096899012608875</v>
      </c>
      <c r="O4690">
        <v>0.26770420432657466</v>
      </c>
      <c r="P4690">
        <v>0.26581378078865026</v>
      </c>
    </row>
    <row r="4691" spans="13:16">
      <c r="M4691">
        <v>0.30974490880047334</v>
      </c>
      <c r="N4691">
        <v>0.18320305489623917</v>
      </c>
      <c r="O4691">
        <v>0.251786264752492</v>
      </c>
      <c r="P4691">
        <v>0.25526577155079538</v>
      </c>
    </row>
    <row r="4692" spans="13:16">
      <c r="M4692">
        <v>0.3159996447942538</v>
      </c>
      <c r="N4692">
        <v>0.1870439351983075</v>
      </c>
      <c r="O4692">
        <v>0.22967307582306895</v>
      </c>
      <c r="P4692">
        <v>0.26728334418436983</v>
      </c>
    </row>
    <row r="4693" spans="13:16">
      <c r="M4693">
        <v>0.26773061671480702</v>
      </c>
      <c r="N4693">
        <v>0.20169056673655653</v>
      </c>
      <c r="O4693">
        <v>0.25694514687804793</v>
      </c>
      <c r="P4693">
        <v>0.27363366967058844</v>
      </c>
    </row>
    <row r="4694" spans="13:16">
      <c r="M4694">
        <v>0.30378674295441382</v>
      </c>
      <c r="N4694">
        <v>0.19332210669944624</v>
      </c>
      <c r="O4694">
        <v>0.23639152473066519</v>
      </c>
      <c r="P4694">
        <v>0.26649962561547474</v>
      </c>
    </row>
    <row r="4695" spans="13:16">
      <c r="M4695">
        <v>0.26184078419515644</v>
      </c>
      <c r="N4695">
        <v>0.19774999247971875</v>
      </c>
      <c r="O4695">
        <v>0.26787400924514659</v>
      </c>
      <c r="P4695">
        <v>0.27253521407997822</v>
      </c>
    </row>
    <row r="4696" spans="13:16">
      <c r="M4696">
        <v>0.28610706070140046</v>
      </c>
      <c r="N4696">
        <v>0.19105236591371647</v>
      </c>
      <c r="O4696">
        <v>0.2618807322550184</v>
      </c>
      <c r="P4696">
        <v>0.26095984112986476</v>
      </c>
    </row>
    <row r="4697" spans="13:16">
      <c r="M4697">
        <v>0.28844343099519915</v>
      </c>
      <c r="N4697">
        <v>0.17596920547332415</v>
      </c>
      <c r="O4697">
        <v>0.27934043581375156</v>
      </c>
      <c r="P4697">
        <v>0.25624692771772523</v>
      </c>
    </row>
    <row r="4698" spans="13:16">
      <c r="M4698">
        <v>0.31129743746693378</v>
      </c>
      <c r="N4698">
        <v>0.19004231001083477</v>
      </c>
      <c r="O4698">
        <v>0.23229472168852383</v>
      </c>
      <c r="P4698">
        <v>0.26636553083370762</v>
      </c>
    </row>
    <row r="4699" spans="13:16">
      <c r="M4699">
        <v>0.3125175846116453</v>
      </c>
      <c r="N4699">
        <v>0.17842844593212495</v>
      </c>
      <c r="O4699">
        <v>0.24262701123971481</v>
      </c>
      <c r="P4699">
        <v>0.26642695821651508</v>
      </c>
    </row>
    <row r="4700" spans="13:16">
      <c r="M4700">
        <v>0.31576574607408608</v>
      </c>
      <c r="N4700">
        <v>0.18655503785981054</v>
      </c>
      <c r="O4700">
        <v>0.24185529689605076</v>
      </c>
      <c r="P4700">
        <v>0.25582391917005259</v>
      </c>
    </row>
    <row r="4701" spans="13:16">
      <c r="M4701">
        <v>0.29295471790413719</v>
      </c>
      <c r="N4701">
        <v>0.18941152304184411</v>
      </c>
      <c r="O4701">
        <v>0.23709077408167634</v>
      </c>
      <c r="P4701">
        <v>0.28054298497234237</v>
      </c>
    </row>
    <row r="4702" spans="13:16">
      <c r="M4702">
        <v>0.30159962066835161</v>
      </c>
      <c r="N4702">
        <v>0.19181883418071274</v>
      </c>
      <c r="O4702">
        <v>0.24815315143569944</v>
      </c>
      <c r="P4702">
        <v>0.25842839371523624</v>
      </c>
    </row>
    <row r="4703" spans="13:16">
      <c r="M4703">
        <v>0.29083051525046866</v>
      </c>
      <c r="N4703">
        <v>0.16488494417449989</v>
      </c>
      <c r="O4703">
        <v>0.29814625814189755</v>
      </c>
      <c r="P4703">
        <v>0.24613828243313385</v>
      </c>
    </row>
    <row r="4704" spans="13:16">
      <c r="M4704">
        <v>0.30574733480844785</v>
      </c>
      <c r="N4704">
        <v>0.17420596496937374</v>
      </c>
      <c r="O4704">
        <v>0.26190050166327672</v>
      </c>
      <c r="P4704">
        <v>0.2581461985589017</v>
      </c>
    </row>
    <row r="4705" spans="13:16">
      <c r="M4705">
        <v>0.28802422584165777</v>
      </c>
      <c r="N4705">
        <v>0.18847942716065502</v>
      </c>
      <c r="O4705">
        <v>0.24490120036516949</v>
      </c>
      <c r="P4705">
        <v>0.27859514663251772</v>
      </c>
    </row>
    <row r="4706" spans="13:16">
      <c r="M4706">
        <v>0.30285954585779573</v>
      </c>
      <c r="N4706">
        <v>0.18101768814990216</v>
      </c>
      <c r="O4706">
        <v>0.22542468578670319</v>
      </c>
      <c r="P4706">
        <v>0.2906980802055989</v>
      </c>
    </row>
    <row r="4707" spans="13:16">
      <c r="M4707">
        <v>0.27181098535052522</v>
      </c>
      <c r="N4707">
        <v>0.20535173603328974</v>
      </c>
      <c r="O4707">
        <v>0.24312870096581446</v>
      </c>
      <c r="P4707">
        <v>0.27970857765037066</v>
      </c>
    </row>
    <row r="4708" spans="13:16">
      <c r="M4708">
        <v>0.28030965167940464</v>
      </c>
      <c r="N4708">
        <v>0.18169201191440154</v>
      </c>
      <c r="O4708">
        <v>0.2797692835189533</v>
      </c>
      <c r="P4708">
        <v>0.25822905288724057</v>
      </c>
    </row>
    <row r="4709" spans="13:16">
      <c r="M4709">
        <v>0.28299216432237934</v>
      </c>
      <c r="N4709">
        <v>0.18635113458864178</v>
      </c>
      <c r="O4709">
        <v>0.25791887141579006</v>
      </c>
      <c r="P4709">
        <v>0.27273782967318883</v>
      </c>
    </row>
    <row r="4710" spans="13:16">
      <c r="M4710">
        <v>0.30406781490940954</v>
      </c>
      <c r="N4710">
        <v>0.18623397066094252</v>
      </c>
      <c r="O4710">
        <v>0.23665609407187593</v>
      </c>
      <c r="P4710">
        <v>0.27304212035777209</v>
      </c>
    </row>
    <row r="4711" spans="13:16">
      <c r="M4711">
        <v>0.26496476695813032</v>
      </c>
      <c r="N4711">
        <v>0.21292941822754452</v>
      </c>
      <c r="O4711">
        <v>0.25346085287686854</v>
      </c>
      <c r="P4711">
        <v>0.26864496193745663</v>
      </c>
    </row>
    <row r="4712" spans="13:16">
      <c r="M4712">
        <v>0.31036489831415681</v>
      </c>
      <c r="N4712">
        <v>0.16630396079701723</v>
      </c>
      <c r="O4712">
        <v>0.27173986872414119</v>
      </c>
      <c r="P4712">
        <v>0.2515912721646848</v>
      </c>
    </row>
    <row r="4713" spans="13:16">
      <c r="M4713">
        <v>0.29625144055996078</v>
      </c>
      <c r="N4713">
        <v>0.17541740563734401</v>
      </c>
      <c r="O4713">
        <v>0.27417586543897937</v>
      </c>
      <c r="P4713">
        <v>0.25415528836371581</v>
      </c>
    </row>
    <row r="4714" spans="13:16">
      <c r="M4714">
        <v>0.27620840201377433</v>
      </c>
      <c r="N4714">
        <v>0.20417639473909382</v>
      </c>
      <c r="O4714">
        <v>0.25201370064678752</v>
      </c>
      <c r="P4714">
        <v>0.26760150260034438</v>
      </c>
    </row>
    <row r="4715" spans="13:16">
      <c r="M4715">
        <v>0.29684174191421353</v>
      </c>
      <c r="N4715">
        <v>0.17384926125422856</v>
      </c>
      <c r="O4715">
        <v>0.27471155137727471</v>
      </c>
      <c r="P4715">
        <v>0.25459744545428309</v>
      </c>
    </row>
    <row r="4716" spans="13:16">
      <c r="M4716">
        <v>0.26899826816052347</v>
      </c>
      <c r="N4716">
        <v>0.17985402256212193</v>
      </c>
      <c r="O4716">
        <v>0.29432743097905456</v>
      </c>
      <c r="P4716">
        <v>0.25682027829830006</v>
      </c>
    </row>
    <row r="4717" spans="13:16">
      <c r="M4717">
        <v>0.2748657027269088</v>
      </c>
      <c r="N4717">
        <v>0.19729926372717044</v>
      </c>
      <c r="O4717">
        <v>0.26359550018491995</v>
      </c>
      <c r="P4717">
        <v>0.26423953336100087</v>
      </c>
    </row>
    <row r="4718" spans="13:16">
      <c r="M4718">
        <v>0.30566389203206007</v>
      </c>
      <c r="N4718">
        <v>0.19446950255532208</v>
      </c>
      <c r="O4718">
        <v>0.24187502625156312</v>
      </c>
      <c r="P4718">
        <v>0.2579915791610547</v>
      </c>
    </row>
    <row r="4719" spans="13:16">
      <c r="M4719">
        <v>0.28996176759564812</v>
      </c>
      <c r="N4719">
        <v>0.19990177933590456</v>
      </c>
      <c r="O4719">
        <v>0.25227046636012329</v>
      </c>
      <c r="P4719">
        <v>0.25786598670832406</v>
      </c>
    </row>
    <row r="4720" spans="13:16">
      <c r="M4720">
        <v>0.28524232912137165</v>
      </c>
      <c r="N4720">
        <v>0.17579192252918097</v>
      </c>
      <c r="O4720">
        <v>0.27017403949331747</v>
      </c>
      <c r="P4720">
        <v>0.26879170885612991</v>
      </c>
    </row>
    <row r="4721" spans="13:16">
      <c r="M4721">
        <v>0.28823012021711764</v>
      </c>
      <c r="N4721">
        <v>0.19453641626569848</v>
      </c>
      <c r="O4721">
        <v>0.26290806386626886</v>
      </c>
      <c r="P4721">
        <v>0.25432539965091494</v>
      </c>
    </row>
    <row r="4722" spans="13:16">
      <c r="M4722">
        <v>0.29815449745982786</v>
      </c>
      <c r="N4722">
        <v>0.18266713291658843</v>
      </c>
      <c r="O4722">
        <v>0.269065247502698</v>
      </c>
      <c r="P4722">
        <v>0.25011312212088566</v>
      </c>
    </row>
    <row r="4723" spans="13:16">
      <c r="M4723">
        <v>0.28504942540111</v>
      </c>
      <c r="N4723">
        <v>0.18583772906131757</v>
      </c>
      <c r="O4723">
        <v>0.26234339953074814</v>
      </c>
      <c r="P4723">
        <v>0.26676944600682417</v>
      </c>
    </row>
    <row r="4724" spans="13:16">
      <c r="M4724">
        <v>0.293439070313256</v>
      </c>
      <c r="N4724">
        <v>0.212366682230961</v>
      </c>
      <c r="O4724">
        <v>0.22917380263166878</v>
      </c>
      <c r="P4724">
        <v>0.26502044482411413</v>
      </c>
    </row>
    <row r="4725" spans="13:16">
      <c r="M4725">
        <v>0.27184926544827048</v>
      </c>
      <c r="N4725">
        <v>0.20343144296487545</v>
      </c>
      <c r="O4725">
        <v>0.24721991441809318</v>
      </c>
      <c r="P4725">
        <v>0.27749937716876083</v>
      </c>
    </row>
    <row r="4726" spans="13:16">
      <c r="M4726">
        <v>0.28917364339280155</v>
      </c>
      <c r="N4726">
        <v>0.19058455773026703</v>
      </c>
      <c r="O4726">
        <v>0.25920193695201543</v>
      </c>
      <c r="P4726">
        <v>0.26103986192491602</v>
      </c>
    </row>
    <row r="4727" spans="13:16">
      <c r="M4727">
        <v>0.30895003938294363</v>
      </c>
      <c r="N4727">
        <v>0.17617487536387755</v>
      </c>
      <c r="O4727">
        <v>0.24218329289485738</v>
      </c>
      <c r="P4727">
        <v>0.27269179235832142</v>
      </c>
    </row>
    <row r="4728" spans="13:16">
      <c r="M4728">
        <v>0.30570218500445945</v>
      </c>
      <c r="N4728">
        <v>0.1712549305826539</v>
      </c>
      <c r="O4728">
        <v>0.25859071340545131</v>
      </c>
      <c r="P4728">
        <v>0.26445217100743545</v>
      </c>
    </row>
    <row r="4729" spans="13:16">
      <c r="M4729">
        <v>0.2998556194713547</v>
      </c>
      <c r="N4729">
        <v>0.18628168604153253</v>
      </c>
      <c r="O4729">
        <v>0.25593725973368975</v>
      </c>
      <c r="P4729">
        <v>0.257925434753423</v>
      </c>
    </row>
    <row r="4730" spans="13:16">
      <c r="M4730">
        <v>0.28763833842029579</v>
      </c>
      <c r="N4730">
        <v>0.18531502046010387</v>
      </c>
      <c r="O4730">
        <v>0.2543685708803623</v>
      </c>
      <c r="P4730">
        <v>0.27267807023923812</v>
      </c>
    </row>
    <row r="4731" spans="13:16">
      <c r="M4731">
        <v>0.33130714055654231</v>
      </c>
      <c r="N4731">
        <v>0.17540831785248726</v>
      </c>
      <c r="O4731">
        <v>0.22437329094810568</v>
      </c>
      <c r="P4731">
        <v>0.26891125064286486</v>
      </c>
    </row>
    <row r="4732" spans="13:16">
      <c r="M4732">
        <v>0.27575777559802134</v>
      </c>
      <c r="N4732">
        <v>0.19836405967624218</v>
      </c>
      <c r="O4732">
        <v>0.25299121685706172</v>
      </c>
      <c r="P4732">
        <v>0.27288694786867479</v>
      </c>
    </row>
    <row r="4733" spans="13:16">
      <c r="M4733">
        <v>0.29696137657496674</v>
      </c>
      <c r="N4733">
        <v>0.19010818153547351</v>
      </c>
      <c r="O4733">
        <v>0.22585588255969768</v>
      </c>
      <c r="P4733">
        <v>0.28707455932986214</v>
      </c>
    </row>
    <row r="4734" spans="13:16">
      <c r="M4734">
        <v>0.29596369420189728</v>
      </c>
      <c r="N4734">
        <v>0.17985418173374368</v>
      </c>
      <c r="O4734">
        <v>0.23884281670150426</v>
      </c>
      <c r="P4734">
        <v>0.28533930736285479</v>
      </c>
    </row>
    <row r="4735" spans="13:16">
      <c r="M4735">
        <v>0.27061072984481943</v>
      </c>
      <c r="N4735">
        <v>0.18774750178377275</v>
      </c>
      <c r="O4735">
        <v>0.28548726273572811</v>
      </c>
      <c r="P4735">
        <v>0.25615450563567971</v>
      </c>
    </row>
    <row r="4736" spans="13:16">
      <c r="M4736">
        <v>0.26799749168089182</v>
      </c>
      <c r="N4736">
        <v>0.20451929999237975</v>
      </c>
      <c r="O4736">
        <v>0.25676169971617413</v>
      </c>
      <c r="P4736">
        <v>0.27072150861055427</v>
      </c>
    </row>
    <row r="4737" spans="13:16">
      <c r="M4737">
        <v>0.28784297946190279</v>
      </c>
      <c r="N4737">
        <v>0.17045341634948194</v>
      </c>
      <c r="O4737">
        <v>0.28273491706504861</v>
      </c>
      <c r="P4737">
        <v>0.25896868712356663</v>
      </c>
    </row>
    <row r="4738" spans="13:16">
      <c r="M4738">
        <v>0.2661530365016932</v>
      </c>
      <c r="N4738">
        <v>0.18742908635787203</v>
      </c>
      <c r="O4738">
        <v>0.26973966918597886</v>
      </c>
      <c r="P4738">
        <v>0.27667820795445602</v>
      </c>
    </row>
    <row r="4739" spans="13:16">
      <c r="M4739">
        <v>0.29613429956766735</v>
      </c>
      <c r="N4739">
        <v>0.17926131706410087</v>
      </c>
      <c r="O4739">
        <v>0.25186657077077823</v>
      </c>
      <c r="P4739">
        <v>0.27273781259745361</v>
      </c>
    </row>
    <row r="4740" spans="13:16">
      <c r="M4740">
        <v>0.26053577980940434</v>
      </c>
      <c r="N4740">
        <v>0.18901801280239233</v>
      </c>
      <c r="O4740">
        <v>0.28434964189914808</v>
      </c>
      <c r="P4740">
        <v>0.26609656548905525</v>
      </c>
    </row>
    <row r="4741" spans="13:16">
      <c r="M4741">
        <v>0.32133067219993372</v>
      </c>
      <c r="N4741">
        <v>0.17269097825861315</v>
      </c>
      <c r="O4741">
        <v>0.22024675473326316</v>
      </c>
      <c r="P4741">
        <v>0.28573159480818983</v>
      </c>
    </row>
    <row r="4742" spans="13:16">
      <c r="M4742">
        <v>0.28122584767903652</v>
      </c>
      <c r="N4742">
        <v>0.19879214870351938</v>
      </c>
      <c r="O4742">
        <v>0.25982585249026313</v>
      </c>
      <c r="P4742">
        <v>0.26015615112718116</v>
      </c>
    </row>
    <row r="4743" spans="13:16">
      <c r="M4743">
        <v>0.27958096586384312</v>
      </c>
      <c r="N4743">
        <v>0.1866885826486899</v>
      </c>
      <c r="O4743">
        <v>0.2638388065371306</v>
      </c>
      <c r="P4743">
        <v>0.26989164495033646</v>
      </c>
    </row>
    <row r="4744" spans="13:16">
      <c r="M4744">
        <v>0.31628238117617113</v>
      </c>
      <c r="N4744">
        <v>0.18723080695086444</v>
      </c>
      <c r="O4744">
        <v>0.22696105574020239</v>
      </c>
      <c r="P4744">
        <v>0.26952575613276214</v>
      </c>
    </row>
    <row r="4745" spans="13:16">
      <c r="M4745">
        <v>0.31507773221375479</v>
      </c>
      <c r="N4745">
        <v>0.19211770157311869</v>
      </c>
      <c r="O4745">
        <v>0.23061919576041709</v>
      </c>
      <c r="P4745">
        <v>0.26218537045270945</v>
      </c>
    </row>
    <row r="4746" spans="13:16">
      <c r="M4746">
        <v>0.31124117314921024</v>
      </c>
      <c r="N4746">
        <v>0.19531183095545399</v>
      </c>
      <c r="O4746">
        <v>0.21007697429835603</v>
      </c>
      <c r="P4746">
        <v>0.28337002159697972</v>
      </c>
    </row>
    <row r="4747" spans="13:16">
      <c r="M4747">
        <v>0.33516024136807659</v>
      </c>
      <c r="N4747">
        <v>0.18146932513969877</v>
      </c>
      <c r="O4747">
        <v>0.22642197848670217</v>
      </c>
      <c r="P4747">
        <v>0.25694845500552244</v>
      </c>
    </row>
    <row r="4748" spans="13:16">
      <c r="M4748">
        <v>0.30004298036061572</v>
      </c>
      <c r="N4748">
        <v>0.17952692794196509</v>
      </c>
      <c r="O4748">
        <v>0.27225397900730142</v>
      </c>
      <c r="P4748">
        <v>0.24817611269011766</v>
      </c>
    </row>
    <row r="4749" spans="13:16">
      <c r="M4749">
        <v>0.30019731734849048</v>
      </c>
      <c r="N4749">
        <v>0.16835626249054703</v>
      </c>
      <c r="O4749">
        <v>0.28618565356142844</v>
      </c>
      <c r="P4749">
        <v>0.24526076659953408</v>
      </c>
    </row>
    <row r="4750" spans="13:16">
      <c r="M4750">
        <v>0.27706236384099975</v>
      </c>
      <c r="N4750">
        <v>0.18404364457248007</v>
      </c>
      <c r="O4750">
        <v>0.26830807532703849</v>
      </c>
      <c r="P4750">
        <v>0.27058591625948164</v>
      </c>
    </row>
    <row r="4751" spans="13:16">
      <c r="M4751">
        <v>0.27021473059343748</v>
      </c>
      <c r="N4751">
        <v>0.19160681683775313</v>
      </c>
      <c r="O4751">
        <v>0.27429339117112789</v>
      </c>
      <c r="P4751">
        <v>0.26388506139768153</v>
      </c>
    </row>
    <row r="4752" spans="13:16">
      <c r="M4752">
        <v>0.30201459620378868</v>
      </c>
      <c r="N4752">
        <v>0.20232231335962905</v>
      </c>
      <c r="O4752">
        <v>0.22290120355225373</v>
      </c>
      <c r="P4752">
        <v>0.27276188688432845</v>
      </c>
    </row>
    <row r="4753" spans="13:16">
      <c r="M4753">
        <v>0.32906976433552793</v>
      </c>
      <c r="N4753">
        <v>0.1793848445476687</v>
      </c>
      <c r="O4753">
        <v>0.23978264829428483</v>
      </c>
      <c r="P4753">
        <v>0.25176274282251848</v>
      </c>
    </row>
    <row r="4754" spans="13:16">
      <c r="M4754">
        <v>0.26182056049802094</v>
      </c>
      <c r="N4754">
        <v>0.18696923379165858</v>
      </c>
      <c r="O4754">
        <v>0.29371547401223574</v>
      </c>
      <c r="P4754">
        <v>0.25749473169808484</v>
      </c>
    </row>
    <row r="4755" spans="13:16">
      <c r="M4755">
        <v>0.26721491929281854</v>
      </c>
      <c r="N4755">
        <v>0.18685294024112242</v>
      </c>
      <c r="O4755">
        <v>0.27186239707094739</v>
      </c>
      <c r="P4755">
        <v>0.27406974339511153</v>
      </c>
    </row>
    <row r="4756" spans="13:16">
      <c r="M4756">
        <v>0.31740292365878714</v>
      </c>
      <c r="N4756">
        <v>0.17530748044804845</v>
      </c>
      <c r="O4756">
        <v>0.24328525436279563</v>
      </c>
      <c r="P4756">
        <v>0.26400434153036884</v>
      </c>
    </row>
    <row r="4757" spans="13:16">
      <c r="M4757">
        <v>0.29604581247607886</v>
      </c>
      <c r="N4757">
        <v>0.19246447626070667</v>
      </c>
      <c r="O4757">
        <v>0.24260149669865819</v>
      </c>
      <c r="P4757">
        <v>0.26888821456455619</v>
      </c>
    </row>
    <row r="4758" spans="13:16">
      <c r="M4758">
        <v>0.2856357711182741</v>
      </c>
      <c r="N4758">
        <v>0.20090380055852516</v>
      </c>
      <c r="O4758">
        <v>0.24832860689996972</v>
      </c>
      <c r="P4758">
        <v>0.26513182142323111</v>
      </c>
    </row>
    <row r="4759" spans="13:16">
      <c r="M4759">
        <v>0.29374230732596279</v>
      </c>
      <c r="N4759">
        <v>0.18828504059702428</v>
      </c>
      <c r="O4759">
        <v>0.27315963543570759</v>
      </c>
      <c r="P4759">
        <v>0.24481301664130525</v>
      </c>
    </row>
    <row r="4760" spans="13:16">
      <c r="M4760">
        <v>0.30834955596233432</v>
      </c>
      <c r="N4760">
        <v>0.17359393520766053</v>
      </c>
      <c r="O4760">
        <v>0.24554289601091042</v>
      </c>
      <c r="P4760">
        <v>0.27251361281909464</v>
      </c>
    </row>
    <row r="4761" spans="13:16">
      <c r="M4761">
        <v>0.28706617060545586</v>
      </c>
      <c r="N4761">
        <v>0.1994530025584946</v>
      </c>
      <c r="O4761">
        <v>0.25478444846195236</v>
      </c>
      <c r="P4761">
        <v>0.25869637837409709</v>
      </c>
    </row>
    <row r="4762" spans="13:16">
      <c r="M4762">
        <v>0.29080009280886554</v>
      </c>
      <c r="N4762">
        <v>0.19138952793055752</v>
      </c>
      <c r="O4762">
        <v>0.2416302007175597</v>
      </c>
      <c r="P4762">
        <v>0.27618017854301719</v>
      </c>
    </row>
    <row r="4763" spans="13:16">
      <c r="M4763">
        <v>0.268087463260133</v>
      </c>
      <c r="N4763">
        <v>0.19678062261107382</v>
      </c>
      <c r="O4763">
        <v>0.27086917416904732</v>
      </c>
      <c r="P4763">
        <v>0.26426273995974592</v>
      </c>
    </row>
    <row r="4764" spans="13:16">
      <c r="M4764">
        <v>0.26067977517868735</v>
      </c>
      <c r="N4764">
        <v>0.18584252953164662</v>
      </c>
      <c r="O4764">
        <v>0.29426402029854382</v>
      </c>
      <c r="P4764">
        <v>0.25921367499112213</v>
      </c>
    </row>
    <row r="4765" spans="13:16">
      <c r="M4765">
        <v>0.28514009281335478</v>
      </c>
      <c r="N4765">
        <v>0.20060207656256757</v>
      </c>
      <c r="O4765">
        <v>0.25306548074759067</v>
      </c>
      <c r="P4765">
        <v>0.26119234987648693</v>
      </c>
    </row>
    <row r="4766" spans="13:16">
      <c r="M4766">
        <v>0.30771980937238425</v>
      </c>
      <c r="N4766">
        <v>0.17202829699634345</v>
      </c>
      <c r="O4766">
        <v>0.26759161441786955</v>
      </c>
      <c r="P4766">
        <v>0.25266027921340289</v>
      </c>
    </row>
    <row r="4767" spans="13:16">
      <c r="M4767">
        <v>0.29525277434975683</v>
      </c>
      <c r="N4767">
        <v>0.17494108185516546</v>
      </c>
      <c r="O4767">
        <v>0.29126278494195301</v>
      </c>
      <c r="P4767">
        <v>0.23854335885312486</v>
      </c>
    </row>
    <row r="4768" spans="13:16">
      <c r="M4768">
        <v>0.29367762424464261</v>
      </c>
      <c r="N4768">
        <v>0.17067929882297145</v>
      </c>
      <c r="O4768">
        <v>0.27437314492534426</v>
      </c>
      <c r="P4768">
        <v>0.26126993200704179</v>
      </c>
    </row>
    <row r="4769" spans="13:16">
      <c r="M4769">
        <v>0.28291898395313675</v>
      </c>
      <c r="N4769">
        <v>0.18349649799219905</v>
      </c>
      <c r="O4769">
        <v>0.2695957450240527</v>
      </c>
      <c r="P4769">
        <v>0.26398877303061147</v>
      </c>
    </row>
    <row r="4770" spans="13:16">
      <c r="M4770">
        <v>0.26904009906373272</v>
      </c>
      <c r="N4770">
        <v>0.19722587740244962</v>
      </c>
      <c r="O4770">
        <v>0.26002817758892216</v>
      </c>
      <c r="P4770">
        <v>0.27370584594489555</v>
      </c>
    </row>
    <row r="4771" spans="13:16">
      <c r="M4771">
        <v>0.27799588902728711</v>
      </c>
      <c r="N4771">
        <v>0.17717648436973038</v>
      </c>
      <c r="O4771">
        <v>0.29529821082075058</v>
      </c>
      <c r="P4771">
        <v>0.24952941578223195</v>
      </c>
    </row>
    <row r="4772" spans="13:16">
      <c r="M4772">
        <v>0.312014387066398</v>
      </c>
      <c r="N4772">
        <v>0.16086055802625404</v>
      </c>
      <c r="O4772">
        <v>0.28681359620161978</v>
      </c>
      <c r="P4772">
        <v>0.24031145870572818</v>
      </c>
    </row>
    <row r="4773" spans="13:16">
      <c r="M4773">
        <v>0.29719110104372304</v>
      </c>
      <c r="N4773">
        <v>0.18383880394805419</v>
      </c>
      <c r="O4773">
        <v>0.24495043879419465</v>
      </c>
      <c r="P4773">
        <v>0.27401965621402818</v>
      </c>
    </row>
    <row r="4774" spans="13:16">
      <c r="M4774">
        <v>0.30228364053735557</v>
      </c>
      <c r="N4774">
        <v>0.16912858817466364</v>
      </c>
      <c r="O4774">
        <v>0.27693012402118578</v>
      </c>
      <c r="P4774">
        <v>0.25165764726679496</v>
      </c>
    </row>
    <row r="4775" spans="13:16">
      <c r="M4775">
        <v>0.27655928673378838</v>
      </c>
      <c r="N4775">
        <v>0.18591050984343099</v>
      </c>
      <c r="O4775">
        <v>0.2668162939496625</v>
      </c>
      <c r="P4775">
        <v>0.27071390947311824</v>
      </c>
    </row>
    <row r="4776" spans="13:16">
      <c r="M4776">
        <v>0.29176915112028412</v>
      </c>
      <c r="N4776">
        <v>0.20982677153526283</v>
      </c>
      <c r="O4776">
        <v>0.23753857690324109</v>
      </c>
      <c r="P4776">
        <v>0.26086550044121198</v>
      </c>
    </row>
    <row r="4777" spans="13:16">
      <c r="M4777">
        <v>0.28148354567136319</v>
      </c>
      <c r="N4777">
        <v>0.18781000974231898</v>
      </c>
      <c r="O4777">
        <v>0.27539038633815743</v>
      </c>
      <c r="P4777">
        <v>0.25531605824816034</v>
      </c>
    </row>
    <row r="4778" spans="13:16">
      <c r="M4778">
        <v>0.31810164424692416</v>
      </c>
      <c r="N4778">
        <v>0.17792367876588999</v>
      </c>
      <c r="O4778">
        <v>0.24668501422131098</v>
      </c>
      <c r="P4778">
        <v>0.25728966276587484</v>
      </c>
    </row>
    <row r="4779" spans="13:16">
      <c r="M4779">
        <v>0.28234017221222901</v>
      </c>
      <c r="N4779">
        <v>0.17772054993010417</v>
      </c>
      <c r="O4779">
        <v>0.25753812406946286</v>
      </c>
      <c r="P4779">
        <v>0.28240115378820391</v>
      </c>
    </row>
    <row r="4780" spans="13:16">
      <c r="M4780">
        <v>0.32201655519072636</v>
      </c>
      <c r="N4780">
        <v>0.17221556622908496</v>
      </c>
      <c r="O4780">
        <v>0.24121930840154995</v>
      </c>
      <c r="P4780">
        <v>0.26454857017863875</v>
      </c>
    </row>
    <row r="4781" spans="13:16">
      <c r="M4781">
        <v>0.32416063040758075</v>
      </c>
      <c r="N4781">
        <v>0.18611879327135131</v>
      </c>
      <c r="O4781">
        <v>0.21503917244999141</v>
      </c>
      <c r="P4781">
        <v>0.27468140387107648</v>
      </c>
    </row>
    <row r="4782" spans="13:16">
      <c r="M4782">
        <v>0.31156559863723504</v>
      </c>
      <c r="N4782">
        <v>0.18795486759924523</v>
      </c>
      <c r="O4782">
        <v>0.24493350475882839</v>
      </c>
      <c r="P4782">
        <v>0.25554602900469142</v>
      </c>
    </row>
    <row r="4783" spans="13:16">
      <c r="M4783">
        <v>0.29165602610800295</v>
      </c>
      <c r="N4783">
        <v>0.18197314642958351</v>
      </c>
      <c r="O4783">
        <v>0.26798373276615345</v>
      </c>
      <c r="P4783">
        <v>0.25838709469626009</v>
      </c>
    </row>
    <row r="4784" spans="13:16">
      <c r="M4784">
        <v>0.2719847243307123</v>
      </c>
      <c r="N4784">
        <v>0.20929422192736644</v>
      </c>
      <c r="O4784">
        <v>0.24189004606354095</v>
      </c>
      <c r="P4784">
        <v>0.27683100767838031</v>
      </c>
    </row>
    <row r="4785" spans="13:16">
      <c r="M4785">
        <v>0.27787651870237468</v>
      </c>
      <c r="N4785">
        <v>0.19938776511222786</v>
      </c>
      <c r="O4785">
        <v>0.26780280934420958</v>
      </c>
      <c r="P4785">
        <v>0.25493290684118786</v>
      </c>
    </row>
    <row r="4786" spans="13:16">
      <c r="M4786">
        <v>0.28689136728697712</v>
      </c>
      <c r="N4786">
        <v>0.18857374591551271</v>
      </c>
      <c r="O4786">
        <v>0.25950858100289903</v>
      </c>
      <c r="P4786">
        <v>0.26502630579461123</v>
      </c>
    </row>
    <row r="4787" spans="13:16">
      <c r="M4787">
        <v>0.27713711267657248</v>
      </c>
      <c r="N4787">
        <v>0.19491630501188112</v>
      </c>
      <c r="O4787">
        <v>0.25533594860835102</v>
      </c>
      <c r="P4787">
        <v>0.27261063370319538</v>
      </c>
    </row>
    <row r="4788" spans="13:16">
      <c r="M4788">
        <v>0.27261758652520812</v>
      </c>
      <c r="N4788">
        <v>0.19089945426446445</v>
      </c>
      <c r="O4788">
        <v>0.26094962433453256</v>
      </c>
      <c r="P4788">
        <v>0.27553333487579479</v>
      </c>
    </row>
    <row r="4789" spans="13:16">
      <c r="M4789">
        <v>0.28219158190870092</v>
      </c>
      <c r="N4789">
        <v>0.18798441300493399</v>
      </c>
      <c r="O4789">
        <v>0.25499525453855387</v>
      </c>
      <c r="P4789">
        <v>0.27482875054781114</v>
      </c>
    </row>
    <row r="4790" spans="13:16">
      <c r="M4790">
        <v>0.26455073662848272</v>
      </c>
      <c r="N4790">
        <v>0.19596905723050234</v>
      </c>
      <c r="O4790">
        <v>0.27771994968578484</v>
      </c>
      <c r="P4790">
        <v>0.26176025645523021</v>
      </c>
    </row>
    <row r="4791" spans="13:16">
      <c r="M4791">
        <v>0.30264958114803914</v>
      </c>
      <c r="N4791">
        <v>0.17024315387192115</v>
      </c>
      <c r="O4791">
        <v>0.27783239455219244</v>
      </c>
      <c r="P4791">
        <v>0.24927487042784729</v>
      </c>
    </row>
    <row r="4792" spans="13:16">
      <c r="M4792">
        <v>0.2642561134518876</v>
      </c>
      <c r="N4792">
        <v>0.19954740271291255</v>
      </c>
      <c r="O4792">
        <v>0.28193607314964503</v>
      </c>
      <c r="P4792">
        <v>0.25426041068555494</v>
      </c>
    </row>
    <row r="4793" spans="13:16">
      <c r="M4793">
        <v>0.2865122128728948</v>
      </c>
      <c r="N4793">
        <v>0.17871480643944457</v>
      </c>
      <c r="O4793">
        <v>0.27348770070498146</v>
      </c>
      <c r="P4793">
        <v>0.26128527998267909</v>
      </c>
    </row>
    <row r="4794" spans="13:16">
      <c r="M4794">
        <v>0.27014860235466837</v>
      </c>
      <c r="N4794">
        <v>0.2014638575841228</v>
      </c>
      <c r="O4794">
        <v>0.25327744230460325</v>
      </c>
      <c r="P4794">
        <v>0.27511009775660561</v>
      </c>
    </row>
    <row r="4795" spans="13:16">
      <c r="M4795">
        <v>0.30723106988598226</v>
      </c>
      <c r="N4795">
        <v>0.17851907240074802</v>
      </c>
      <c r="O4795">
        <v>0.23852895750440922</v>
      </c>
      <c r="P4795">
        <v>0.27572090020886053</v>
      </c>
    </row>
    <row r="4796" spans="13:16">
      <c r="M4796">
        <v>0.2842609789755039</v>
      </c>
      <c r="N4796">
        <v>0.17643025148935607</v>
      </c>
      <c r="O4796">
        <v>0.2683260068781812</v>
      </c>
      <c r="P4796">
        <v>0.27098276265695892</v>
      </c>
    </row>
    <row r="4797" spans="13:16">
      <c r="M4797">
        <v>0.3021144371109461</v>
      </c>
      <c r="N4797">
        <v>0.18366080528821116</v>
      </c>
      <c r="O4797">
        <v>0.25323855049494881</v>
      </c>
      <c r="P4797">
        <v>0.26098620710589399</v>
      </c>
    </row>
    <row r="4798" spans="13:16">
      <c r="M4798">
        <v>0.27686267872927195</v>
      </c>
      <c r="N4798">
        <v>0.19661210548220404</v>
      </c>
      <c r="O4798">
        <v>0.26241753470734508</v>
      </c>
      <c r="P4798">
        <v>0.26410768108117888</v>
      </c>
    </row>
    <row r="4799" spans="13:16">
      <c r="M4799">
        <v>0.29638827063366213</v>
      </c>
      <c r="N4799">
        <v>0.18202474181757991</v>
      </c>
      <c r="O4799">
        <v>0.2765732199300685</v>
      </c>
      <c r="P4799">
        <v>0.24501376761868937</v>
      </c>
    </row>
    <row r="4800" spans="13:16">
      <c r="M4800">
        <v>0.27271456945939021</v>
      </c>
      <c r="N4800">
        <v>0.19324195679088399</v>
      </c>
      <c r="O4800">
        <v>0.26447220549287215</v>
      </c>
      <c r="P4800">
        <v>0.26957126825685362</v>
      </c>
    </row>
    <row r="4801" spans="13:16">
      <c r="M4801">
        <v>0.28461770799807895</v>
      </c>
      <c r="N4801">
        <v>0.18300984934670633</v>
      </c>
      <c r="O4801">
        <v>0.2793167679671561</v>
      </c>
      <c r="P4801">
        <v>0.25305567468805873</v>
      </c>
    </row>
    <row r="4802" spans="13:16">
      <c r="M4802">
        <v>0.28298468189548731</v>
      </c>
      <c r="N4802">
        <v>0.18338486135089482</v>
      </c>
      <c r="O4802">
        <v>0.25472819686882775</v>
      </c>
      <c r="P4802">
        <v>0.27890225988479006</v>
      </c>
    </row>
    <row r="4803" spans="13:16">
      <c r="M4803">
        <v>0.29316986817470481</v>
      </c>
      <c r="N4803">
        <v>0.16828998132398468</v>
      </c>
      <c r="O4803">
        <v>0.29465340997871681</v>
      </c>
      <c r="P4803">
        <v>0.24388674052259376</v>
      </c>
    </row>
    <row r="4804" spans="13:16">
      <c r="M4804">
        <v>0.29699058825075358</v>
      </c>
      <c r="N4804">
        <v>0.18124039593476457</v>
      </c>
      <c r="O4804">
        <v>0.25017015177330765</v>
      </c>
      <c r="P4804">
        <v>0.27159886404117412</v>
      </c>
    </row>
    <row r="4805" spans="13:16">
      <c r="M4805">
        <v>0.30089297085268613</v>
      </c>
      <c r="N4805">
        <v>0.17835009436158936</v>
      </c>
      <c r="O4805">
        <v>0.24327929266291617</v>
      </c>
      <c r="P4805">
        <v>0.27747764212280829</v>
      </c>
    </row>
    <row r="4806" spans="13:16">
      <c r="M4806">
        <v>0.27441124558539109</v>
      </c>
      <c r="N4806">
        <v>0.20906980808030362</v>
      </c>
      <c r="O4806">
        <v>0.22781472330369185</v>
      </c>
      <c r="P4806">
        <v>0.28870422303061338</v>
      </c>
    </row>
    <row r="4807" spans="13:16">
      <c r="M4807">
        <v>0.31988542404096809</v>
      </c>
      <c r="N4807">
        <v>0.18038794560868587</v>
      </c>
      <c r="O4807">
        <v>0.2402486196011818</v>
      </c>
      <c r="P4807">
        <v>0.25947801074916416</v>
      </c>
    </row>
    <row r="4808" spans="13:16">
      <c r="M4808">
        <v>0.3161030743459034</v>
      </c>
      <c r="N4808">
        <v>0.18639479024233621</v>
      </c>
      <c r="O4808">
        <v>0.25794617710086476</v>
      </c>
      <c r="P4808">
        <v>0.23955595831089563</v>
      </c>
    </row>
    <row r="4809" spans="13:16">
      <c r="M4809">
        <v>0.31289251762747167</v>
      </c>
      <c r="N4809">
        <v>0.17052215256304121</v>
      </c>
      <c r="O4809">
        <v>0.25938884293621417</v>
      </c>
      <c r="P4809">
        <v>0.25719648687327307</v>
      </c>
    </row>
    <row r="4810" spans="13:16">
      <c r="M4810">
        <v>0.27886957305460097</v>
      </c>
      <c r="N4810">
        <v>0.19662455096658432</v>
      </c>
      <c r="O4810">
        <v>0.25664329801185909</v>
      </c>
      <c r="P4810">
        <v>0.26786257796695556</v>
      </c>
    </row>
    <row r="4811" spans="13:16">
      <c r="M4811">
        <v>0.30674732738044364</v>
      </c>
      <c r="N4811">
        <v>0.18593004719583073</v>
      </c>
      <c r="O4811">
        <v>0.22486308299276486</v>
      </c>
      <c r="P4811">
        <v>0.28245954243096077</v>
      </c>
    </row>
    <row r="4812" spans="13:16">
      <c r="M4812">
        <v>0.29616168073665544</v>
      </c>
      <c r="N4812">
        <v>0.18853266471407235</v>
      </c>
      <c r="O4812">
        <v>0.25346650695058731</v>
      </c>
      <c r="P4812">
        <v>0.26183914759868487</v>
      </c>
    </row>
    <row r="4813" spans="13:16">
      <c r="M4813">
        <v>0.30715248160931075</v>
      </c>
      <c r="N4813">
        <v>0.20211129723384447</v>
      </c>
      <c r="O4813">
        <v>0.22076688733381009</v>
      </c>
      <c r="P4813">
        <v>0.26996933382303462</v>
      </c>
    </row>
    <row r="4814" spans="13:16">
      <c r="M4814">
        <v>0.28511823286449284</v>
      </c>
      <c r="N4814">
        <v>0.19717512928327494</v>
      </c>
      <c r="O4814">
        <v>0.25101100215227368</v>
      </c>
      <c r="P4814">
        <v>0.26669563569995847</v>
      </c>
    </row>
    <row r="4815" spans="13:16">
      <c r="M4815">
        <v>0.28360778469217018</v>
      </c>
      <c r="N4815">
        <v>0.19031521392502682</v>
      </c>
      <c r="O4815">
        <v>0.26883117015475699</v>
      </c>
      <c r="P4815">
        <v>0.2572458312280459</v>
      </c>
    </row>
    <row r="4816" spans="13:16">
      <c r="M4816">
        <v>0.29188216309259107</v>
      </c>
      <c r="N4816">
        <v>0.17505458768571186</v>
      </c>
      <c r="O4816">
        <v>0.26846630251628995</v>
      </c>
      <c r="P4816">
        <v>0.26459694670540712</v>
      </c>
    </row>
    <row r="4817" spans="13:16">
      <c r="M4817">
        <v>0.28881112059754638</v>
      </c>
      <c r="N4817">
        <v>0.19125034031482926</v>
      </c>
      <c r="O4817">
        <v>0.25603881934839168</v>
      </c>
      <c r="P4817">
        <v>0.26389971973923282</v>
      </c>
    </row>
    <row r="4818" spans="13:16">
      <c r="M4818">
        <v>0.27300598654054975</v>
      </c>
      <c r="N4818">
        <v>0.1904767623235957</v>
      </c>
      <c r="O4818">
        <v>0.24842553863381858</v>
      </c>
      <c r="P4818">
        <v>0.28809171250203602</v>
      </c>
    </row>
    <row r="4819" spans="13:16">
      <c r="M4819">
        <v>0.32717576305555435</v>
      </c>
      <c r="N4819">
        <v>0.17867610676888412</v>
      </c>
      <c r="O4819">
        <v>0.21683887007309172</v>
      </c>
      <c r="P4819">
        <v>0.27730926010246981</v>
      </c>
    </row>
    <row r="4820" spans="13:16">
      <c r="M4820">
        <v>0.27575076616019217</v>
      </c>
      <c r="N4820">
        <v>0.20793053298813255</v>
      </c>
      <c r="O4820">
        <v>0.23418495263675149</v>
      </c>
      <c r="P4820">
        <v>0.28213374821492376</v>
      </c>
    </row>
    <row r="4821" spans="13:16">
      <c r="M4821">
        <v>0.28804785978077085</v>
      </c>
      <c r="N4821">
        <v>0.18970024996077078</v>
      </c>
      <c r="O4821">
        <v>0.24894879848291931</v>
      </c>
      <c r="P4821">
        <v>0.27330309177553896</v>
      </c>
    </row>
    <row r="4822" spans="13:16">
      <c r="M4822">
        <v>0.29917787630615794</v>
      </c>
      <c r="N4822">
        <v>0.19316234849866742</v>
      </c>
      <c r="O4822">
        <v>0.2482988306685337</v>
      </c>
      <c r="P4822">
        <v>0.25936094452664088</v>
      </c>
    </row>
    <row r="4823" spans="13:16">
      <c r="M4823">
        <v>0.27276737461841177</v>
      </c>
      <c r="N4823">
        <v>0.18439734199688657</v>
      </c>
      <c r="O4823">
        <v>0.28638522140299633</v>
      </c>
      <c r="P4823">
        <v>0.25645006198170545</v>
      </c>
    </row>
    <row r="4824" spans="13:16">
      <c r="M4824">
        <v>0.28959884746734799</v>
      </c>
      <c r="N4824">
        <v>0.18993645912411136</v>
      </c>
      <c r="O4824">
        <v>0.25902773278585051</v>
      </c>
      <c r="P4824">
        <v>0.26143696062269017</v>
      </c>
    </row>
    <row r="4825" spans="13:16">
      <c r="M4825">
        <v>0.2827193987642696</v>
      </c>
      <c r="N4825">
        <v>0.18508044765978221</v>
      </c>
      <c r="O4825">
        <v>0.28302947999868389</v>
      </c>
      <c r="P4825">
        <v>0.2491706735772643</v>
      </c>
    </row>
    <row r="4826" spans="13:16">
      <c r="M4826">
        <v>0.31972753440466667</v>
      </c>
      <c r="N4826">
        <v>0.1656582830847512</v>
      </c>
      <c r="O4826">
        <v>0.25204790109995268</v>
      </c>
      <c r="P4826">
        <v>0.26256628141062949</v>
      </c>
    </row>
    <row r="4827" spans="13:16">
      <c r="M4827">
        <v>0.30937384743260854</v>
      </c>
      <c r="N4827">
        <v>0.17872276177748708</v>
      </c>
      <c r="O4827">
        <v>0.24199921070546035</v>
      </c>
      <c r="P4827">
        <v>0.26990418008444395</v>
      </c>
    </row>
    <row r="4828" spans="13:16">
      <c r="M4828">
        <v>0.29918312816009529</v>
      </c>
      <c r="N4828">
        <v>0.17142350026816</v>
      </c>
      <c r="O4828">
        <v>0.26714964938513081</v>
      </c>
      <c r="P4828">
        <v>0.26224372218661396</v>
      </c>
    </row>
    <row r="4829" spans="13:16">
      <c r="M4829">
        <v>0.27458462753557605</v>
      </c>
      <c r="N4829">
        <v>0.19962157694336147</v>
      </c>
      <c r="O4829">
        <v>0.25136847767829523</v>
      </c>
      <c r="P4829">
        <v>0.27442531784276725</v>
      </c>
    </row>
    <row r="4830" spans="13:16">
      <c r="M4830">
        <v>0.28782092880886356</v>
      </c>
      <c r="N4830">
        <v>0.19486207913013842</v>
      </c>
      <c r="O4830">
        <v>0.2677543239292744</v>
      </c>
      <c r="P4830">
        <v>0.24956266813172368</v>
      </c>
    </row>
    <row r="4831" spans="13:16">
      <c r="M4831">
        <v>0.27832399418751796</v>
      </c>
      <c r="N4831">
        <v>0.17066229864490315</v>
      </c>
      <c r="O4831">
        <v>0.2886714222996864</v>
      </c>
      <c r="P4831">
        <v>0.26234228486789252</v>
      </c>
    </row>
    <row r="4832" spans="13:16">
      <c r="M4832">
        <v>0.2920850815210263</v>
      </c>
      <c r="N4832">
        <v>0.1885978212521259</v>
      </c>
      <c r="O4832">
        <v>0.25524702654247822</v>
      </c>
      <c r="P4832">
        <v>0.26407007068436944</v>
      </c>
    </row>
    <row r="4833" spans="13:16">
      <c r="M4833">
        <v>0.31103407427177654</v>
      </c>
      <c r="N4833">
        <v>0.18365832542405847</v>
      </c>
      <c r="O4833">
        <v>0.24457736510420244</v>
      </c>
      <c r="P4833">
        <v>0.26073023519996247</v>
      </c>
    </row>
    <row r="4834" spans="13:16">
      <c r="M4834">
        <v>0.29863355279773546</v>
      </c>
      <c r="N4834">
        <v>0.20001944041924377</v>
      </c>
      <c r="O4834">
        <v>0.24073631458863431</v>
      </c>
      <c r="P4834">
        <v>0.26061069219438648</v>
      </c>
    </row>
    <row r="4835" spans="13:16">
      <c r="M4835">
        <v>0.27850789578964469</v>
      </c>
      <c r="N4835">
        <v>0.17985282883024073</v>
      </c>
      <c r="O4835">
        <v>0.2806153357003921</v>
      </c>
      <c r="P4835">
        <v>0.26102393967972259</v>
      </c>
    </row>
    <row r="4836" spans="13:16">
      <c r="M4836">
        <v>0.29041776964767652</v>
      </c>
      <c r="N4836">
        <v>0.19076479186559234</v>
      </c>
      <c r="O4836">
        <v>0.26304012369851859</v>
      </c>
      <c r="P4836">
        <v>0.25577731478821258</v>
      </c>
    </row>
    <row r="4837" spans="13:16">
      <c r="M4837">
        <v>0.32349251128650031</v>
      </c>
      <c r="N4837">
        <v>0.18545728831429759</v>
      </c>
      <c r="O4837">
        <v>0.23393910591121297</v>
      </c>
      <c r="P4837">
        <v>0.25711109448798908</v>
      </c>
    </row>
    <row r="4838" spans="13:16">
      <c r="M4838">
        <v>0.32695778559933331</v>
      </c>
      <c r="N4838">
        <v>0.17520249372072538</v>
      </c>
      <c r="O4838">
        <v>0.23007117958337481</v>
      </c>
      <c r="P4838">
        <v>0.26776854109656634</v>
      </c>
    </row>
    <row r="4839" spans="13:16">
      <c r="M4839">
        <v>0.30295587503879345</v>
      </c>
      <c r="N4839">
        <v>0.18223137219351637</v>
      </c>
      <c r="O4839">
        <v>0.2528936241728959</v>
      </c>
      <c r="P4839">
        <v>0.2619191285947941</v>
      </c>
    </row>
    <row r="4840" spans="13:16">
      <c r="M4840">
        <v>0.29527359474910003</v>
      </c>
      <c r="N4840">
        <v>0.18569209808236839</v>
      </c>
      <c r="O4840">
        <v>0.25366745360754994</v>
      </c>
      <c r="P4840">
        <v>0.26536685356098177</v>
      </c>
    </row>
    <row r="4841" spans="13:16">
      <c r="M4841">
        <v>0.2880345097294616</v>
      </c>
      <c r="N4841">
        <v>0.19351798753903723</v>
      </c>
      <c r="O4841">
        <v>0.23960925758854534</v>
      </c>
      <c r="P4841">
        <v>0.27883824514295596</v>
      </c>
    </row>
    <row r="4842" spans="13:16">
      <c r="M4842">
        <v>0.29768723234553807</v>
      </c>
      <c r="N4842">
        <v>0.19006323484456325</v>
      </c>
      <c r="O4842">
        <v>0.24322608591333555</v>
      </c>
      <c r="P4842">
        <v>0.26902344689656316</v>
      </c>
    </row>
    <row r="4843" spans="13:16">
      <c r="M4843">
        <v>0.27452265279608518</v>
      </c>
      <c r="N4843">
        <v>0.19047001726383064</v>
      </c>
      <c r="O4843">
        <v>0.26971272114044509</v>
      </c>
      <c r="P4843">
        <v>0.26529460879963906</v>
      </c>
    </row>
    <row r="4844" spans="13:16">
      <c r="M4844">
        <v>0.28743805962487556</v>
      </c>
      <c r="N4844">
        <v>0.18519733467439814</v>
      </c>
      <c r="O4844">
        <v>0.27304899747148287</v>
      </c>
      <c r="P4844">
        <v>0.25431560822924354</v>
      </c>
    </row>
    <row r="4845" spans="13:16">
      <c r="M4845">
        <v>0.27681195437519568</v>
      </c>
      <c r="N4845">
        <v>0.18176435049531506</v>
      </c>
      <c r="O4845">
        <v>0.29191236286429639</v>
      </c>
      <c r="P4845">
        <v>0.24951133226519276</v>
      </c>
    </row>
    <row r="4846" spans="13:16">
      <c r="M4846">
        <v>0.29096485610906275</v>
      </c>
      <c r="N4846">
        <v>0.18192689235528733</v>
      </c>
      <c r="O4846">
        <v>0.28716379576544476</v>
      </c>
      <c r="P4846">
        <v>0.23994445577020512</v>
      </c>
    </row>
    <row r="4847" spans="13:16">
      <c r="M4847">
        <v>0.29485122869386382</v>
      </c>
      <c r="N4847">
        <v>0.19518442217338641</v>
      </c>
      <c r="O4847">
        <v>0.23810255473748168</v>
      </c>
      <c r="P4847">
        <v>0.27186179439526797</v>
      </c>
    </row>
    <row r="4848" spans="13:16">
      <c r="M4848">
        <v>0.29031915461436469</v>
      </c>
      <c r="N4848">
        <v>0.1822786461476304</v>
      </c>
      <c r="O4848">
        <v>0.26559065684245953</v>
      </c>
      <c r="P4848">
        <v>0.26181154239554538</v>
      </c>
    </row>
    <row r="4849" spans="13:16">
      <c r="M4849">
        <v>0.2937604218466055</v>
      </c>
      <c r="N4849">
        <v>0.17710078908629934</v>
      </c>
      <c r="O4849">
        <v>0.25930546391530684</v>
      </c>
      <c r="P4849">
        <v>0.26983332515178826</v>
      </c>
    </row>
    <row r="4850" spans="13:16">
      <c r="M4850">
        <v>0.3093022983728369</v>
      </c>
      <c r="N4850">
        <v>0.18682359089678915</v>
      </c>
      <c r="O4850">
        <v>0.23867297939731383</v>
      </c>
      <c r="P4850">
        <v>0.26520113133306017</v>
      </c>
    </row>
    <row r="4851" spans="13:16">
      <c r="M4851">
        <v>0.30011729932087922</v>
      </c>
      <c r="N4851">
        <v>0.18284909649278419</v>
      </c>
      <c r="O4851">
        <v>0.27071720430936741</v>
      </c>
      <c r="P4851">
        <v>0.24631639987696921</v>
      </c>
    </row>
    <row r="4852" spans="13:16">
      <c r="M4852">
        <v>0.30759228143986717</v>
      </c>
      <c r="N4852">
        <v>0.18359682797819224</v>
      </c>
      <c r="O4852">
        <v>0.25673985328037779</v>
      </c>
      <c r="P4852">
        <v>0.25207103730156272</v>
      </c>
    </row>
    <row r="4853" spans="13:16">
      <c r="M4853">
        <v>0.28755669542332774</v>
      </c>
      <c r="N4853">
        <v>0.20711988177838364</v>
      </c>
      <c r="O4853">
        <v>0.24392139934664178</v>
      </c>
      <c r="P4853">
        <v>0.26140202345164681</v>
      </c>
    </row>
    <row r="4854" spans="13:16">
      <c r="M4854">
        <v>0.28633649497247449</v>
      </c>
      <c r="N4854">
        <v>0.16291379566920977</v>
      </c>
      <c r="O4854">
        <v>0.30078424377548513</v>
      </c>
      <c r="P4854">
        <v>0.24996546558283056</v>
      </c>
    </row>
    <row r="4855" spans="13:16">
      <c r="M4855">
        <v>0.30251592467925731</v>
      </c>
      <c r="N4855">
        <v>0.17865686016662313</v>
      </c>
      <c r="O4855">
        <v>0.26166569500160203</v>
      </c>
      <c r="P4855">
        <v>0.25716152015251764</v>
      </c>
    </row>
    <row r="4856" spans="13:16">
      <c r="M4856">
        <v>0.30925222698826937</v>
      </c>
      <c r="N4856">
        <v>0.18940361363766994</v>
      </c>
      <c r="O4856">
        <v>0.23135161341884986</v>
      </c>
      <c r="P4856">
        <v>0.26999254595521083</v>
      </c>
    </row>
    <row r="4857" spans="13:16">
      <c r="M4857">
        <v>0.28856758917806813</v>
      </c>
      <c r="N4857">
        <v>0.18219296457106782</v>
      </c>
      <c r="O4857">
        <v>0.25185624016659391</v>
      </c>
      <c r="P4857">
        <v>0.27738320608427003</v>
      </c>
    </row>
    <row r="4858" spans="13:16">
      <c r="M4858">
        <v>0.29594668512352112</v>
      </c>
      <c r="N4858">
        <v>0.18277913187331993</v>
      </c>
      <c r="O4858">
        <v>0.25362513840690809</v>
      </c>
      <c r="P4858">
        <v>0.26764904459625077</v>
      </c>
    </row>
    <row r="4859" spans="13:16">
      <c r="M4859">
        <v>0.28190970758094075</v>
      </c>
      <c r="N4859">
        <v>0.17891912412289626</v>
      </c>
      <c r="O4859">
        <v>0.28800626131192886</v>
      </c>
      <c r="P4859">
        <v>0.25116490698423427</v>
      </c>
    </row>
    <row r="4860" spans="13:16">
      <c r="M4860">
        <v>0.27202478397011959</v>
      </c>
      <c r="N4860">
        <v>0.2116024365700182</v>
      </c>
      <c r="O4860">
        <v>0.25256475570419362</v>
      </c>
      <c r="P4860">
        <v>0.26380802375566864</v>
      </c>
    </row>
    <row r="4861" spans="13:16">
      <c r="M4861">
        <v>0.29511699893793786</v>
      </c>
      <c r="N4861">
        <v>0.18969323458786896</v>
      </c>
      <c r="O4861">
        <v>0.2585738439209273</v>
      </c>
      <c r="P4861">
        <v>0.25661592255326582</v>
      </c>
    </row>
    <row r="4862" spans="13:16">
      <c r="M4862">
        <v>0.31992336184556502</v>
      </c>
      <c r="N4862">
        <v>0.18152534732460632</v>
      </c>
      <c r="O4862">
        <v>0.22828578255126025</v>
      </c>
      <c r="P4862">
        <v>0.27026550827856843</v>
      </c>
    </row>
    <row r="4863" spans="13:16">
      <c r="M4863">
        <v>0.25561795747921723</v>
      </c>
      <c r="N4863">
        <v>0.19985987618117459</v>
      </c>
      <c r="O4863">
        <v>0.28386947346591612</v>
      </c>
      <c r="P4863">
        <v>0.26065269287369208</v>
      </c>
    </row>
    <row r="4864" spans="13:16">
      <c r="M4864">
        <v>0.32395386925422759</v>
      </c>
      <c r="N4864">
        <v>0.17090943288390931</v>
      </c>
      <c r="O4864">
        <v>0.24621446123829599</v>
      </c>
      <c r="P4864">
        <v>0.25892223662356717</v>
      </c>
    </row>
    <row r="4865" spans="13:16">
      <c r="M4865">
        <v>0.28518774368700178</v>
      </c>
      <c r="N4865">
        <v>0.18505810511436571</v>
      </c>
      <c r="O4865">
        <v>0.27686760548450629</v>
      </c>
      <c r="P4865">
        <v>0.25288654571412611</v>
      </c>
    </row>
    <row r="4866" spans="13:16">
      <c r="M4866">
        <v>0.28162723719695604</v>
      </c>
      <c r="N4866">
        <v>0.19046063791907766</v>
      </c>
      <c r="O4866">
        <v>0.25834982759185021</v>
      </c>
      <c r="P4866">
        <v>0.26956229729211612</v>
      </c>
    </row>
    <row r="4867" spans="13:16">
      <c r="M4867">
        <v>0.30102220451135531</v>
      </c>
      <c r="N4867">
        <v>0.17846030910624108</v>
      </c>
      <c r="O4867">
        <v>0.26288412333803235</v>
      </c>
      <c r="P4867">
        <v>0.25763336304437129</v>
      </c>
    </row>
    <row r="4868" spans="13:16">
      <c r="M4868">
        <v>0.29431122428546341</v>
      </c>
      <c r="N4868">
        <v>0.18435895839295688</v>
      </c>
      <c r="O4868">
        <v>0.27115459650219609</v>
      </c>
      <c r="P4868">
        <v>0.2501752208193837</v>
      </c>
    </row>
    <row r="4869" spans="13:16">
      <c r="M4869">
        <v>0.3199857976387348</v>
      </c>
      <c r="N4869">
        <v>0.16801868177023191</v>
      </c>
      <c r="O4869">
        <v>0.25161376692480952</v>
      </c>
      <c r="P4869">
        <v>0.26038175366622374</v>
      </c>
    </row>
    <row r="4870" spans="13:16">
      <c r="M4870">
        <v>0.29296765730625762</v>
      </c>
      <c r="N4870">
        <v>0.18374151051159562</v>
      </c>
      <c r="O4870">
        <v>0.26567960015666586</v>
      </c>
      <c r="P4870">
        <v>0.25761123202548092</v>
      </c>
    </row>
    <row r="4871" spans="13:16">
      <c r="M4871">
        <v>0.28448308299105812</v>
      </c>
      <c r="N4871">
        <v>0.20102568580993452</v>
      </c>
      <c r="O4871">
        <v>0.26004649178645511</v>
      </c>
      <c r="P4871">
        <v>0.2544447394125523</v>
      </c>
    </row>
    <row r="4872" spans="13:16">
      <c r="M4872">
        <v>0.28207617932497808</v>
      </c>
      <c r="N4872">
        <v>0.18239186557268552</v>
      </c>
      <c r="O4872">
        <v>0.25622669081207916</v>
      </c>
      <c r="P4872">
        <v>0.2793052642902572</v>
      </c>
    </row>
    <row r="4873" spans="13:16">
      <c r="M4873">
        <v>0.28341689571573991</v>
      </c>
      <c r="N4873">
        <v>0.19457348747058859</v>
      </c>
      <c r="O4873">
        <v>0.23704268286450159</v>
      </c>
      <c r="P4873">
        <v>0.28496693394916989</v>
      </c>
    </row>
    <row r="4874" spans="13:16">
      <c r="M4874">
        <v>0.28630607029062322</v>
      </c>
      <c r="N4874">
        <v>0.17581721118139002</v>
      </c>
      <c r="O4874">
        <v>0.28029214495053245</v>
      </c>
      <c r="P4874">
        <v>0.25758457357745435</v>
      </c>
    </row>
    <row r="4875" spans="13:16">
      <c r="M4875">
        <v>0.27972996782906995</v>
      </c>
      <c r="N4875">
        <v>0.18651872109879405</v>
      </c>
      <c r="O4875">
        <v>0.27534363167734049</v>
      </c>
      <c r="P4875">
        <v>0.25840767939479559</v>
      </c>
    </row>
    <row r="4876" spans="13:16">
      <c r="M4876">
        <v>0.30090022873636374</v>
      </c>
      <c r="N4876">
        <v>0.20627045790100423</v>
      </c>
      <c r="O4876">
        <v>0.23401926501918024</v>
      </c>
      <c r="P4876">
        <v>0.25881004834345178</v>
      </c>
    </row>
    <row r="4877" spans="13:16">
      <c r="M4877">
        <v>0.30714759088104321</v>
      </c>
      <c r="N4877">
        <v>0.17075410564892304</v>
      </c>
      <c r="O4877">
        <v>0.25717816979835784</v>
      </c>
      <c r="P4877">
        <v>0.26492013367167583</v>
      </c>
    </row>
    <row r="4878" spans="13:16">
      <c r="M4878">
        <v>0.30754735141522022</v>
      </c>
      <c r="N4878">
        <v>0.17852000603002341</v>
      </c>
      <c r="O4878">
        <v>0.25846006008992539</v>
      </c>
      <c r="P4878">
        <v>0.25547258246483096</v>
      </c>
    </row>
    <row r="4879" spans="13:16">
      <c r="M4879">
        <v>0.30590062752903752</v>
      </c>
      <c r="N4879">
        <v>0.15727749929509766</v>
      </c>
      <c r="O4879">
        <v>0.30099179885850669</v>
      </c>
      <c r="P4879">
        <v>0.23583007431735808</v>
      </c>
    </row>
    <row r="4880" spans="13:16">
      <c r="M4880">
        <v>0.30412099464791159</v>
      </c>
      <c r="N4880">
        <v>0.19595105445711247</v>
      </c>
      <c r="O4880">
        <v>0.24309104521653702</v>
      </c>
      <c r="P4880">
        <v>0.25683690567843886</v>
      </c>
    </row>
    <row r="4881" spans="13:16">
      <c r="M4881">
        <v>0.29695071159473763</v>
      </c>
      <c r="N4881">
        <v>0.18424335606902439</v>
      </c>
      <c r="O4881">
        <v>0.23516334257051338</v>
      </c>
      <c r="P4881">
        <v>0.28364258976572448</v>
      </c>
    </row>
    <row r="4882" spans="13:16">
      <c r="M4882">
        <v>0.29186253134789464</v>
      </c>
      <c r="N4882">
        <v>0.18746303959743377</v>
      </c>
      <c r="O4882">
        <v>0.2458204611161445</v>
      </c>
      <c r="P4882">
        <v>0.27485396793852712</v>
      </c>
    </row>
    <row r="4883" spans="13:16">
      <c r="M4883">
        <v>0.32080448414863444</v>
      </c>
      <c r="N4883">
        <v>0.17730856877717535</v>
      </c>
      <c r="O4883">
        <v>0.23999147845111143</v>
      </c>
      <c r="P4883">
        <v>0.26189546862307878</v>
      </c>
    </row>
    <row r="4884" spans="13:16">
      <c r="M4884">
        <v>0.304830866007679</v>
      </c>
      <c r="N4884">
        <v>0.19040815143938189</v>
      </c>
      <c r="O4884">
        <v>0.23900196912066193</v>
      </c>
      <c r="P4884">
        <v>0.26575901343227726</v>
      </c>
    </row>
    <row r="4885" spans="13:16">
      <c r="M4885">
        <v>0.30801015257203368</v>
      </c>
      <c r="N4885">
        <v>0.17307104458380021</v>
      </c>
      <c r="O4885">
        <v>0.25477736959687219</v>
      </c>
      <c r="P4885">
        <v>0.26414143324729394</v>
      </c>
    </row>
    <row r="4886" spans="13:16">
      <c r="M4886">
        <v>0.29402089381082952</v>
      </c>
      <c r="N4886">
        <v>0.18156968783270816</v>
      </c>
      <c r="O4886">
        <v>0.26117206188336528</v>
      </c>
      <c r="P4886">
        <v>0.26323735647309715</v>
      </c>
    </row>
    <row r="4887" spans="13:16">
      <c r="M4887">
        <v>0.25909572043432183</v>
      </c>
      <c r="N4887">
        <v>0.20663749601332115</v>
      </c>
      <c r="O4887">
        <v>0.27219511605922636</v>
      </c>
      <c r="P4887">
        <v>0.2620716674931306</v>
      </c>
    </row>
    <row r="4888" spans="13:16">
      <c r="M4888">
        <v>0.29364778351675647</v>
      </c>
      <c r="N4888">
        <v>0.17741678850024778</v>
      </c>
      <c r="O4888">
        <v>0.27326084559971192</v>
      </c>
      <c r="P4888">
        <v>0.25567458238328389</v>
      </c>
    </row>
    <row r="4889" spans="13:16">
      <c r="M4889">
        <v>0.28052713481571817</v>
      </c>
      <c r="N4889">
        <v>0.18719069419071405</v>
      </c>
      <c r="O4889">
        <v>0.25731462409476868</v>
      </c>
      <c r="P4889">
        <v>0.27496754689879915</v>
      </c>
    </row>
    <row r="4890" spans="13:16">
      <c r="M4890">
        <v>0.31113004799788452</v>
      </c>
      <c r="N4890">
        <v>0.19811389448784542</v>
      </c>
      <c r="O4890">
        <v>0.24127762274901651</v>
      </c>
      <c r="P4890">
        <v>0.2494784347652535</v>
      </c>
    </row>
    <row r="4891" spans="13:16">
      <c r="M4891">
        <v>0.31439268326949676</v>
      </c>
      <c r="N4891">
        <v>0.17474686941572429</v>
      </c>
      <c r="O4891">
        <v>0.25803490287435299</v>
      </c>
      <c r="P4891">
        <v>0.25282554444042599</v>
      </c>
    </row>
    <row r="4892" spans="13:16">
      <c r="M4892">
        <v>0.29233376351272816</v>
      </c>
      <c r="N4892">
        <v>0.1886443919146267</v>
      </c>
      <c r="O4892">
        <v>0.26061764425089512</v>
      </c>
      <c r="P4892">
        <v>0.25840420032174993</v>
      </c>
    </row>
    <row r="4893" spans="13:16">
      <c r="M4893">
        <v>0.2995657033156055</v>
      </c>
      <c r="N4893">
        <v>0.18121505839289717</v>
      </c>
      <c r="O4893">
        <v>0.25865109321030544</v>
      </c>
      <c r="P4893">
        <v>0.26056814508119186</v>
      </c>
    </row>
    <row r="4894" spans="13:16">
      <c r="M4894">
        <v>0.29968013454964298</v>
      </c>
      <c r="N4894">
        <v>0.17751431650760324</v>
      </c>
      <c r="O4894">
        <v>0.25575409054721077</v>
      </c>
      <c r="P4894">
        <v>0.26705145839554301</v>
      </c>
    </row>
    <row r="4895" spans="13:16">
      <c r="M4895">
        <v>0.26681800311079262</v>
      </c>
      <c r="N4895">
        <v>0.19545365425660008</v>
      </c>
      <c r="O4895">
        <v>0.26679522095595781</v>
      </c>
      <c r="P4895">
        <v>0.27093312167664951</v>
      </c>
    </row>
    <row r="4896" spans="13:16">
      <c r="M4896">
        <v>0.29663223902558283</v>
      </c>
      <c r="N4896">
        <v>0.17283886867957773</v>
      </c>
      <c r="O4896">
        <v>0.2769913215319183</v>
      </c>
      <c r="P4896">
        <v>0.25353757076292116</v>
      </c>
    </row>
    <row r="4897" spans="13:16">
      <c r="M4897">
        <v>0.27411297181417421</v>
      </c>
      <c r="N4897">
        <v>0.18638369180540432</v>
      </c>
      <c r="O4897">
        <v>0.26712490139935868</v>
      </c>
      <c r="P4897">
        <v>0.27237843498106279</v>
      </c>
    </row>
    <row r="4898" spans="13:16">
      <c r="M4898">
        <v>0.27875899015594224</v>
      </c>
      <c r="N4898">
        <v>0.19669590441690346</v>
      </c>
      <c r="O4898">
        <v>0.24673380353868432</v>
      </c>
      <c r="P4898">
        <v>0.27781130188847003</v>
      </c>
    </row>
    <row r="4899" spans="13:16">
      <c r="M4899">
        <v>0.2825275359526756</v>
      </c>
      <c r="N4899">
        <v>0.20062440600669953</v>
      </c>
      <c r="O4899">
        <v>0.23883191859298683</v>
      </c>
      <c r="P4899">
        <v>0.27801613944763809</v>
      </c>
    </row>
    <row r="4900" spans="13:16">
      <c r="M4900">
        <v>0.28927944596698918</v>
      </c>
      <c r="N4900">
        <v>0.19407902572325575</v>
      </c>
      <c r="O4900">
        <v>0.24757126036154031</v>
      </c>
      <c r="P4900">
        <v>0.26907026794821465</v>
      </c>
    </row>
    <row r="4901" spans="13:16">
      <c r="M4901">
        <v>0.2910362095465629</v>
      </c>
      <c r="N4901">
        <v>0.1942727272845523</v>
      </c>
      <c r="O4901">
        <v>0.233637826779799</v>
      </c>
      <c r="P4901">
        <v>0.28105323638908569</v>
      </c>
    </row>
    <row r="4902" spans="13:16">
      <c r="M4902">
        <v>0.31639663366564047</v>
      </c>
      <c r="N4902">
        <v>0.17565934036315162</v>
      </c>
      <c r="O4902">
        <v>0.25609136539722832</v>
      </c>
      <c r="P4902">
        <v>0.25185266057397959</v>
      </c>
    </row>
    <row r="4903" spans="13:16">
      <c r="M4903">
        <v>0.28562308091465993</v>
      </c>
      <c r="N4903">
        <v>0.1695409351380055</v>
      </c>
      <c r="O4903">
        <v>0.29962897323526821</v>
      </c>
      <c r="P4903">
        <v>0.24520701071206641</v>
      </c>
    </row>
    <row r="4904" spans="13:16">
      <c r="M4904">
        <v>0.33391222493127137</v>
      </c>
      <c r="N4904">
        <v>0.1678580855798808</v>
      </c>
      <c r="O4904">
        <v>0.24038104062254212</v>
      </c>
      <c r="P4904">
        <v>0.25784864886630565</v>
      </c>
    </row>
    <row r="4905" spans="13:16">
      <c r="M4905">
        <v>0.27659674434232406</v>
      </c>
      <c r="N4905">
        <v>0.16961492814923637</v>
      </c>
      <c r="O4905">
        <v>0.29618526816341734</v>
      </c>
      <c r="P4905">
        <v>0.25760305934502237</v>
      </c>
    </row>
    <row r="4906" spans="13:16">
      <c r="M4906">
        <v>0.3074397923287715</v>
      </c>
      <c r="N4906">
        <v>0.17704289214930521</v>
      </c>
      <c r="O4906">
        <v>0.26966733844681418</v>
      </c>
      <c r="P4906">
        <v>0.245849977075109</v>
      </c>
    </row>
    <row r="4907" spans="13:16">
      <c r="M4907">
        <v>0.29091359590056481</v>
      </c>
      <c r="N4907">
        <v>0.18723724767002653</v>
      </c>
      <c r="O4907">
        <v>0.24637024710090552</v>
      </c>
      <c r="P4907">
        <v>0.275478909328503</v>
      </c>
    </row>
    <row r="4908" spans="13:16">
      <c r="M4908">
        <v>0.30986938173877315</v>
      </c>
      <c r="N4908">
        <v>0.16997727708027405</v>
      </c>
      <c r="O4908">
        <v>0.2650340953266247</v>
      </c>
      <c r="P4908">
        <v>0.25511924585432816</v>
      </c>
    </row>
    <row r="4909" spans="13:16">
      <c r="M4909">
        <v>0.3233231098040989</v>
      </c>
      <c r="N4909">
        <v>0.19297436308116406</v>
      </c>
      <c r="O4909">
        <v>0.22033623654504106</v>
      </c>
      <c r="P4909">
        <v>0.26336629056969602</v>
      </c>
    </row>
    <row r="4910" spans="13:16">
      <c r="M4910">
        <v>0.2923961501684913</v>
      </c>
      <c r="N4910">
        <v>0.20622423597545392</v>
      </c>
      <c r="O4910">
        <v>0.22783310121545516</v>
      </c>
      <c r="P4910">
        <v>0.27354651264059959</v>
      </c>
    </row>
    <row r="4911" spans="13:16">
      <c r="M4911">
        <v>0.30339157000668565</v>
      </c>
      <c r="N4911">
        <v>0.19186965434304964</v>
      </c>
      <c r="O4911">
        <v>0.24079305669672663</v>
      </c>
      <c r="P4911">
        <v>0.26394571895353808</v>
      </c>
    </row>
    <row r="4912" spans="13:16">
      <c r="M4912">
        <v>0.29671767027514889</v>
      </c>
      <c r="N4912">
        <v>0.19558226802864431</v>
      </c>
      <c r="O4912">
        <v>0.23041385169972267</v>
      </c>
      <c r="P4912">
        <v>0.27728620999648429</v>
      </c>
    </row>
    <row r="4913" spans="13:16">
      <c r="M4913">
        <v>0.29478944843486699</v>
      </c>
      <c r="N4913">
        <v>0.19212871803101134</v>
      </c>
      <c r="O4913">
        <v>0.25914909475386355</v>
      </c>
      <c r="P4913">
        <v>0.25393273878025802</v>
      </c>
    </row>
    <row r="4914" spans="13:16">
      <c r="M4914">
        <v>0.30997261342457499</v>
      </c>
      <c r="N4914">
        <v>0.1742803218938998</v>
      </c>
      <c r="O4914">
        <v>0.26058998209959261</v>
      </c>
      <c r="P4914">
        <v>0.25515708258193248</v>
      </c>
    </row>
    <row r="4915" spans="13:16">
      <c r="M4915">
        <v>0.27997343647281092</v>
      </c>
      <c r="N4915">
        <v>0.18536870850011433</v>
      </c>
      <c r="O4915">
        <v>0.2698974998527166</v>
      </c>
      <c r="P4915">
        <v>0.26476035517435831</v>
      </c>
    </row>
    <row r="4916" spans="13:16">
      <c r="M4916">
        <v>0.30590424003930272</v>
      </c>
      <c r="N4916">
        <v>0.18471329518226573</v>
      </c>
      <c r="O4916">
        <v>0.24961272325092815</v>
      </c>
      <c r="P4916">
        <v>0.25976974152750337</v>
      </c>
    </row>
    <row r="4917" spans="13:16">
      <c r="M4917">
        <v>0.27043542585675545</v>
      </c>
      <c r="N4917">
        <v>0.18436561986693825</v>
      </c>
      <c r="O4917">
        <v>0.2711884222536835</v>
      </c>
      <c r="P4917">
        <v>0.27401053202262277</v>
      </c>
    </row>
    <row r="4918" spans="13:16">
      <c r="M4918">
        <v>0.27460122732185926</v>
      </c>
      <c r="N4918">
        <v>0.20792142254058629</v>
      </c>
      <c r="O4918">
        <v>0.24351829354616689</v>
      </c>
      <c r="P4918">
        <v>0.27395905659138764</v>
      </c>
    </row>
    <row r="4919" spans="13:16">
      <c r="M4919">
        <v>0.28282625457790633</v>
      </c>
      <c r="N4919">
        <v>0.16937789401086087</v>
      </c>
      <c r="O4919">
        <v>0.30746448987583846</v>
      </c>
      <c r="P4919">
        <v>0.24033136153539433</v>
      </c>
    </row>
    <row r="4920" spans="13:16">
      <c r="M4920">
        <v>0.2860294991206907</v>
      </c>
      <c r="N4920">
        <v>0.19746422921891479</v>
      </c>
      <c r="O4920">
        <v>0.26948528440455571</v>
      </c>
      <c r="P4920">
        <v>0.24702098725583882</v>
      </c>
    </row>
    <row r="4921" spans="13:16">
      <c r="M4921">
        <v>0.26954434887190876</v>
      </c>
      <c r="N4921">
        <v>0.20378361756448096</v>
      </c>
      <c r="O4921">
        <v>0.24586591477028102</v>
      </c>
      <c r="P4921">
        <v>0.28080611879332917</v>
      </c>
    </row>
    <row r="4922" spans="13:16">
      <c r="M4922">
        <v>0.30909505797754699</v>
      </c>
      <c r="N4922">
        <v>0.17018973019543238</v>
      </c>
      <c r="O4922">
        <v>0.25343696732127313</v>
      </c>
      <c r="P4922">
        <v>0.26727824450574755</v>
      </c>
    </row>
    <row r="4923" spans="13:16">
      <c r="M4923">
        <v>0.3005412410256651</v>
      </c>
      <c r="N4923">
        <v>0.16824902091350047</v>
      </c>
      <c r="O4923">
        <v>0.28275671465957269</v>
      </c>
      <c r="P4923">
        <v>0.24845302340126166</v>
      </c>
    </row>
    <row r="4924" spans="13:16">
      <c r="M4924">
        <v>0.3302873483935575</v>
      </c>
      <c r="N4924">
        <v>0.16607392812425323</v>
      </c>
      <c r="O4924">
        <v>0.24491301695339399</v>
      </c>
      <c r="P4924">
        <v>0.2587257065287954</v>
      </c>
    </row>
    <row r="4925" spans="13:16">
      <c r="M4925">
        <v>0.30088210672640914</v>
      </c>
      <c r="N4925">
        <v>0.19122790596415556</v>
      </c>
      <c r="O4925">
        <v>0.2392485893121794</v>
      </c>
      <c r="P4925">
        <v>0.26864139799725595</v>
      </c>
    </row>
    <row r="4926" spans="13:16">
      <c r="M4926">
        <v>0.28251405057732909</v>
      </c>
      <c r="N4926">
        <v>0.19326505289844798</v>
      </c>
      <c r="O4926">
        <v>0.27643643652059463</v>
      </c>
      <c r="P4926">
        <v>0.2477844600036283</v>
      </c>
    </row>
    <row r="4927" spans="13:16">
      <c r="M4927">
        <v>0.28918527016629225</v>
      </c>
      <c r="N4927">
        <v>0.17633553655276324</v>
      </c>
      <c r="O4927">
        <v>0.28252595921255763</v>
      </c>
      <c r="P4927">
        <v>0.25195323406838671</v>
      </c>
    </row>
    <row r="4928" spans="13:16">
      <c r="M4928">
        <v>0.28303658817852972</v>
      </c>
      <c r="N4928">
        <v>0.19079112160663289</v>
      </c>
      <c r="O4928">
        <v>0.25865309778173162</v>
      </c>
      <c r="P4928">
        <v>0.26751919243310568</v>
      </c>
    </row>
    <row r="4929" spans="13:16">
      <c r="M4929">
        <v>0.28291885175014841</v>
      </c>
      <c r="N4929">
        <v>0.17448850656704668</v>
      </c>
      <c r="O4929">
        <v>0.26359052301149005</v>
      </c>
      <c r="P4929">
        <v>0.27900211867131486</v>
      </c>
    </row>
    <row r="4930" spans="13:16">
      <c r="M4930">
        <v>0.32968905349330807</v>
      </c>
      <c r="N4930">
        <v>0.17913994634321065</v>
      </c>
      <c r="O4930">
        <v>0.24254531112274241</v>
      </c>
      <c r="P4930">
        <v>0.24862568904073881</v>
      </c>
    </row>
    <row r="4931" spans="13:16">
      <c r="M4931">
        <v>0.30288796155025588</v>
      </c>
      <c r="N4931">
        <v>0.18532284963840409</v>
      </c>
      <c r="O4931">
        <v>0.25366566772243343</v>
      </c>
      <c r="P4931">
        <v>0.25812352108890663</v>
      </c>
    </row>
    <row r="4932" spans="13:16">
      <c r="M4932">
        <v>0.29153088529646437</v>
      </c>
      <c r="N4932">
        <v>0.1777359329943215</v>
      </c>
      <c r="O4932">
        <v>0.25981931806367797</v>
      </c>
      <c r="P4932">
        <v>0.2709138636455361</v>
      </c>
    </row>
    <row r="4933" spans="13:16">
      <c r="M4933">
        <v>0.28636261983743777</v>
      </c>
      <c r="N4933">
        <v>0.20102017560409333</v>
      </c>
      <c r="O4933">
        <v>0.23799556371547442</v>
      </c>
      <c r="P4933">
        <v>0.27462164084299451</v>
      </c>
    </row>
    <row r="4934" spans="13:16">
      <c r="M4934">
        <v>0.30757027479031873</v>
      </c>
      <c r="N4934">
        <v>0.17927962186532667</v>
      </c>
      <c r="O4934">
        <v>0.26110913748497033</v>
      </c>
      <c r="P4934">
        <v>0.25204096585938418</v>
      </c>
    </row>
    <row r="4935" spans="13:16">
      <c r="M4935">
        <v>0.27741264486197226</v>
      </c>
      <c r="N4935">
        <v>0.17116490204695803</v>
      </c>
      <c r="O4935">
        <v>0.28785221147968926</v>
      </c>
      <c r="P4935">
        <v>0.26357024161138048</v>
      </c>
    </row>
    <row r="4936" spans="13:16">
      <c r="M4936">
        <v>0.28451665734260911</v>
      </c>
      <c r="N4936">
        <v>0.18417864919798396</v>
      </c>
      <c r="O4936">
        <v>0.27432896394918993</v>
      </c>
      <c r="P4936">
        <v>0.25697572951021691</v>
      </c>
    </row>
    <row r="4937" spans="13:16">
      <c r="M4937">
        <v>0.27979472273833844</v>
      </c>
      <c r="N4937">
        <v>0.17340826868775697</v>
      </c>
      <c r="O4937">
        <v>0.27840358838144508</v>
      </c>
      <c r="P4937">
        <v>0.26839342019245954</v>
      </c>
    </row>
    <row r="4938" spans="13:16">
      <c r="M4938">
        <v>0.28595380476329324</v>
      </c>
      <c r="N4938">
        <v>0.17143083530175299</v>
      </c>
      <c r="O4938">
        <v>0.27749509023348012</v>
      </c>
      <c r="P4938">
        <v>0.26512026970147351</v>
      </c>
    </row>
    <row r="4939" spans="13:16">
      <c r="M4939">
        <v>0.29266219368867841</v>
      </c>
      <c r="N4939">
        <v>0.17199786061847333</v>
      </c>
      <c r="O4939">
        <v>0.28297594793708147</v>
      </c>
      <c r="P4939">
        <v>0.25236399775576696</v>
      </c>
    </row>
    <row r="4940" spans="13:16">
      <c r="M4940">
        <v>0.29668269858189661</v>
      </c>
      <c r="N4940">
        <v>0.19157225756227783</v>
      </c>
      <c r="O4940">
        <v>0.24663458623165099</v>
      </c>
      <c r="P4940">
        <v>0.26511045762417446</v>
      </c>
    </row>
    <row r="4941" spans="13:16">
      <c r="M4941">
        <v>0.27877861803819909</v>
      </c>
      <c r="N4941">
        <v>0.19615419226581324</v>
      </c>
      <c r="O4941">
        <v>0.2699133268469226</v>
      </c>
      <c r="P4941">
        <v>0.25515386284906499</v>
      </c>
    </row>
    <row r="4942" spans="13:16">
      <c r="M4942">
        <v>0.28671295360409338</v>
      </c>
      <c r="N4942">
        <v>0.21598211732201991</v>
      </c>
      <c r="O4942">
        <v>0.20924013149646389</v>
      </c>
      <c r="P4942">
        <v>0.28806479757742282</v>
      </c>
    </row>
    <row r="4943" spans="13:16">
      <c r="M4943">
        <v>0.28454934169668228</v>
      </c>
      <c r="N4943">
        <v>0.18246976986866173</v>
      </c>
      <c r="O4943">
        <v>0.27684327764581923</v>
      </c>
      <c r="P4943">
        <v>0.25613761078883673</v>
      </c>
    </row>
    <row r="4944" spans="13:16">
      <c r="M4944">
        <v>0.29300682883051904</v>
      </c>
      <c r="N4944">
        <v>0.19819514041260441</v>
      </c>
      <c r="O4944">
        <v>0.25913136078042243</v>
      </c>
      <c r="P4944">
        <v>0.24966666997645415</v>
      </c>
    </row>
    <row r="4945" spans="13:16">
      <c r="M4945">
        <v>0.2967440286426119</v>
      </c>
      <c r="N4945">
        <v>0.17778116532701632</v>
      </c>
      <c r="O4945">
        <v>0.26050543548866728</v>
      </c>
      <c r="P4945">
        <v>0.26496937054170455</v>
      </c>
    </row>
    <row r="4946" spans="13:16">
      <c r="M4946">
        <v>0.29460350912016703</v>
      </c>
      <c r="N4946">
        <v>0.18358981902890351</v>
      </c>
      <c r="O4946">
        <v>0.26478163593928067</v>
      </c>
      <c r="P4946">
        <v>0.25702503591164888</v>
      </c>
    </row>
    <row r="4947" spans="13:16">
      <c r="M4947">
        <v>0.31250689980762353</v>
      </c>
      <c r="N4947">
        <v>0.16836736262286162</v>
      </c>
      <c r="O4947">
        <v>0.26569390227538198</v>
      </c>
      <c r="P4947">
        <v>0.25343183529413293</v>
      </c>
    </row>
    <row r="4948" spans="13:16">
      <c r="M4948">
        <v>0.29554774324245026</v>
      </c>
      <c r="N4948">
        <v>0.17388360284297949</v>
      </c>
      <c r="O4948">
        <v>0.28515147251064793</v>
      </c>
      <c r="P4948">
        <v>0.24541718140392221</v>
      </c>
    </row>
    <row r="4949" spans="13:16">
      <c r="M4949">
        <v>0.29525126224728404</v>
      </c>
      <c r="N4949">
        <v>0.16645986612429015</v>
      </c>
      <c r="O4949">
        <v>0.30052276359385599</v>
      </c>
      <c r="P4949">
        <v>0.23776610803456988</v>
      </c>
    </row>
    <row r="4950" spans="13:16">
      <c r="M4950">
        <v>0.30795496343636197</v>
      </c>
      <c r="N4950">
        <v>0.18365303248411086</v>
      </c>
      <c r="O4950">
        <v>0.23113889572050142</v>
      </c>
      <c r="P4950">
        <v>0.27725310835902561</v>
      </c>
    </row>
    <row r="4951" spans="13:16">
      <c r="M4951">
        <v>0.27587357722410322</v>
      </c>
      <c r="N4951">
        <v>0.17716147634307833</v>
      </c>
      <c r="O4951">
        <v>0.2731512075606346</v>
      </c>
      <c r="P4951">
        <v>0.2738137388721838</v>
      </c>
    </row>
    <row r="4952" spans="13:16">
      <c r="M4952">
        <v>0.28457384389912155</v>
      </c>
      <c r="N4952">
        <v>0.20743667368412466</v>
      </c>
      <c r="O4952">
        <v>0.22606426021520962</v>
      </c>
      <c r="P4952">
        <v>0.28192522220154409</v>
      </c>
    </row>
    <row r="4953" spans="13:16">
      <c r="M4953">
        <v>0.31852767784474351</v>
      </c>
      <c r="N4953">
        <v>0.17642768601753542</v>
      </c>
      <c r="O4953">
        <v>0.2396047077453253</v>
      </c>
      <c r="P4953">
        <v>0.26543992839239594</v>
      </c>
    </row>
    <row r="4954" spans="13:16">
      <c r="M4954">
        <v>0.2912283242647119</v>
      </c>
      <c r="N4954">
        <v>0.19688082960860767</v>
      </c>
      <c r="O4954">
        <v>0.2419532847397462</v>
      </c>
      <c r="P4954">
        <v>0.26993756138693431</v>
      </c>
    </row>
    <row r="4955" spans="13:16">
      <c r="M4955">
        <v>0.29870449456705728</v>
      </c>
      <c r="N4955">
        <v>0.16979098929994224</v>
      </c>
      <c r="O4955">
        <v>0.28830906521502714</v>
      </c>
      <c r="P4955">
        <v>0.24319545091797326</v>
      </c>
    </row>
    <row r="4956" spans="13:16">
      <c r="M4956">
        <v>0.2774400089177057</v>
      </c>
      <c r="N4956">
        <v>0.19940786349124942</v>
      </c>
      <c r="O4956">
        <v>0.23920417147817016</v>
      </c>
      <c r="P4956">
        <v>0.28394795611287466</v>
      </c>
    </row>
    <row r="4957" spans="13:16">
      <c r="M4957">
        <v>0.27391343697015669</v>
      </c>
      <c r="N4957">
        <v>0.1728664873413403</v>
      </c>
      <c r="O4957">
        <v>0.29475955666281012</v>
      </c>
      <c r="P4957">
        <v>0.25846051902569295</v>
      </c>
    </row>
    <row r="4958" spans="13:16">
      <c r="M4958">
        <v>0.27065586744815279</v>
      </c>
      <c r="N4958">
        <v>0.18847436270540111</v>
      </c>
      <c r="O4958">
        <v>0.27350249803197257</v>
      </c>
      <c r="P4958">
        <v>0.26736727181447351</v>
      </c>
    </row>
    <row r="4959" spans="13:16">
      <c r="M4959">
        <v>0.29966020572580898</v>
      </c>
      <c r="N4959">
        <v>0.19105284737687755</v>
      </c>
      <c r="O4959">
        <v>0.21837333822766516</v>
      </c>
      <c r="P4959">
        <v>0.29091360866964827</v>
      </c>
    </row>
    <row r="4960" spans="13:16">
      <c r="M4960">
        <v>0.29010041737072001</v>
      </c>
      <c r="N4960">
        <v>0.17640472422285222</v>
      </c>
      <c r="O4960">
        <v>0.27296745148881607</v>
      </c>
      <c r="P4960">
        <v>0.26052740691761167</v>
      </c>
    </row>
    <row r="4961" spans="13:16">
      <c r="M4961">
        <v>0.26638331676877847</v>
      </c>
      <c r="N4961">
        <v>0.19161349216784587</v>
      </c>
      <c r="O4961">
        <v>0.26899769620201269</v>
      </c>
      <c r="P4961">
        <v>0.27300549486136289</v>
      </c>
    </row>
    <row r="4962" spans="13:16">
      <c r="M4962">
        <v>0.30001227382953127</v>
      </c>
      <c r="N4962">
        <v>0.17576420124044254</v>
      </c>
      <c r="O4962">
        <v>0.28240684590379284</v>
      </c>
      <c r="P4962">
        <v>0.24181667902623341</v>
      </c>
    </row>
    <row r="4963" spans="13:16">
      <c r="M4963">
        <v>0.30181800139725573</v>
      </c>
      <c r="N4963">
        <v>0.18376382958480519</v>
      </c>
      <c r="O4963">
        <v>0.24358069526318754</v>
      </c>
      <c r="P4963">
        <v>0.27083747375475148</v>
      </c>
    </row>
    <row r="4964" spans="13:16">
      <c r="M4964">
        <v>0.28092246796770293</v>
      </c>
      <c r="N4964">
        <v>0.18865606184103892</v>
      </c>
      <c r="O4964">
        <v>0.2685109330306209</v>
      </c>
      <c r="P4964">
        <v>0.26191053716063734</v>
      </c>
    </row>
    <row r="4965" spans="13:16">
      <c r="M4965">
        <v>0.26697457870415681</v>
      </c>
      <c r="N4965">
        <v>0.1870476532387704</v>
      </c>
      <c r="O4965">
        <v>0.27730316929054544</v>
      </c>
      <c r="P4965">
        <v>0.26867459876652738</v>
      </c>
    </row>
    <row r="4966" spans="13:16">
      <c r="M4966">
        <v>0.29117139320200358</v>
      </c>
      <c r="N4966">
        <v>0.18039015906388811</v>
      </c>
      <c r="O4966">
        <v>0.28305181306964883</v>
      </c>
      <c r="P4966">
        <v>0.24538663466445954</v>
      </c>
    </row>
    <row r="4967" spans="13:16">
      <c r="M4967">
        <v>0.29103544175628682</v>
      </c>
      <c r="N4967">
        <v>0.18351059527205812</v>
      </c>
      <c r="O4967">
        <v>0.24868269852841979</v>
      </c>
      <c r="P4967">
        <v>0.27677126444323524</v>
      </c>
    </row>
    <row r="4968" spans="13:16">
      <c r="M4968">
        <v>0.29136653551694147</v>
      </c>
      <c r="N4968">
        <v>0.20117126550066569</v>
      </c>
      <c r="O4968">
        <v>0.24321478932798707</v>
      </c>
      <c r="P4968">
        <v>0.26424740965440585</v>
      </c>
    </row>
    <row r="4969" spans="13:16">
      <c r="M4969">
        <v>0.28695541984873552</v>
      </c>
      <c r="N4969">
        <v>0.18993560129994208</v>
      </c>
      <c r="O4969">
        <v>0.25138264726839837</v>
      </c>
      <c r="P4969">
        <v>0.27172633158292414</v>
      </c>
    </row>
    <row r="4970" spans="13:16">
      <c r="M4970">
        <v>0.30073319044144159</v>
      </c>
      <c r="N4970">
        <v>0.18148825149916567</v>
      </c>
      <c r="O4970">
        <v>0.26148723684652286</v>
      </c>
      <c r="P4970">
        <v>0.25629132121286996</v>
      </c>
    </row>
    <row r="4971" spans="13:16">
      <c r="M4971">
        <v>0.29433385661240008</v>
      </c>
      <c r="N4971">
        <v>0.20505081398927466</v>
      </c>
      <c r="O4971">
        <v>0.24075767725601085</v>
      </c>
      <c r="P4971">
        <v>0.25985765214231438</v>
      </c>
    </row>
    <row r="4972" spans="13:16">
      <c r="M4972">
        <v>0.28912679054286083</v>
      </c>
      <c r="N4972">
        <v>0.1851812057506575</v>
      </c>
      <c r="O4972">
        <v>0.2494238068813934</v>
      </c>
      <c r="P4972">
        <v>0.27626819682508835</v>
      </c>
    </row>
    <row r="4973" spans="13:16">
      <c r="M4973">
        <v>0.27299031707365007</v>
      </c>
      <c r="N4973">
        <v>0.17741723985001195</v>
      </c>
      <c r="O4973">
        <v>0.27498318109370501</v>
      </c>
      <c r="P4973">
        <v>0.27460926198263291</v>
      </c>
    </row>
    <row r="4974" spans="13:16">
      <c r="M4974">
        <v>0.27650699337909235</v>
      </c>
      <c r="N4974">
        <v>0.17405541681057934</v>
      </c>
      <c r="O4974">
        <v>0.29077695598404341</v>
      </c>
      <c r="P4974">
        <v>0.25866063382628479</v>
      </c>
    </row>
    <row r="4975" spans="13:16">
      <c r="M4975">
        <v>0.28652354675762803</v>
      </c>
      <c r="N4975">
        <v>0.18106967724654116</v>
      </c>
      <c r="O4975">
        <v>0.24841591845527361</v>
      </c>
      <c r="P4975">
        <v>0.2839908575405572</v>
      </c>
    </row>
    <row r="4976" spans="13:16">
      <c r="M4976">
        <v>0.26736687354675814</v>
      </c>
      <c r="N4976">
        <v>0.18588584906902242</v>
      </c>
      <c r="O4976">
        <v>0.2859532814892583</v>
      </c>
      <c r="P4976">
        <v>0.26079399589496122</v>
      </c>
    </row>
    <row r="4977" spans="13:16">
      <c r="M4977">
        <v>0.27067400450743889</v>
      </c>
      <c r="N4977">
        <v>0.18720126825832129</v>
      </c>
      <c r="O4977">
        <v>0.26556757842204703</v>
      </c>
      <c r="P4977">
        <v>0.2765571488121929</v>
      </c>
    </row>
    <row r="4978" spans="13:16">
      <c r="M4978">
        <v>0.28717090564334913</v>
      </c>
      <c r="N4978">
        <v>0.18259162597472864</v>
      </c>
      <c r="O4978">
        <v>0.27823926224615664</v>
      </c>
      <c r="P4978">
        <v>0.25199820613576568</v>
      </c>
    </row>
    <row r="4979" spans="13:16">
      <c r="M4979">
        <v>0.28908790529001654</v>
      </c>
      <c r="N4979">
        <v>0.18339882662501059</v>
      </c>
      <c r="O4979">
        <v>0.27016285570008963</v>
      </c>
      <c r="P4979">
        <v>0.25735041238488315</v>
      </c>
    </row>
    <row r="4980" spans="13:16">
      <c r="M4980">
        <v>0.28994623943466658</v>
      </c>
      <c r="N4980">
        <v>0.18579888998345395</v>
      </c>
      <c r="O4980">
        <v>0.24048783141755548</v>
      </c>
      <c r="P4980">
        <v>0.28376703916432394</v>
      </c>
    </row>
    <row r="4981" spans="13:16">
      <c r="M4981">
        <v>0.2616736362587963</v>
      </c>
      <c r="N4981">
        <v>0.20545150012154889</v>
      </c>
      <c r="O4981">
        <v>0.26866160234640851</v>
      </c>
      <c r="P4981">
        <v>0.26421326127324629</v>
      </c>
    </row>
    <row r="4982" spans="13:16">
      <c r="M4982">
        <v>0.29745683773075682</v>
      </c>
      <c r="N4982">
        <v>0.17717369299189314</v>
      </c>
      <c r="O4982">
        <v>0.27466853686135267</v>
      </c>
      <c r="P4982">
        <v>0.25070093241599745</v>
      </c>
    </row>
    <row r="4983" spans="13:16">
      <c r="M4983">
        <v>0.28238786825649786</v>
      </c>
      <c r="N4983">
        <v>0.17442058439941879</v>
      </c>
      <c r="O4983">
        <v>0.27267287610210605</v>
      </c>
      <c r="P4983">
        <v>0.27051867124197726</v>
      </c>
    </row>
    <row r="4984" spans="13:16">
      <c r="M4984">
        <v>0.30364616303900349</v>
      </c>
      <c r="N4984">
        <v>0.17534339930957515</v>
      </c>
      <c r="O4984">
        <v>0.26254735418112229</v>
      </c>
      <c r="P4984">
        <v>0.25846308347029917</v>
      </c>
    </row>
    <row r="4985" spans="13:16">
      <c r="M4985">
        <v>0.32787980280935347</v>
      </c>
      <c r="N4985">
        <v>0.16731104048144388</v>
      </c>
      <c r="O4985">
        <v>0.26095295964055049</v>
      </c>
      <c r="P4985">
        <v>0.24385619706865225</v>
      </c>
    </row>
    <row r="4986" spans="13:16">
      <c r="M4986">
        <v>0.2870501699607747</v>
      </c>
      <c r="N4986">
        <v>0.17011223665797226</v>
      </c>
      <c r="O4986">
        <v>0.28472506292629784</v>
      </c>
      <c r="P4986">
        <v>0.25811253045495508</v>
      </c>
    </row>
    <row r="4987" spans="13:16">
      <c r="M4987">
        <v>0.28572130601383605</v>
      </c>
      <c r="N4987">
        <v>0.19395292558076807</v>
      </c>
      <c r="O4987">
        <v>0.26375196708923687</v>
      </c>
      <c r="P4987">
        <v>0.25657380131615909</v>
      </c>
    </row>
    <row r="4988" spans="13:16">
      <c r="M4988">
        <v>0.27943079919578384</v>
      </c>
      <c r="N4988">
        <v>0.18284110702503939</v>
      </c>
      <c r="O4988">
        <v>0.27322792879656899</v>
      </c>
      <c r="P4988">
        <v>0.2645001649826077</v>
      </c>
    </row>
    <row r="4989" spans="13:16">
      <c r="M4989">
        <v>0.29036554399084008</v>
      </c>
      <c r="N4989">
        <v>0.17946038019000218</v>
      </c>
      <c r="O4989">
        <v>0.25938749453305188</v>
      </c>
      <c r="P4989">
        <v>0.27078658128610578</v>
      </c>
    </row>
    <row r="4990" spans="13:16">
      <c r="M4990">
        <v>0.30373019097103898</v>
      </c>
      <c r="N4990">
        <v>0.18350536547961968</v>
      </c>
      <c r="O4990">
        <v>0.26339668317273301</v>
      </c>
      <c r="P4990">
        <v>0.24936776037660829</v>
      </c>
    </row>
    <row r="4991" spans="13:16">
      <c r="M4991">
        <v>0.30981107607009112</v>
      </c>
      <c r="N4991">
        <v>0.17054207601418628</v>
      </c>
      <c r="O4991">
        <v>0.26898062544276002</v>
      </c>
      <c r="P4991">
        <v>0.25066622247296261</v>
      </c>
    </row>
    <row r="4992" spans="13:16">
      <c r="M4992">
        <v>0.28770931728350979</v>
      </c>
      <c r="N4992">
        <v>0.18675788018651229</v>
      </c>
      <c r="O4992">
        <v>0.26471721346268773</v>
      </c>
      <c r="P4992">
        <v>0.26081558906729013</v>
      </c>
    </row>
    <row r="4993" spans="13:16">
      <c r="M4993">
        <v>0.32140117242605076</v>
      </c>
      <c r="N4993">
        <v>0.16339872920405704</v>
      </c>
      <c r="O4993">
        <v>0.27246801013516792</v>
      </c>
      <c r="P4993">
        <v>0.24273208823472411</v>
      </c>
    </row>
    <row r="4994" spans="13:16">
      <c r="M4994">
        <v>0.2911436638323418</v>
      </c>
      <c r="N4994">
        <v>0.20244020479416069</v>
      </c>
      <c r="O4994">
        <v>0.22059649293427955</v>
      </c>
      <c r="P4994">
        <v>0.28581963843921793</v>
      </c>
    </row>
    <row r="4995" spans="13:16">
      <c r="M4995">
        <v>0.28570541717528886</v>
      </c>
      <c r="N4995">
        <v>0.19646216741765629</v>
      </c>
      <c r="O4995">
        <v>0.24282793705506228</v>
      </c>
      <c r="P4995">
        <v>0.27500447835199265</v>
      </c>
    </row>
    <row r="4996" spans="13:16">
      <c r="M4996">
        <v>0.27566895162801258</v>
      </c>
      <c r="N4996">
        <v>0.20076458510920625</v>
      </c>
      <c r="O4996">
        <v>0.24303914642805521</v>
      </c>
      <c r="P4996">
        <v>0.28052731683472609</v>
      </c>
    </row>
    <row r="4997" spans="13:16">
      <c r="M4997">
        <v>0.30625548708183936</v>
      </c>
      <c r="N4997">
        <v>0.17595143424125126</v>
      </c>
      <c r="O4997">
        <v>0.28849499711601317</v>
      </c>
      <c r="P4997">
        <v>0.22929808156089615</v>
      </c>
    </row>
    <row r="4998" spans="13:16">
      <c r="M4998">
        <v>0.3048361512931248</v>
      </c>
      <c r="N4998">
        <v>0.19244879474733342</v>
      </c>
      <c r="O4998">
        <v>0.23940363522363173</v>
      </c>
      <c r="P4998">
        <v>0.26331141873590996</v>
      </c>
    </row>
    <row r="4999" spans="13:16">
      <c r="M4999">
        <v>0.29092719321609661</v>
      </c>
      <c r="N4999">
        <v>0.19252966171594973</v>
      </c>
      <c r="O4999">
        <v>0.25195774546129779</v>
      </c>
      <c r="P4999">
        <v>0.26458539960665589</v>
      </c>
    </row>
    <row r="5000" spans="13:16">
      <c r="M5000">
        <v>0.29592520115983678</v>
      </c>
      <c r="N5000">
        <v>0.17117531657886259</v>
      </c>
      <c r="O5000">
        <v>0.28435056661283703</v>
      </c>
      <c r="P5000">
        <v>0.24854891564846368</v>
      </c>
    </row>
    <row r="5001" spans="13:16">
      <c r="M5001">
        <v>0.27135551252321866</v>
      </c>
      <c r="N5001">
        <v>0.19362199421011428</v>
      </c>
      <c r="O5001">
        <v>0.27150591469114693</v>
      </c>
      <c r="P5001">
        <v>0.26351657857552013</v>
      </c>
    </row>
    <row r="5002" spans="13:16">
      <c r="M5002">
        <v>0.28991944425979066</v>
      </c>
      <c r="N5002">
        <v>0.19513762760403561</v>
      </c>
      <c r="O5002">
        <v>0.27591688289434407</v>
      </c>
      <c r="P5002">
        <v>0.23902604524182958</v>
      </c>
    </row>
    <row r="5003" spans="13:16">
      <c r="M5003">
        <v>0.28635325036448572</v>
      </c>
      <c r="N5003">
        <v>0.1880076470558445</v>
      </c>
      <c r="O5003">
        <v>0.24598047718569169</v>
      </c>
      <c r="P5003">
        <v>0.27965862539397818</v>
      </c>
    </row>
    <row r="5004" spans="13:16">
      <c r="M5004">
        <v>0.27444478037130227</v>
      </c>
      <c r="N5004">
        <v>0.19154561743369691</v>
      </c>
      <c r="O5004">
        <v>0.26439981153410513</v>
      </c>
      <c r="P5004">
        <v>0.26960979066089563</v>
      </c>
    </row>
    <row r="5005" spans="13:16">
      <c r="M5005">
        <v>0.28178680206997764</v>
      </c>
      <c r="N5005">
        <v>0.18822087577613722</v>
      </c>
      <c r="O5005">
        <v>0.27887924732631025</v>
      </c>
      <c r="P5005">
        <v>0.25111307482757494</v>
      </c>
    </row>
    <row r="5006" spans="13:16">
      <c r="M5006">
        <v>0.29575097875548034</v>
      </c>
      <c r="N5006">
        <v>0.18861146758039024</v>
      </c>
      <c r="O5006">
        <v>0.24717189960253189</v>
      </c>
      <c r="P5006">
        <v>0.2684656540615975</v>
      </c>
    </row>
    <row r="5007" spans="13:16">
      <c r="M5007">
        <v>0.27427527440262722</v>
      </c>
      <c r="N5007">
        <v>0.17070140217503965</v>
      </c>
      <c r="O5007">
        <v>0.29803884235167549</v>
      </c>
      <c r="P5007">
        <v>0.25698448107065763</v>
      </c>
    </row>
    <row r="5008" spans="13:16">
      <c r="M5008">
        <v>0.28276705007557862</v>
      </c>
      <c r="N5008">
        <v>0.19093913121822867</v>
      </c>
      <c r="O5008">
        <v>0.25968558274335629</v>
      </c>
      <c r="P5008">
        <v>0.2666082359628365</v>
      </c>
    </row>
    <row r="5009" spans="13:16">
      <c r="M5009">
        <v>0.28380289633929157</v>
      </c>
      <c r="N5009">
        <v>0.20769505712929709</v>
      </c>
      <c r="O5009">
        <v>0.23589109748199483</v>
      </c>
      <c r="P5009">
        <v>0.27261094904941646</v>
      </c>
    </row>
    <row r="5010" spans="13:16">
      <c r="M5010">
        <v>0.27956020448718866</v>
      </c>
      <c r="N5010">
        <v>0.19820125468539149</v>
      </c>
      <c r="O5010">
        <v>0.27078367497032041</v>
      </c>
      <c r="P5010">
        <v>0.25145486585709931</v>
      </c>
    </row>
    <row r="5011" spans="13:16">
      <c r="M5011">
        <v>0.31857788076699983</v>
      </c>
      <c r="N5011">
        <v>0.18197726591234861</v>
      </c>
      <c r="O5011">
        <v>0.23617509143751481</v>
      </c>
      <c r="P5011">
        <v>0.26326976188313667</v>
      </c>
    </row>
    <row r="5012" spans="13:16">
      <c r="M5012">
        <v>0.28658211670459405</v>
      </c>
      <c r="N5012">
        <v>0.17496063676198856</v>
      </c>
      <c r="O5012">
        <v>0.27487393436855256</v>
      </c>
      <c r="P5012">
        <v>0.26358331216486491</v>
      </c>
    </row>
    <row r="5013" spans="13:16">
      <c r="M5013">
        <v>0.3011865564011646</v>
      </c>
      <c r="N5013">
        <v>0.19204124889281091</v>
      </c>
      <c r="O5013">
        <v>0.23159322129207488</v>
      </c>
      <c r="P5013">
        <v>0.27517897341394959</v>
      </c>
    </row>
    <row r="5014" spans="13:16">
      <c r="M5014">
        <v>0.29106310925030709</v>
      </c>
      <c r="N5014">
        <v>0.20227352591879519</v>
      </c>
      <c r="O5014">
        <v>0.23297022036846843</v>
      </c>
      <c r="P5014">
        <v>0.27369314446242915</v>
      </c>
    </row>
    <row r="5015" spans="13:16">
      <c r="M5015">
        <v>0.28161726198561199</v>
      </c>
      <c r="N5015">
        <v>0.19486099222222633</v>
      </c>
      <c r="O5015">
        <v>0.24995121530918213</v>
      </c>
      <c r="P5015">
        <v>0.27357053048297952</v>
      </c>
    </row>
    <row r="5016" spans="13:16">
      <c r="M5016">
        <v>0.28336308983109942</v>
      </c>
      <c r="N5016">
        <v>0.20251597520109044</v>
      </c>
      <c r="O5016">
        <v>0.26044617974053225</v>
      </c>
      <c r="P5016">
        <v>0.25367475522727778</v>
      </c>
    </row>
    <row r="5017" spans="13:16">
      <c r="M5017">
        <v>0.26862375469722105</v>
      </c>
      <c r="N5017">
        <v>0.18953429270398561</v>
      </c>
      <c r="O5017">
        <v>0.26917059997865167</v>
      </c>
      <c r="P5017">
        <v>0.27267135262014153</v>
      </c>
    </row>
    <row r="5018" spans="13:16">
      <c r="M5018">
        <v>0.26152851314929709</v>
      </c>
      <c r="N5018">
        <v>0.2064061283872462</v>
      </c>
      <c r="O5018">
        <v>0.26371828528225127</v>
      </c>
      <c r="P5018">
        <v>0.26834707318120538</v>
      </c>
    </row>
    <row r="5019" spans="13:16">
      <c r="M5019">
        <v>0.28766144841977781</v>
      </c>
      <c r="N5019">
        <v>0.17943857153962767</v>
      </c>
      <c r="O5019">
        <v>0.26388865924880939</v>
      </c>
      <c r="P5019">
        <v>0.26901132079178502</v>
      </c>
    </row>
    <row r="5020" spans="13:16">
      <c r="M5020">
        <v>0.31593929267406179</v>
      </c>
      <c r="N5020">
        <v>0.1647604329082385</v>
      </c>
      <c r="O5020">
        <v>0.27361880247040959</v>
      </c>
      <c r="P5020">
        <v>0.24568147194729023</v>
      </c>
    </row>
    <row r="5021" spans="13:16">
      <c r="M5021">
        <v>0.29056849610832347</v>
      </c>
      <c r="N5021">
        <v>0.17106058533035889</v>
      </c>
      <c r="O5021">
        <v>0.29683725199985289</v>
      </c>
      <c r="P5021">
        <v>0.24153366656146474</v>
      </c>
    </row>
    <row r="5022" spans="13:16">
      <c r="M5022">
        <v>0.30090893949096265</v>
      </c>
      <c r="N5022">
        <v>0.17896599869479146</v>
      </c>
      <c r="O5022">
        <v>0.27535431387081066</v>
      </c>
      <c r="P5022">
        <v>0.2447707479434352</v>
      </c>
    </row>
    <row r="5023" spans="13:16">
      <c r="M5023">
        <v>0.29346164083655973</v>
      </c>
      <c r="N5023">
        <v>0.17996737177951477</v>
      </c>
      <c r="O5023">
        <v>0.25994917451591737</v>
      </c>
      <c r="P5023">
        <v>0.26662181286800807</v>
      </c>
    </row>
    <row r="5024" spans="13:16">
      <c r="M5024">
        <v>0.28114065691442747</v>
      </c>
      <c r="N5024">
        <v>0.21195515941351306</v>
      </c>
      <c r="O5024">
        <v>0.24590094307051619</v>
      </c>
      <c r="P5024">
        <v>0.26100324060154351</v>
      </c>
    </row>
    <row r="5025" spans="13:16">
      <c r="M5025">
        <v>0.28117605118580491</v>
      </c>
      <c r="N5025">
        <v>0.19495608838468714</v>
      </c>
      <c r="O5025">
        <v>0.27345506417343424</v>
      </c>
      <c r="P5025">
        <v>0.25041279625607371</v>
      </c>
    </row>
    <row r="5026" spans="13:16">
      <c r="M5026">
        <v>0.29296606863359387</v>
      </c>
      <c r="N5026">
        <v>0.18210875238654273</v>
      </c>
      <c r="O5026">
        <v>0.25264993901239546</v>
      </c>
      <c r="P5026">
        <v>0.27227523996746789</v>
      </c>
    </row>
    <row r="5027" spans="13:16">
      <c r="M5027">
        <v>0.27841809136198842</v>
      </c>
      <c r="N5027">
        <v>0.19161957593741741</v>
      </c>
      <c r="O5027">
        <v>0.2541645949972145</v>
      </c>
      <c r="P5027">
        <v>0.27579773770337973</v>
      </c>
    </row>
    <row r="5028" spans="13:16">
      <c r="M5028">
        <v>0.28137970900372505</v>
      </c>
      <c r="N5028">
        <v>0.19517580689569863</v>
      </c>
      <c r="O5028">
        <v>0.24514140190423486</v>
      </c>
      <c r="P5028">
        <v>0.27830308219634148</v>
      </c>
    </row>
    <row r="5029" spans="13:16">
      <c r="M5029">
        <v>0.2916588865034539</v>
      </c>
      <c r="N5029">
        <v>0.19446083057406374</v>
      </c>
      <c r="O5029">
        <v>0.23433931682064993</v>
      </c>
      <c r="P5029">
        <v>0.27954096610183249</v>
      </c>
    </row>
    <row r="5030" spans="13:16">
      <c r="M5030">
        <v>0.29448540090834352</v>
      </c>
      <c r="N5030">
        <v>0.1885454014173292</v>
      </c>
      <c r="O5030">
        <v>0.25333679947997223</v>
      </c>
      <c r="P5030">
        <v>0.26363239819435508</v>
      </c>
    </row>
    <row r="5031" spans="13:16">
      <c r="M5031">
        <v>0.28675570260037692</v>
      </c>
      <c r="N5031">
        <v>0.18433768005193651</v>
      </c>
      <c r="O5031">
        <v>0.26037697472985188</v>
      </c>
      <c r="P5031">
        <v>0.26852964261783452</v>
      </c>
    </row>
    <row r="5032" spans="13:16">
      <c r="M5032">
        <v>0.26561256271491884</v>
      </c>
      <c r="N5032">
        <v>0.18559666842410982</v>
      </c>
      <c r="O5032">
        <v>0.27832156311254092</v>
      </c>
      <c r="P5032">
        <v>0.27046920574843042</v>
      </c>
    </row>
    <row r="5033" spans="13:16">
      <c r="M5033">
        <v>0.26896923569687325</v>
      </c>
      <c r="N5033">
        <v>0.17505019269169036</v>
      </c>
      <c r="O5033">
        <v>0.29288447399095313</v>
      </c>
      <c r="P5033">
        <v>0.26309609762048336</v>
      </c>
    </row>
    <row r="5034" spans="13:16">
      <c r="M5034">
        <v>0.27512108273628877</v>
      </c>
      <c r="N5034">
        <v>0.18146149169625173</v>
      </c>
      <c r="O5034">
        <v>0.28552063757935303</v>
      </c>
      <c r="P5034">
        <v>0.25789678798810639</v>
      </c>
    </row>
    <row r="5035" spans="13:16">
      <c r="M5035">
        <v>0.31056292401419927</v>
      </c>
      <c r="N5035">
        <v>0.21071565059865285</v>
      </c>
      <c r="O5035">
        <v>0.21917149368175812</v>
      </c>
      <c r="P5035">
        <v>0.25954993170538987</v>
      </c>
    </row>
    <row r="5036" spans="13:16">
      <c r="M5036">
        <v>0.30239280276495706</v>
      </c>
      <c r="N5036">
        <v>0.18570826314920238</v>
      </c>
      <c r="O5036">
        <v>0.24960101936222792</v>
      </c>
      <c r="P5036">
        <v>0.26229791472361264</v>
      </c>
    </row>
    <row r="5037" spans="13:16">
      <c r="M5037">
        <v>0.28796709364268619</v>
      </c>
      <c r="N5037">
        <v>0.18685404177228407</v>
      </c>
      <c r="O5037">
        <v>0.24853373666250228</v>
      </c>
      <c r="P5037">
        <v>0.27664512792252755</v>
      </c>
    </row>
    <row r="5038" spans="13:16">
      <c r="M5038">
        <v>0.31194371396414361</v>
      </c>
      <c r="N5038">
        <v>0.18337031093514564</v>
      </c>
      <c r="O5038">
        <v>0.22916791761476057</v>
      </c>
      <c r="P5038">
        <v>0.27551805748595026</v>
      </c>
    </row>
    <row r="5039" spans="13:16">
      <c r="M5039">
        <v>0.27919639269220947</v>
      </c>
      <c r="N5039">
        <v>0.20785353430805514</v>
      </c>
      <c r="O5039">
        <v>0.25079737639386385</v>
      </c>
      <c r="P5039">
        <v>0.26215269660587148</v>
      </c>
    </row>
    <row r="5040" spans="13:16">
      <c r="M5040">
        <v>0.2971964214458665</v>
      </c>
      <c r="N5040">
        <v>0.19558962621056675</v>
      </c>
      <c r="O5040">
        <v>0.22834944654176401</v>
      </c>
      <c r="P5040">
        <v>0.27886450580180278</v>
      </c>
    </row>
    <row r="5041" spans="13:16">
      <c r="M5041">
        <v>0.27580934301401894</v>
      </c>
      <c r="N5041">
        <v>0.17907924817686044</v>
      </c>
      <c r="O5041">
        <v>0.2811019103794038</v>
      </c>
      <c r="P5041">
        <v>0.26400949842971694</v>
      </c>
    </row>
    <row r="5042" spans="13:16">
      <c r="M5042">
        <v>0.26846334880265177</v>
      </c>
      <c r="N5042">
        <v>0.20225860163702261</v>
      </c>
      <c r="O5042">
        <v>0.27001323347077721</v>
      </c>
      <c r="P5042">
        <v>0.25926481608954854</v>
      </c>
    </row>
    <row r="5043" spans="13:16">
      <c r="M5043">
        <v>0.31484501142577376</v>
      </c>
      <c r="N5043">
        <v>0.19593898248558853</v>
      </c>
      <c r="O5043">
        <v>0.22790172162049838</v>
      </c>
      <c r="P5043">
        <v>0.26131428446813926</v>
      </c>
    </row>
    <row r="5044" spans="13:16">
      <c r="M5044">
        <v>0.28143843049203765</v>
      </c>
      <c r="N5044">
        <v>0.19735060406104526</v>
      </c>
      <c r="O5044">
        <v>0.25149587442187149</v>
      </c>
      <c r="P5044">
        <v>0.26971509102504543</v>
      </c>
    </row>
    <row r="5045" spans="13:16">
      <c r="M5045">
        <v>0.30326029661937842</v>
      </c>
      <c r="N5045">
        <v>0.19548417109584515</v>
      </c>
      <c r="O5045">
        <v>0.22340654742004434</v>
      </c>
      <c r="P5045">
        <v>0.27784898486473214</v>
      </c>
    </row>
    <row r="5046" spans="13:16">
      <c r="M5046">
        <v>0.29460129681032615</v>
      </c>
      <c r="N5046">
        <v>0.16908819555235322</v>
      </c>
      <c r="O5046">
        <v>0.26994724671831316</v>
      </c>
      <c r="P5046">
        <v>0.26636326091900747</v>
      </c>
    </row>
    <row r="5047" spans="13:16">
      <c r="M5047">
        <v>0.30053602075541919</v>
      </c>
      <c r="N5047">
        <v>0.19770237849626796</v>
      </c>
      <c r="O5047">
        <v>0.22116446369237625</v>
      </c>
      <c r="P5047">
        <v>0.28059713705593659</v>
      </c>
    </row>
    <row r="5048" spans="13:16">
      <c r="M5048">
        <v>0.28182009053766066</v>
      </c>
      <c r="N5048">
        <v>0.191680733157192</v>
      </c>
      <c r="O5048">
        <v>0.26068342541589518</v>
      </c>
      <c r="P5048">
        <v>0.26581575088925224</v>
      </c>
    </row>
    <row r="5049" spans="13:16">
      <c r="M5049">
        <v>0.28665947032971717</v>
      </c>
      <c r="N5049">
        <v>0.20014706324819706</v>
      </c>
      <c r="O5049">
        <v>0.24706520630667583</v>
      </c>
      <c r="P5049">
        <v>0.26612826011541002</v>
      </c>
    </row>
    <row r="5050" spans="13:16">
      <c r="M5050">
        <v>0.28236973532551513</v>
      </c>
      <c r="N5050">
        <v>0.18050916290906802</v>
      </c>
      <c r="O5050">
        <v>0.27953050941630991</v>
      </c>
      <c r="P5050">
        <v>0.25759059234910692</v>
      </c>
    </row>
    <row r="5051" spans="13:16">
      <c r="M5051">
        <v>0.30642609736809229</v>
      </c>
      <c r="N5051">
        <v>0.19352886488524321</v>
      </c>
      <c r="O5051">
        <v>0.24822305172584438</v>
      </c>
      <c r="P5051">
        <v>0.25182198602082012</v>
      </c>
    </row>
    <row r="5052" spans="13:16">
      <c r="M5052">
        <v>0.26928076077725355</v>
      </c>
      <c r="N5052">
        <v>0.19080855477562642</v>
      </c>
      <c r="O5052">
        <v>0.28604600371090722</v>
      </c>
      <c r="P5052">
        <v>0.25386468073621282</v>
      </c>
    </row>
    <row r="5053" spans="13:16">
      <c r="M5053">
        <v>0.265906641931763</v>
      </c>
      <c r="N5053">
        <v>0.18888469563672486</v>
      </c>
      <c r="O5053">
        <v>0.28194190863492202</v>
      </c>
      <c r="P5053">
        <v>0.2632667537965902</v>
      </c>
    </row>
    <row r="5054" spans="13:16">
      <c r="M5054">
        <v>0.29462018272589546</v>
      </c>
      <c r="N5054">
        <v>0.17362867643582078</v>
      </c>
      <c r="O5054">
        <v>0.27080136052239534</v>
      </c>
      <c r="P5054">
        <v>0.26094978031588845</v>
      </c>
    </row>
    <row r="5055" spans="13:16">
      <c r="M5055">
        <v>0.28268520515713402</v>
      </c>
      <c r="N5055">
        <v>0.20135318760450288</v>
      </c>
      <c r="O5055">
        <v>0.23319073486053793</v>
      </c>
      <c r="P5055">
        <v>0.28277087237782522</v>
      </c>
    </row>
    <row r="5056" spans="13:16">
      <c r="M5056">
        <v>0.2918595955306732</v>
      </c>
      <c r="N5056">
        <v>0.19377223878221575</v>
      </c>
      <c r="O5056">
        <v>0.25544712403981479</v>
      </c>
      <c r="P5056">
        <v>0.25892104164729612</v>
      </c>
    </row>
    <row r="5057" spans="13:16">
      <c r="M5057">
        <v>0.30958320107794401</v>
      </c>
      <c r="N5057">
        <v>0.18134223656675102</v>
      </c>
      <c r="O5057">
        <v>0.24755438684412218</v>
      </c>
      <c r="P5057">
        <v>0.26152017551118267</v>
      </c>
    </row>
    <row r="5058" spans="13:16">
      <c r="M5058">
        <v>0.29993478467442181</v>
      </c>
      <c r="N5058">
        <v>0.18960485067471172</v>
      </c>
      <c r="O5058">
        <v>0.25062982764793013</v>
      </c>
      <c r="P5058">
        <v>0.25983053700293629</v>
      </c>
    </row>
    <row r="5059" spans="13:16">
      <c r="M5059">
        <v>0.26972266847794762</v>
      </c>
      <c r="N5059">
        <v>0.20323073669023664</v>
      </c>
      <c r="O5059">
        <v>0.25961422260040318</v>
      </c>
      <c r="P5059">
        <v>0.26743237223141247</v>
      </c>
    </row>
    <row r="5060" spans="13:16">
      <c r="M5060">
        <v>0.32678244231908882</v>
      </c>
      <c r="N5060">
        <v>0.18300429744308266</v>
      </c>
      <c r="O5060">
        <v>0.21889598790831641</v>
      </c>
      <c r="P5060">
        <v>0.27131727232951203</v>
      </c>
    </row>
    <row r="5061" spans="13:16">
      <c r="M5061">
        <v>0.29514752890436108</v>
      </c>
      <c r="N5061">
        <v>0.2057226225271693</v>
      </c>
      <c r="O5061">
        <v>0.23377598288430262</v>
      </c>
      <c r="P5061">
        <v>0.26535386568416708</v>
      </c>
    </row>
    <row r="5062" spans="13:16">
      <c r="M5062">
        <v>0.28637434536633488</v>
      </c>
      <c r="N5062">
        <v>0.17861935528233713</v>
      </c>
      <c r="O5062">
        <v>0.27169482914250992</v>
      </c>
      <c r="P5062">
        <v>0.26331147020881807</v>
      </c>
    </row>
    <row r="5063" spans="13:16">
      <c r="M5063">
        <v>0.27653328435151403</v>
      </c>
      <c r="N5063">
        <v>0.1847512284415373</v>
      </c>
      <c r="O5063">
        <v>0.28247679800930181</v>
      </c>
      <c r="P5063">
        <v>0.25623868919764692</v>
      </c>
    </row>
    <row r="5064" spans="13:16">
      <c r="M5064">
        <v>0.29498735529474973</v>
      </c>
      <c r="N5064">
        <v>0.20605819822807797</v>
      </c>
      <c r="O5064">
        <v>0.23373759821925305</v>
      </c>
      <c r="P5064">
        <v>0.2652168482579193</v>
      </c>
    </row>
    <row r="5065" spans="13:16">
      <c r="M5065">
        <v>0.30103748256697777</v>
      </c>
      <c r="N5065">
        <v>0.1842279147879555</v>
      </c>
      <c r="O5065">
        <v>0.27624981455825831</v>
      </c>
      <c r="P5065">
        <v>0.23848478808680842</v>
      </c>
    </row>
    <row r="5066" spans="13:16">
      <c r="M5066">
        <v>0.29167479411439123</v>
      </c>
      <c r="N5066">
        <v>0.17521844881581686</v>
      </c>
      <c r="O5066">
        <v>0.28245275140072373</v>
      </c>
      <c r="P5066">
        <v>0.25065400566906831</v>
      </c>
    </row>
    <row r="5067" spans="13:16">
      <c r="M5067">
        <v>0.32586139337296982</v>
      </c>
      <c r="N5067">
        <v>0.16815684838465403</v>
      </c>
      <c r="O5067">
        <v>0.25753358080011657</v>
      </c>
      <c r="P5067">
        <v>0.24844817744225953</v>
      </c>
    </row>
    <row r="5068" spans="13:16">
      <c r="M5068">
        <v>0.29709204238419323</v>
      </c>
      <c r="N5068">
        <v>0.20097445285070026</v>
      </c>
      <c r="O5068">
        <v>0.23002411300590578</v>
      </c>
      <c r="P5068">
        <v>0.27190939175920065</v>
      </c>
    </row>
    <row r="5069" spans="13:16">
      <c r="M5069">
        <v>0.30733292643559068</v>
      </c>
      <c r="N5069">
        <v>0.17774720794483517</v>
      </c>
      <c r="O5069">
        <v>0.25198765557024239</v>
      </c>
      <c r="P5069">
        <v>0.26293221004933187</v>
      </c>
    </row>
    <row r="5070" spans="13:16">
      <c r="M5070">
        <v>0.27187364210788922</v>
      </c>
      <c r="N5070">
        <v>0.20384603538012017</v>
      </c>
      <c r="O5070">
        <v>0.26055146554527692</v>
      </c>
      <c r="P5070">
        <v>0.26372885696671361</v>
      </c>
    </row>
    <row r="5071" spans="13:16">
      <c r="M5071">
        <v>0.30703428312644515</v>
      </c>
      <c r="N5071">
        <v>0.20254583784421204</v>
      </c>
      <c r="O5071">
        <v>0.2165400789590918</v>
      </c>
      <c r="P5071">
        <v>0.27387980007025098</v>
      </c>
    </row>
    <row r="5072" spans="13:16">
      <c r="M5072">
        <v>0.30689889056497899</v>
      </c>
      <c r="N5072">
        <v>0.19546146027443503</v>
      </c>
      <c r="O5072">
        <v>0.2380204713838347</v>
      </c>
      <c r="P5072">
        <v>0.25961917777675125</v>
      </c>
    </row>
    <row r="5073" spans="13:16">
      <c r="M5073">
        <v>0.28503706632267162</v>
      </c>
      <c r="N5073">
        <v>0.21175960380399467</v>
      </c>
      <c r="O5073">
        <v>0.23317179409566585</v>
      </c>
      <c r="P5073">
        <v>0.27003153577766792</v>
      </c>
    </row>
    <row r="5074" spans="13:16">
      <c r="M5074">
        <v>0.29717964184296397</v>
      </c>
      <c r="N5074">
        <v>0.17223994574148485</v>
      </c>
      <c r="O5074">
        <v>0.27918334588440902</v>
      </c>
      <c r="P5074">
        <v>0.25139706653114224</v>
      </c>
    </row>
    <row r="5075" spans="13:16">
      <c r="M5075">
        <v>0.28273720729553736</v>
      </c>
      <c r="N5075">
        <v>0.21000594431449349</v>
      </c>
      <c r="O5075">
        <v>0.23447665493971226</v>
      </c>
      <c r="P5075">
        <v>0.27278019345025684</v>
      </c>
    </row>
    <row r="5076" spans="13:16">
      <c r="M5076">
        <v>0.3020645261608243</v>
      </c>
      <c r="N5076">
        <v>0.17879045363038426</v>
      </c>
      <c r="O5076">
        <v>0.26455995275188254</v>
      </c>
      <c r="P5076">
        <v>0.25458506745690901</v>
      </c>
    </row>
    <row r="5077" spans="13:16">
      <c r="M5077">
        <v>0.28955681757279383</v>
      </c>
      <c r="N5077">
        <v>0.20550521327767282</v>
      </c>
      <c r="O5077">
        <v>0.23903625314846016</v>
      </c>
      <c r="P5077">
        <v>0.26590171600107304</v>
      </c>
    </row>
    <row r="5078" spans="13:16">
      <c r="M5078">
        <v>0.27605217499419182</v>
      </c>
      <c r="N5078">
        <v>0.19566265419940801</v>
      </c>
      <c r="O5078">
        <v>0.26333167555226672</v>
      </c>
      <c r="P5078">
        <v>0.26495349525413336</v>
      </c>
    </row>
    <row r="5079" spans="13:16">
      <c r="M5079">
        <v>0.27858453181361531</v>
      </c>
      <c r="N5079">
        <v>0.18382588945671569</v>
      </c>
      <c r="O5079">
        <v>0.25807264307623684</v>
      </c>
      <c r="P5079">
        <v>0.27951693565343211</v>
      </c>
    </row>
    <row r="5080" spans="13:16">
      <c r="M5080">
        <v>0.30125062174966533</v>
      </c>
      <c r="N5080">
        <v>0.20737145448022246</v>
      </c>
      <c r="O5080">
        <v>0.2268452867447362</v>
      </c>
      <c r="P5080">
        <v>0.26453263702537594</v>
      </c>
    </row>
    <row r="5081" spans="13:16">
      <c r="M5081">
        <v>0.27921566421474897</v>
      </c>
      <c r="N5081">
        <v>0.18597225240926543</v>
      </c>
      <c r="O5081">
        <v>0.28086229881134711</v>
      </c>
      <c r="P5081">
        <v>0.25394978456463851</v>
      </c>
    </row>
    <row r="5082" spans="13:16">
      <c r="M5082">
        <v>0.30292806462332333</v>
      </c>
      <c r="N5082">
        <v>0.19804989709381154</v>
      </c>
      <c r="O5082">
        <v>0.22359549809059345</v>
      </c>
      <c r="P5082">
        <v>0.27542654019227159</v>
      </c>
    </row>
    <row r="5083" spans="13:16">
      <c r="M5083">
        <v>0.30740866954206086</v>
      </c>
      <c r="N5083">
        <v>0.19105204514468085</v>
      </c>
      <c r="O5083">
        <v>0.23704858459488687</v>
      </c>
      <c r="P5083">
        <v>0.26449070071837139</v>
      </c>
    </row>
    <row r="5084" spans="13:16">
      <c r="M5084">
        <v>0.28672417741866235</v>
      </c>
      <c r="N5084">
        <v>0.19506113796787677</v>
      </c>
      <c r="O5084">
        <v>0.25808024267086571</v>
      </c>
      <c r="P5084">
        <v>0.26013444194259516</v>
      </c>
    </row>
    <row r="5085" spans="13:16">
      <c r="M5085">
        <v>0.29059507789642169</v>
      </c>
      <c r="N5085">
        <v>0.20352165374385706</v>
      </c>
      <c r="O5085">
        <v>0.23395189485263684</v>
      </c>
      <c r="P5085">
        <v>0.27193137350708435</v>
      </c>
    </row>
    <row r="5086" spans="13:16">
      <c r="M5086">
        <v>0.30135319292651375</v>
      </c>
      <c r="N5086">
        <v>0.18468068623095416</v>
      </c>
      <c r="O5086">
        <v>0.25932512097937271</v>
      </c>
      <c r="P5086">
        <v>0.2546409998631593</v>
      </c>
    </row>
    <row r="5087" spans="13:16">
      <c r="M5087">
        <v>0.30970929130118036</v>
      </c>
      <c r="N5087">
        <v>0.17437046378399149</v>
      </c>
      <c r="O5087">
        <v>0.25802092748636757</v>
      </c>
      <c r="P5087">
        <v>0.25789931742846056</v>
      </c>
    </row>
    <row r="5088" spans="13:16">
      <c r="M5088">
        <v>0.26434967338876725</v>
      </c>
      <c r="N5088">
        <v>0.20798513500591129</v>
      </c>
      <c r="O5088">
        <v>0.25950068713960883</v>
      </c>
      <c r="P5088">
        <v>0.26816450446571272</v>
      </c>
    </row>
    <row r="5089" spans="13:16">
      <c r="M5089">
        <v>0.25540045680724227</v>
      </c>
      <c r="N5089">
        <v>0.20043927656157895</v>
      </c>
      <c r="O5089">
        <v>0.27982493066830411</v>
      </c>
      <c r="P5089">
        <v>0.26433533596287484</v>
      </c>
    </row>
    <row r="5090" spans="13:16">
      <c r="M5090">
        <v>0.30792939772890926</v>
      </c>
      <c r="N5090">
        <v>0.16893936708330817</v>
      </c>
      <c r="O5090">
        <v>0.28110801652396128</v>
      </c>
      <c r="P5090">
        <v>0.24202321866382129</v>
      </c>
    </row>
    <row r="5091" spans="13:16">
      <c r="M5091">
        <v>0.3188088489490265</v>
      </c>
      <c r="N5091">
        <v>0.17152596742740411</v>
      </c>
      <c r="O5091">
        <v>0.23901901970974684</v>
      </c>
      <c r="P5091">
        <v>0.27064616391382251</v>
      </c>
    </row>
    <row r="5092" spans="13:16">
      <c r="M5092">
        <v>0.2794195575037744</v>
      </c>
      <c r="N5092">
        <v>0.18346107725800212</v>
      </c>
      <c r="O5092">
        <v>0.25895266222466329</v>
      </c>
      <c r="P5092">
        <v>0.27816670301356022</v>
      </c>
    </row>
    <row r="5093" spans="13:16">
      <c r="M5093">
        <v>0.31655844165584762</v>
      </c>
      <c r="N5093">
        <v>0.19832814029023682</v>
      </c>
      <c r="O5093">
        <v>0.218540183165956</v>
      </c>
      <c r="P5093">
        <v>0.26657323488795948</v>
      </c>
    </row>
    <row r="5094" spans="13:16">
      <c r="M5094">
        <v>0.28866266061184703</v>
      </c>
      <c r="N5094">
        <v>0.18077634798771691</v>
      </c>
      <c r="O5094">
        <v>0.27051921176471538</v>
      </c>
      <c r="P5094">
        <v>0.26004177963572062</v>
      </c>
    </row>
    <row r="5095" spans="13:16">
      <c r="M5095">
        <v>0.29246911323165514</v>
      </c>
      <c r="N5095">
        <v>0.18648085475463988</v>
      </c>
      <c r="O5095">
        <v>0.26245519526840122</v>
      </c>
      <c r="P5095">
        <v>0.25859483674530387</v>
      </c>
    </row>
    <row r="5096" spans="13:16">
      <c r="M5096">
        <v>0.29417598495672304</v>
      </c>
      <c r="N5096">
        <v>0.17933359483325198</v>
      </c>
      <c r="O5096">
        <v>0.24902049263163109</v>
      </c>
      <c r="P5096">
        <v>0.27746992757839384</v>
      </c>
    </row>
    <row r="5097" spans="13:16">
      <c r="M5097">
        <v>0.28653269760314731</v>
      </c>
      <c r="N5097">
        <v>0.18013493512522469</v>
      </c>
      <c r="O5097">
        <v>0.28256294252466896</v>
      </c>
      <c r="P5097">
        <v>0.25076942474695896</v>
      </c>
    </row>
    <row r="5098" spans="13:16">
      <c r="M5098">
        <v>0.27730372360219446</v>
      </c>
      <c r="N5098">
        <v>0.19856212855045527</v>
      </c>
      <c r="O5098">
        <v>0.26346644317039425</v>
      </c>
      <c r="P5098">
        <v>0.26066770467695594</v>
      </c>
    </row>
    <row r="5099" spans="13:16">
      <c r="M5099">
        <v>0.30905450421421299</v>
      </c>
      <c r="N5099">
        <v>0.18652982845118121</v>
      </c>
      <c r="O5099">
        <v>0.22403301971919323</v>
      </c>
      <c r="P5099">
        <v>0.28038264761541265</v>
      </c>
    </row>
    <row r="5100" spans="13:16">
      <c r="M5100">
        <v>0.28821453553027998</v>
      </c>
      <c r="N5100">
        <v>0.19567222998214612</v>
      </c>
      <c r="O5100">
        <v>0.24797678196721148</v>
      </c>
      <c r="P5100">
        <v>0.26813645252036244</v>
      </c>
    </row>
    <row r="5101" spans="13:16">
      <c r="M5101">
        <v>0.30921545163564668</v>
      </c>
      <c r="N5101">
        <v>0.18851995792603249</v>
      </c>
      <c r="O5101">
        <v>0.23187963587528027</v>
      </c>
      <c r="P5101">
        <v>0.27038495456304062</v>
      </c>
    </row>
    <row r="5102" spans="13:16">
      <c r="M5102">
        <v>0.28149553174657554</v>
      </c>
      <c r="N5102">
        <v>0.19716388681751207</v>
      </c>
      <c r="O5102">
        <v>0.27397068819639592</v>
      </c>
      <c r="P5102">
        <v>0.24736989323951655</v>
      </c>
    </row>
    <row r="5103" spans="13:16">
      <c r="M5103">
        <v>0.25945555482601546</v>
      </c>
      <c r="N5103">
        <v>0.2106376005586737</v>
      </c>
      <c r="O5103">
        <v>0.26464575105104249</v>
      </c>
      <c r="P5103">
        <v>0.26526109356426841</v>
      </c>
    </row>
    <row r="5104" spans="13:16">
      <c r="M5104">
        <v>0.27078145709196194</v>
      </c>
      <c r="N5104">
        <v>0.16580238888678317</v>
      </c>
      <c r="O5104">
        <v>0.30608932685712209</v>
      </c>
      <c r="P5104">
        <v>0.25732682716413274</v>
      </c>
    </row>
    <row r="5105" spans="13:16">
      <c r="M5105">
        <v>0.30165921139912266</v>
      </c>
      <c r="N5105">
        <v>0.17101423863649698</v>
      </c>
      <c r="O5105">
        <v>0.28280434199376642</v>
      </c>
      <c r="P5105">
        <v>0.24452220797061391</v>
      </c>
    </row>
    <row r="5106" spans="13:16">
      <c r="M5106">
        <v>0.27790266238251055</v>
      </c>
      <c r="N5106">
        <v>0.18593714584701043</v>
      </c>
      <c r="O5106">
        <v>0.27801051526306247</v>
      </c>
      <c r="P5106">
        <v>0.25814967650741666</v>
      </c>
    </row>
    <row r="5107" spans="13:16">
      <c r="M5107">
        <v>0.30707259095661082</v>
      </c>
      <c r="N5107">
        <v>0.19737321881582104</v>
      </c>
      <c r="O5107">
        <v>0.2318667417504551</v>
      </c>
      <c r="P5107">
        <v>0.26368744847711301</v>
      </c>
    </row>
    <row r="5108" spans="13:16">
      <c r="M5108">
        <v>0.30574935383692564</v>
      </c>
      <c r="N5108">
        <v>0.20787591743719808</v>
      </c>
      <c r="O5108">
        <v>0.20418512418800461</v>
      </c>
      <c r="P5108">
        <v>0.28218960453787162</v>
      </c>
    </row>
    <row r="5109" spans="13:16">
      <c r="M5109">
        <v>0.27083282428287431</v>
      </c>
      <c r="N5109">
        <v>0.19227201525730372</v>
      </c>
      <c r="O5109">
        <v>0.26600761142057333</v>
      </c>
      <c r="P5109">
        <v>0.27088754903924872</v>
      </c>
    </row>
    <row r="5110" spans="13:16">
      <c r="M5110">
        <v>0.28798145195904512</v>
      </c>
      <c r="N5110">
        <v>0.17801689441636134</v>
      </c>
      <c r="O5110">
        <v>0.26615281003581243</v>
      </c>
      <c r="P5110">
        <v>0.26784884358878114</v>
      </c>
    </row>
    <row r="5111" spans="13:16">
      <c r="M5111">
        <v>0.29326310185194737</v>
      </c>
      <c r="N5111">
        <v>0.19176932347536915</v>
      </c>
      <c r="O5111">
        <v>0.25124977514078628</v>
      </c>
      <c r="P5111">
        <v>0.26371779953189739</v>
      </c>
    </row>
    <row r="5112" spans="13:16">
      <c r="M5112">
        <v>0.28666209017606731</v>
      </c>
      <c r="N5112">
        <v>0.18790184028389043</v>
      </c>
      <c r="O5112">
        <v>0.25004057694576748</v>
      </c>
      <c r="P5112">
        <v>0.27539549259427476</v>
      </c>
    </row>
    <row r="5113" spans="13:16">
      <c r="M5113">
        <v>0.30276851438808638</v>
      </c>
      <c r="N5113">
        <v>0.1613382186364643</v>
      </c>
      <c r="O5113">
        <v>0.29928166020125141</v>
      </c>
      <c r="P5113">
        <v>0.23661160677419782</v>
      </c>
    </row>
    <row r="5114" spans="13:16">
      <c r="M5114">
        <v>0.27832269329019044</v>
      </c>
      <c r="N5114">
        <v>0.19108132432667513</v>
      </c>
      <c r="O5114">
        <v>0.25863274387912988</v>
      </c>
      <c r="P5114">
        <v>0.27196323850400461</v>
      </c>
    </row>
    <row r="5115" spans="13:16">
      <c r="M5115">
        <v>0.2798671068445388</v>
      </c>
      <c r="N5115">
        <v>0.19018542077388875</v>
      </c>
      <c r="O5115">
        <v>0.25937262873642808</v>
      </c>
      <c r="P5115">
        <v>0.2705748436451445</v>
      </c>
    </row>
    <row r="5116" spans="13:16">
      <c r="M5116">
        <v>0.31414990530666193</v>
      </c>
      <c r="N5116">
        <v>0.17113807089808281</v>
      </c>
      <c r="O5116">
        <v>0.25550355235269123</v>
      </c>
      <c r="P5116">
        <v>0.25920847144256398</v>
      </c>
    </row>
    <row r="5117" spans="13:16">
      <c r="M5117">
        <v>0.28383715040975971</v>
      </c>
      <c r="N5117">
        <v>0.17373716038838538</v>
      </c>
      <c r="O5117">
        <v>0.2784516799325904</v>
      </c>
      <c r="P5117">
        <v>0.2639740092692644</v>
      </c>
    </row>
    <row r="5118" spans="13:16">
      <c r="M5118">
        <v>0.29995543604612906</v>
      </c>
      <c r="N5118">
        <v>0.18019824551931055</v>
      </c>
      <c r="O5118">
        <v>0.25388687179503977</v>
      </c>
      <c r="P5118">
        <v>0.26595944663952059</v>
      </c>
    </row>
    <row r="5119" spans="13:16">
      <c r="M5119">
        <v>0.28859250595768893</v>
      </c>
      <c r="N5119">
        <v>0.18681470711600165</v>
      </c>
      <c r="O5119">
        <v>0.26939652177712814</v>
      </c>
      <c r="P5119">
        <v>0.25519626514918131</v>
      </c>
    </row>
    <row r="5120" spans="13:16">
      <c r="M5120">
        <v>0.30158074515706651</v>
      </c>
      <c r="N5120">
        <v>0.17541262037285921</v>
      </c>
      <c r="O5120">
        <v>0.27038312064341952</v>
      </c>
      <c r="P5120">
        <v>0.25262351382665471</v>
      </c>
    </row>
    <row r="5121" spans="13:16">
      <c r="M5121">
        <v>0.28214054930379379</v>
      </c>
      <c r="N5121">
        <v>0.20181717955250766</v>
      </c>
      <c r="O5121">
        <v>0.23542559221388534</v>
      </c>
      <c r="P5121">
        <v>0.28061667892981323</v>
      </c>
    </row>
    <row r="5122" spans="13:16">
      <c r="M5122">
        <v>0.27868542260845791</v>
      </c>
      <c r="N5122">
        <v>0.2112794596216839</v>
      </c>
      <c r="O5122">
        <v>0.21628917785406512</v>
      </c>
      <c r="P5122">
        <v>0.29374593991579295</v>
      </c>
    </row>
    <row r="5123" spans="13:16">
      <c r="M5123">
        <v>0.31222052269632727</v>
      </c>
      <c r="N5123">
        <v>0.1807086911015236</v>
      </c>
      <c r="O5123">
        <v>0.25550497739651579</v>
      </c>
      <c r="P5123">
        <v>0.2515658088056334</v>
      </c>
    </row>
    <row r="5124" spans="13:16">
      <c r="M5124">
        <v>0.29106216665900325</v>
      </c>
      <c r="N5124">
        <v>0.17838576672576087</v>
      </c>
      <c r="O5124">
        <v>0.27978912359380376</v>
      </c>
      <c r="P5124">
        <v>0.25076294302143198</v>
      </c>
    </row>
    <row r="5125" spans="13:16">
      <c r="M5125">
        <v>0.29755579087279904</v>
      </c>
      <c r="N5125">
        <v>0.20077388822935338</v>
      </c>
      <c r="O5125">
        <v>0.23402877979186323</v>
      </c>
      <c r="P5125">
        <v>0.26764154110598426</v>
      </c>
    </row>
    <row r="5126" spans="13:16">
      <c r="M5126">
        <v>0.30524091061022657</v>
      </c>
      <c r="N5126">
        <v>0.1894417511504605</v>
      </c>
      <c r="O5126">
        <v>0.25225900223513964</v>
      </c>
      <c r="P5126">
        <v>0.25305833600417338</v>
      </c>
    </row>
    <row r="5127" spans="13:16">
      <c r="M5127">
        <v>0.29074735113086669</v>
      </c>
      <c r="N5127">
        <v>0.18521054395647396</v>
      </c>
      <c r="O5127">
        <v>0.26405343287198241</v>
      </c>
      <c r="P5127">
        <v>0.25998867204067683</v>
      </c>
    </row>
    <row r="5128" spans="13:16">
      <c r="M5128">
        <v>0.28191122144850045</v>
      </c>
      <c r="N5128">
        <v>0.17799331953446246</v>
      </c>
      <c r="O5128">
        <v>0.2695974097328287</v>
      </c>
      <c r="P5128">
        <v>0.27049804928420851</v>
      </c>
    </row>
    <row r="5129" spans="13:16">
      <c r="M5129">
        <v>0.29336693269944314</v>
      </c>
      <c r="N5129">
        <v>0.19646751320446917</v>
      </c>
      <c r="O5129">
        <v>0.25633489511104635</v>
      </c>
      <c r="P5129">
        <v>0.25383065898504137</v>
      </c>
    </row>
    <row r="5130" spans="13:16">
      <c r="M5130">
        <v>0.27861659888992213</v>
      </c>
      <c r="N5130">
        <v>0.18861559096606115</v>
      </c>
      <c r="O5130">
        <v>0.25782928322830767</v>
      </c>
      <c r="P5130">
        <v>0.27493852691570919</v>
      </c>
    </row>
    <row r="5131" spans="13:16">
      <c r="M5131">
        <v>0.32503916894008561</v>
      </c>
      <c r="N5131">
        <v>0.1710925753779701</v>
      </c>
      <c r="O5131">
        <v>0.23570990048371637</v>
      </c>
      <c r="P5131">
        <v>0.26815835519822778</v>
      </c>
    </row>
    <row r="5132" spans="13:16">
      <c r="M5132">
        <v>0.28893099013755769</v>
      </c>
      <c r="N5132">
        <v>0.17954858942647242</v>
      </c>
      <c r="O5132">
        <v>0.25828160400776595</v>
      </c>
      <c r="P5132">
        <v>0.27323881642820391</v>
      </c>
    </row>
    <row r="5133" spans="13:16">
      <c r="M5133">
        <v>0.31322897845429459</v>
      </c>
      <c r="N5133">
        <v>0.18437895556926254</v>
      </c>
      <c r="O5133">
        <v>0.25100637209021431</v>
      </c>
      <c r="P5133">
        <v>0.25138569388622861</v>
      </c>
    </row>
    <row r="5134" spans="13:16">
      <c r="M5134">
        <v>0.29825703229264056</v>
      </c>
      <c r="N5134">
        <v>0.17839380484467007</v>
      </c>
      <c r="O5134">
        <v>0.26697266725706642</v>
      </c>
      <c r="P5134">
        <v>0.25637649560562292</v>
      </c>
    </row>
    <row r="5135" spans="13:16">
      <c r="M5135">
        <v>0.30555771259296188</v>
      </c>
      <c r="N5135">
        <v>0.20214759905949867</v>
      </c>
      <c r="O5135">
        <v>0.23349426430123632</v>
      </c>
      <c r="P5135">
        <v>0.25880042404630321</v>
      </c>
    </row>
    <row r="5136" spans="13:16">
      <c r="M5136">
        <v>0.28533215458312666</v>
      </c>
      <c r="N5136">
        <v>0.18141706592900508</v>
      </c>
      <c r="O5136">
        <v>0.26881042655403481</v>
      </c>
      <c r="P5136">
        <v>0.26444035293383333</v>
      </c>
    </row>
    <row r="5137" spans="13:16">
      <c r="M5137">
        <v>0.27517047352469143</v>
      </c>
      <c r="N5137">
        <v>0.19990230918437538</v>
      </c>
      <c r="O5137">
        <v>0.2609703719316831</v>
      </c>
      <c r="P5137">
        <v>0.26395684535925013</v>
      </c>
    </row>
    <row r="5138" spans="13:16">
      <c r="M5138">
        <v>0.32571084044475551</v>
      </c>
      <c r="N5138">
        <v>0.16542560265989428</v>
      </c>
      <c r="O5138">
        <v>0.25688917503287562</v>
      </c>
      <c r="P5138">
        <v>0.25197438186247462</v>
      </c>
    </row>
    <row r="5139" spans="13:16">
      <c r="M5139">
        <v>0.29605912737538365</v>
      </c>
      <c r="N5139">
        <v>0.17446523532189437</v>
      </c>
      <c r="O5139">
        <v>0.27893168178312472</v>
      </c>
      <c r="P5139">
        <v>0.25054395551959724</v>
      </c>
    </row>
    <row r="5140" spans="13:16">
      <c r="M5140">
        <v>0.27170878758951311</v>
      </c>
      <c r="N5140">
        <v>0.2093929399045707</v>
      </c>
      <c r="O5140">
        <v>0.25394504494550385</v>
      </c>
      <c r="P5140">
        <v>0.26495322756041234</v>
      </c>
    </row>
    <row r="5141" spans="13:16">
      <c r="M5141">
        <v>0.29439436213967091</v>
      </c>
      <c r="N5141">
        <v>0.17608813500379314</v>
      </c>
      <c r="O5141">
        <v>0.26688946973604016</v>
      </c>
      <c r="P5141">
        <v>0.26262803312049587</v>
      </c>
    </row>
    <row r="5142" spans="13:16">
      <c r="M5142">
        <v>0.30125123744639698</v>
      </c>
      <c r="N5142">
        <v>0.16665510497494526</v>
      </c>
      <c r="O5142">
        <v>0.28561467791274658</v>
      </c>
      <c r="P5142">
        <v>0.24647897966591123</v>
      </c>
    </row>
    <row r="5143" spans="13:16">
      <c r="M5143">
        <v>0.29223004750236686</v>
      </c>
      <c r="N5143">
        <v>0.19149112878842653</v>
      </c>
      <c r="O5143">
        <v>0.24490561003943978</v>
      </c>
      <c r="P5143">
        <v>0.27137321366976691</v>
      </c>
    </row>
    <row r="5144" spans="13:16">
      <c r="M5144">
        <v>0.26140318030773474</v>
      </c>
      <c r="N5144">
        <v>0.17551088194496284</v>
      </c>
      <c r="O5144">
        <v>0.3083553025541434</v>
      </c>
      <c r="P5144">
        <v>0.25473063519315903</v>
      </c>
    </row>
    <row r="5145" spans="13:16">
      <c r="M5145">
        <v>0.29543328230623178</v>
      </c>
      <c r="N5145">
        <v>0.18573728569871895</v>
      </c>
      <c r="O5145">
        <v>0.26163192586782252</v>
      </c>
      <c r="P5145">
        <v>0.2571975061272268</v>
      </c>
    </row>
    <row r="5146" spans="13:16">
      <c r="M5146">
        <v>0.28200400990963204</v>
      </c>
      <c r="N5146">
        <v>0.17956091159225032</v>
      </c>
      <c r="O5146">
        <v>0.28405247479758861</v>
      </c>
      <c r="P5146">
        <v>0.25438260370052906</v>
      </c>
    </row>
    <row r="5147" spans="13:16">
      <c r="M5147">
        <v>0.33916537018295162</v>
      </c>
      <c r="N5147">
        <v>0.17601838439384451</v>
      </c>
      <c r="O5147">
        <v>0.21653808965050608</v>
      </c>
      <c r="P5147">
        <v>0.26827815577269781</v>
      </c>
    </row>
    <row r="5148" spans="13:16">
      <c r="M5148">
        <v>0.30216518620896976</v>
      </c>
      <c r="N5148">
        <v>0.17416649202862278</v>
      </c>
      <c r="O5148">
        <v>0.26650106547582042</v>
      </c>
      <c r="P5148">
        <v>0.25716725628658704</v>
      </c>
    </row>
    <row r="5149" spans="13:16">
      <c r="M5149">
        <v>0.30066754480613239</v>
      </c>
      <c r="N5149">
        <v>0.18202162256071155</v>
      </c>
      <c r="O5149">
        <v>0.26004553003867426</v>
      </c>
      <c r="P5149">
        <v>0.25726530259448183</v>
      </c>
    </row>
    <row r="5150" spans="13:16">
      <c r="M5150">
        <v>0.2948534378674606</v>
      </c>
      <c r="N5150">
        <v>0.18982346829679836</v>
      </c>
      <c r="O5150">
        <v>0.25746729313054639</v>
      </c>
      <c r="P5150">
        <v>0.25785580070519476</v>
      </c>
    </row>
    <row r="5151" spans="13:16">
      <c r="M5151">
        <v>0.29387599034440087</v>
      </c>
      <c r="N5151">
        <v>0.19997914943409956</v>
      </c>
      <c r="O5151">
        <v>0.23153263923993719</v>
      </c>
      <c r="P5151">
        <v>0.27461222098156246</v>
      </c>
    </row>
    <row r="5152" spans="13:16">
      <c r="M5152">
        <v>0.30001079417825099</v>
      </c>
      <c r="N5152">
        <v>0.16705277901711621</v>
      </c>
      <c r="O5152">
        <v>0.29232810834366885</v>
      </c>
      <c r="P5152">
        <v>0.24060831846096387</v>
      </c>
    </row>
    <row r="5153" spans="13:16">
      <c r="M5153">
        <v>0.28561960392422509</v>
      </c>
      <c r="N5153">
        <v>0.20187940810534846</v>
      </c>
      <c r="O5153">
        <v>0.25021143781892413</v>
      </c>
      <c r="P5153">
        <v>0.26228955015150229</v>
      </c>
    </row>
    <row r="5154" spans="13:16">
      <c r="M5154">
        <v>0.29485333930526941</v>
      </c>
      <c r="N5154">
        <v>0.17450725396549557</v>
      </c>
      <c r="O5154">
        <v>0.26430547258562948</v>
      </c>
      <c r="P5154">
        <v>0.2663339341436054</v>
      </c>
    </row>
    <row r="5155" spans="13:16">
      <c r="M5155">
        <v>0.2606461770972226</v>
      </c>
      <c r="N5155">
        <v>0.20323019633539938</v>
      </c>
      <c r="O5155">
        <v>0.27147725311781717</v>
      </c>
      <c r="P5155">
        <v>0.26464637344956099</v>
      </c>
    </row>
    <row r="5156" spans="13:16">
      <c r="M5156">
        <v>0.27638766307722412</v>
      </c>
      <c r="N5156">
        <v>0.17520632717020101</v>
      </c>
      <c r="O5156">
        <v>0.29955849707428056</v>
      </c>
      <c r="P5156">
        <v>0.24884751267829433</v>
      </c>
    </row>
    <row r="5157" spans="13:16">
      <c r="M5157">
        <v>0.28678690588028205</v>
      </c>
      <c r="N5157">
        <v>0.19523005599401647</v>
      </c>
      <c r="O5157">
        <v>0.25776662013186852</v>
      </c>
      <c r="P5157">
        <v>0.26021641799383294</v>
      </c>
    </row>
    <row r="5158" spans="13:16">
      <c r="M5158">
        <v>0.29852016789247804</v>
      </c>
      <c r="N5158">
        <v>0.18943092363981714</v>
      </c>
      <c r="O5158">
        <v>0.24668108282215837</v>
      </c>
      <c r="P5158">
        <v>0.26536782564554645</v>
      </c>
    </row>
    <row r="5159" spans="13:16">
      <c r="M5159">
        <v>0.25935244389326939</v>
      </c>
      <c r="N5159">
        <v>0.20622632769735202</v>
      </c>
      <c r="O5159">
        <v>0.26985920170877048</v>
      </c>
      <c r="P5159">
        <v>0.26456202670060808</v>
      </c>
    </row>
    <row r="5160" spans="13:16">
      <c r="M5160">
        <v>0.29483330200319691</v>
      </c>
      <c r="N5160">
        <v>0.16568032060129148</v>
      </c>
      <c r="O5160">
        <v>0.27916328984736477</v>
      </c>
      <c r="P5160">
        <v>0.26032308754814698</v>
      </c>
    </row>
    <row r="5161" spans="13:16">
      <c r="M5161">
        <v>0.32239070876479076</v>
      </c>
      <c r="N5161">
        <v>0.16182796214291667</v>
      </c>
      <c r="O5161">
        <v>0.27051323903301294</v>
      </c>
      <c r="P5161">
        <v>0.2452680900592796</v>
      </c>
    </row>
    <row r="5162" spans="13:16">
      <c r="M5162">
        <v>0.29262987738810409</v>
      </c>
      <c r="N5162">
        <v>0.16320512781800228</v>
      </c>
      <c r="O5162">
        <v>0.29874469486087124</v>
      </c>
      <c r="P5162">
        <v>0.24542029993302228</v>
      </c>
    </row>
    <row r="5163" spans="13:16">
      <c r="M5163">
        <v>0.28107230873182293</v>
      </c>
      <c r="N5163">
        <v>0.19841398488721923</v>
      </c>
      <c r="O5163">
        <v>0.23995989302269985</v>
      </c>
      <c r="P5163">
        <v>0.28055381335825791</v>
      </c>
    </row>
    <row r="5164" spans="13:16">
      <c r="M5164">
        <v>0.29387491650647846</v>
      </c>
      <c r="N5164">
        <v>0.17209100253065393</v>
      </c>
      <c r="O5164">
        <v>0.27652583023470623</v>
      </c>
      <c r="P5164">
        <v>0.25750825072816119</v>
      </c>
    </row>
    <row r="5165" spans="13:16">
      <c r="M5165">
        <v>0.30325298947615398</v>
      </c>
      <c r="N5165">
        <v>0.19428840914475548</v>
      </c>
      <c r="O5165">
        <v>0.24135805310925862</v>
      </c>
      <c r="P5165">
        <v>0.26110054826983187</v>
      </c>
    </row>
    <row r="5166" spans="13:16">
      <c r="M5166">
        <v>0.29196355048945311</v>
      </c>
      <c r="N5166">
        <v>0.19708234175217176</v>
      </c>
      <c r="O5166">
        <v>0.22280851623888054</v>
      </c>
      <c r="P5166">
        <v>0.28814559151949448</v>
      </c>
    </row>
    <row r="5167" spans="13:16">
      <c r="M5167">
        <v>0.27294485414786163</v>
      </c>
      <c r="N5167">
        <v>0.17563948413839872</v>
      </c>
      <c r="O5167">
        <v>0.28274536235733838</v>
      </c>
      <c r="P5167">
        <v>0.26867029935640119</v>
      </c>
    </row>
    <row r="5168" spans="13:16">
      <c r="M5168">
        <v>0.29990934374434908</v>
      </c>
      <c r="N5168">
        <v>0.18079994085199508</v>
      </c>
      <c r="O5168">
        <v>0.25238029590638394</v>
      </c>
      <c r="P5168">
        <v>0.2669104194972719</v>
      </c>
    </row>
    <row r="5169" spans="13:16">
      <c r="M5169">
        <v>0.28848885715192379</v>
      </c>
      <c r="N5169">
        <v>0.19213714657952444</v>
      </c>
      <c r="O5169">
        <v>0.25847901458371292</v>
      </c>
      <c r="P5169">
        <v>0.26089498168483893</v>
      </c>
    </row>
    <row r="5170" spans="13:16">
      <c r="M5170">
        <v>0.27909695366440029</v>
      </c>
      <c r="N5170">
        <v>0.20612823062963317</v>
      </c>
      <c r="O5170">
        <v>0.24615446794677154</v>
      </c>
      <c r="P5170">
        <v>0.26862034775919491</v>
      </c>
    </row>
    <row r="5171" spans="13:16">
      <c r="M5171">
        <v>0.30927444365432621</v>
      </c>
      <c r="N5171">
        <v>0.17623967095531512</v>
      </c>
      <c r="O5171">
        <v>0.24751287596849914</v>
      </c>
      <c r="P5171">
        <v>0.26697300942185936</v>
      </c>
    </row>
    <row r="5172" spans="13:16">
      <c r="M5172">
        <v>0.29819622977533805</v>
      </c>
      <c r="N5172">
        <v>0.20823585680667023</v>
      </c>
      <c r="O5172">
        <v>0.22995549701904025</v>
      </c>
      <c r="P5172">
        <v>0.2636124163989515</v>
      </c>
    </row>
    <row r="5173" spans="13:16">
      <c r="M5173">
        <v>0.34509322250819452</v>
      </c>
      <c r="N5173">
        <v>0.18020926821419275</v>
      </c>
      <c r="O5173">
        <v>0.22075856368531785</v>
      </c>
      <c r="P5173">
        <v>0.2539389455922948</v>
      </c>
    </row>
    <row r="5174" spans="13:16">
      <c r="M5174">
        <v>0.26299147710358362</v>
      </c>
      <c r="N5174">
        <v>0.18567991165025199</v>
      </c>
      <c r="O5174">
        <v>0.29376249124226606</v>
      </c>
      <c r="P5174">
        <v>0.25756612000389828</v>
      </c>
    </row>
    <row r="5175" spans="13:16">
      <c r="M5175">
        <v>0.28107156187899257</v>
      </c>
      <c r="N5175">
        <v>0.19439959891155129</v>
      </c>
      <c r="O5175">
        <v>0.23624567114962014</v>
      </c>
      <c r="P5175">
        <v>0.28828316805983606</v>
      </c>
    </row>
    <row r="5176" spans="13:16">
      <c r="M5176">
        <v>0.27506260723210169</v>
      </c>
      <c r="N5176">
        <v>0.18849070962105019</v>
      </c>
      <c r="O5176">
        <v>0.28852742006148258</v>
      </c>
      <c r="P5176">
        <v>0.24791926308536549</v>
      </c>
    </row>
    <row r="5177" spans="13:16">
      <c r="M5177">
        <v>0.29505187473760086</v>
      </c>
      <c r="N5177">
        <v>0.19547251658059642</v>
      </c>
      <c r="O5177">
        <v>0.24295429222944406</v>
      </c>
      <c r="P5177">
        <v>0.26652131645235866</v>
      </c>
    </row>
    <row r="5178" spans="13:16">
      <c r="M5178">
        <v>0.28527158869921443</v>
      </c>
      <c r="N5178">
        <v>0.19005172849995922</v>
      </c>
      <c r="O5178">
        <v>0.26364668833950394</v>
      </c>
      <c r="P5178">
        <v>0.26102999446132236</v>
      </c>
    </row>
    <row r="5179" spans="13:16">
      <c r="M5179">
        <v>0.28065218824064142</v>
      </c>
      <c r="N5179">
        <v>0.19371192859393568</v>
      </c>
      <c r="O5179">
        <v>0.24918712755759309</v>
      </c>
      <c r="P5179">
        <v>0.27644875560782983</v>
      </c>
    </row>
    <row r="5180" spans="13:16">
      <c r="M5180">
        <v>0.29564653409417446</v>
      </c>
      <c r="N5180">
        <v>0.18716416926238719</v>
      </c>
      <c r="O5180">
        <v>0.25001969724780493</v>
      </c>
      <c r="P5180">
        <v>0.26716959939563334</v>
      </c>
    </row>
    <row r="5181" spans="13:16">
      <c r="M5181">
        <v>0.2671028328557743</v>
      </c>
      <c r="N5181">
        <v>0.19370647058867174</v>
      </c>
      <c r="O5181">
        <v>0.26712426677813211</v>
      </c>
      <c r="P5181">
        <v>0.2720664297774219</v>
      </c>
    </row>
    <row r="5182" spans="13:16">
      <c r="M5182">
        <v>0.27034046752666702</v>
      </c>
      <c r="N5182">
        <v>0.18599649752226668</v>
      </c>
      <c r="O5182">
        <v>0.27605564001357208</v>
      </c>
      <c r="P5182">
        <v>0.26760739493749414</v>
      </c>
    </row>
    <row r="5183" spans="13:16">
      <c r="M5183">
        <v>0.27959184797177344</v>
      </c>
      <c r="N5183">
        <v>0.19872176837062733</v>
      </c>
      <c r="O5183">
        <v>0.25186785338673945</v>
      </c>
      <c r="P5183">
        <v>0.26981853027085989</v>
      </c>
    </row>
    <row r="5184" spans="13:16">
      <c r="M5184">
        <v>0.30734311852890567</v>
      </c>
      <c r="N5184">
        <v>0.18581856870613023</v>
      </c>
      <c r="O5184">
        <v>0.23266512253821525</v>
      </c>
      <c r="P5184">
        <v>0.2741731902267488</v>
      </c>
    </row>
    <row r="5185" spans="13:16">
      <c r="M5185">
        <v>0.30601492716890688</v>
      </c>
      <c r="N5185">
        <v>0.17007457808092466</v>
      </c>
      <c r="O5185">
        <v>0.27624798392987232</v>
      </c>
      <c r="P5185">
        <v>0.24766251082029611</v>
      </c>
    </row>
    <row r="5186" spans="13:16">
      <c r="M5186">
        <v>0.2927092312052571</v>
      </c>
      <c r="N5186">
        <v>0.17550508604914325</v>
      </c>
      <c r="O5186">
        <v>0.26158781153238314</v>
      </c>
      <c r="P5186">
        <v>0.27019787121321648</v>
      </c>
    </row>
    <row r="5187" spans="13:16">
      <c r="M5187">
        <v>0.29889217596663414</v>
      </c>
      <c r="N5187">
        <v>0.18278049606196839</v>
      </c>
      <c r="O5187">
        <v>0.24777674408532963</v>
      </c>
      <c r="P5187">
        <v>0.27055058388606795</v>
      </c>
    </row>
    <row r="5188" spans="13:16">
      <c r="M5188">
        <v>0.30237402896366128</v>
      </c>
      <c r="N5188">
        <v>0.17074189258814246</v>
      </c>
      <c r="O5188">
        <v>0.26107035196292705</v>
      </c>
      <c r="P5188">
        <v>0.26581372648526919</v>
      </c>
    </row>
    <row r="5189" spans="13:16">
      <c r="M5189">
        <v>0.28612789261600746</v>
      </c>
      <c r="N5189">
        <v>0.1707187195789297</v>
      </c>
      <c r="O5189">
        <v>0.28458526534131912</v>
      </c>
      <c r="P5189">
        <v>0.25856812246374367</v>
      </c>
    </row>
    <row r="5190" spans="13:16">
      <c r="M5190">
        <v>0.32565924608881086</v>
      </c>
      <c r="N5190">
        <v>0.17652512732490475</v>
      </c>
      <c r="O5190">
        <v>0.22812395095001758</v>
      </c>
      <c r="P5190">
        <v>0.26969167563626689</v>
      </c>
    </row>
    <row r="5191" spans="13:16">
      <c r="M5191">
        <v>0.32553819695727426</v>
      </c>
      <c r="N5191">
        <v>0.17539082909231626</v>
      </c>
      <c r="O5191">
        <v>0.23926292873054919</v>
      </c>
      <c r="P5191">
        <v>0.2598080452198604</v>
      </c>
    </row>
    <row r="5192" spans="13:16">
      <c r="M5192">
        <v>0.29914015327692628</v>
      </c>
      <c r="N5192">
        <v>0.16447815528236578</v>
      </c>
      <c r="O5192">
        <v>0.29938341818528708</v>
      </c>
      <c r="P5192">
        <v>0.23699827325542094</v>
      </c>
    </row>
    <row r="5193" spans="13:16">
      <c r="M5193">
        <v>0.29414804856692478</v>
      </c>
      <c r="N5193">
        <v>0.17980728951181529</v>
      </c>
      <c r="O5193">
        <v>0.25340884685151682</v>
      </c>
      <c r="P5193">
        <v>0.2726358150697431</v>
      </c>
    </row>
    <row r="5194" spans="13:16">
      <c r="M5194">
        <v>0.2829472533114038</v>
      </c>
      <c r="N5194">
        <v>0.20307812143397214</v>
      </c>
      <c r="O5194">
        <v>0.24997027464845803</v>
      </c>
      <c r="P5194">
        <v>0.26400435060616595</v>
      </c>
    </row>
    <row r="5195" spans="13:16">
      <c r="M5195">
        <v>0.29580242065915946</v>
      </c>
      <c r="N5195">
        <v>0.18256437873238071</v>
      </c>
      <c r="O5195">
        <v>0.27281376704473725</v>
      </c>
      <c r="P5195">
        <v>0.24881943356372258</v>
      </c>
    </row>
    <row r="5196" spans="13:16">
      <c r="M5196">
        <v>0.28661879365523041</v>
      </c>
      <c r="N5196">
        <v>0.17181889649122531</v>
      </c>
      <c r="O5196">
        <v>0.28962490432043786</v>
      </c>
      <c r="P5196">
        <v>0.2519374055331064</v>
      </c>
    </row>
    <row r="5197" spans="13:16">
      <c r="M5197">
        <v>0.30980856393097889</v>
      </c>
      <c r="N5197">
        <v>0.16826775858550189</v>
      </c>
      <c r="O5197">
        <v>0.27563675089337969</v>
      </c>
      <c r="P5197">
        <v>0.24628692659013965</v>
      </c>
    </row>
    <row r="5198" spans="13:16">
      <c r="M5198">
        <v>0.28532576831658613</v>
      </c>
      <c r="N5198">
        <v>0.18642258465562392</v>
      </c>
      <c r="O5198">
        <v>0.25542241456100495</v>
      </c>
      <c r="P5198">
        <v>0.27282923246678498</v>
      </c>
    </row>
    <row r="5199" spans="13:16">
      <c r="M5199">
        <v>0.30414080000823762</v>
      </c>
      <c r="N5199">
        <v>0.17099475888929486</v>
      </c>
      <c r="O5199">
        <v>0.2824959474905962</v>
      </c>
      <c r="P5199">
        <v>0.24236849361187149</v>
      </c>
    </row>
    <row r="5200" spans="13:16">
      <c r="M5200">
        <v>0.29571704030662199</v>
      </c>
      <c r="N5200">
        <v>0.18748058032083187</v>
      </c>
      <c r="O5200">
        <v>0.2570992072747279</v>
      </c>
      <c r="P5200">
        <v>0.25970317209781818</v>
      </c>
    </row>
    <row r="5201" spans="13:16">
      <c r="M5201">
        <v>0.30100897653436148</v>
      </c>
      <c r="N5201">
        <v>0.1785492824661582</v>
      </c>
      <c r="O5201">
        <v>0.26442710779342887</v>
      </c>
      <c r="P5201">
        <v>0.25601463320605133</v>
      </c>
    </row>
    <row r="5202" spans="13:16">
      <c r="M5202">
        <v>0.31329312178207541</v>
      </c>
      <c r="N5202">
        <v>0.18169428782605548</v>
      </c>
      <c r="O5202">
        <v>0.23849974528228876</v>
      </c>
      <c r="P5202">
        <v>0.2665128451095804</v>
      </c>
    </row>
    <row r="5203" spans="13:16">
      <c r="M5203">
        <v>0.27508792492133244</v>
      </c>
      <c r="N5203">
        <v>0.18866672835476828</v>
      </c>
      <c r="O5203">
        <v>0.26824354540313211</v>
      </c>
      <c r="P5203">
        <v>0.26800180132076717</v>
      </c>
    </row>
    <row r="5204" spans="13:16">
      <c r="M5204">
        <v>0.30561028260620138</v>
      </c>
      <c r="N5204">
        <v>0.17747247774512348</v>
      </c>
      <c r="O5204">
        <v>0.27204894648310862</v>
      </c>
      <c r="P5204">
        <v>0.24486829316556663</v>
      </c>
    </row>
    <row r="5205" spans="13:16">
      <c r="M5205">
        <v>0.3003320265200457</v>
      </c>
      <c r="N5205">
        <v>0.17660675622865282</v>
      </c>
      <c r="O5205">
        <v>0.28526791632603637</v>
      </c>
      <c r="P5205">
        <v>0.23779330092526524</v>
      </c>
    </row>
    <row r="5206" spans="13:16">
      <c r="M5206">
        <v>0.31136229011772704</v>
      </c>
      <c r="N5206">
        <v>0.17351758467467418</v>
      </c>
      <c r="O5206">
        <v>0.25489684640549776</v>
      </c>
      <c r="P5206">
        <v>0.26022327880210094</v>
      </c>
    </row>
    <row r="5207" spans="13:16">
      <c r="M5207">
        <v>0.28989143533098966</v>
      </c>
      <c r="N5207">
        <v>0.19905837721914929</v>
      </c>
      <c r="O5207">
        <v>0.25339194226952372</v>
      </c>
      <c r="P5207">
        <v>0.25765824518033736</v>
      </c>
    </row>
    <row r="5208" spans="13:16">
      <c r="M5208">
        <v>0.29782996314868132</v>
      </c>
      <c r="N5208">
        <v>0.19212024930608682</v>
      </c>
      <c r="O5208">
        <v>0.22900322957097516</v>
      </c>
      <c r="P5208">
        <v>0.28104655797425676</v>
      </c>
    </row>
    <row r="5209" spans="13:16">
      <c r="M5209">
        <v>0.31017872666817542</v>
      </c>
      <c r="N5209">
        <v>0.18290228426718361</v>
      </c>
      <c r="O5209">
        <v>0.25665471548939461</v>
      </c>
      <c r="P5209">
        <v>0.25026427357524633</v>
      </c>
    </row>
    <row r="5210" spans="13:16">
      <c r="M5210">
        <v>0.31338235740749515</v>
      </c>
      <c r="N5210">
        <v>0.18177032780578192</v>
      </c>
      <c r="O5210">
        <v>0.22670676286228214</v>
      </c>
      <c r="P5210">
        <v>0.27814055192444082</v>
      </c>
    </row>
    <row r="5211" spans="13:16">
      <c r="M5211">
        <v>0.30239354051549977</v>
      </c>
      <c r="N5211">
        <v>0.19094039689601558</v>
      </c>
      <c r="O5211">
        <v>0.24124797102958981</v>
      </c>
      <c r="P5211">
        <v>0.26541809155889479</v>
      </c>
    </row>
    <row r="5212" spans="13:16">
      <c r="M5212">
        <v>0.27982845119927524</v>
      </c>
      <c r="N5212">
        <v>0.17082279721286503</v>
      </c>
      <c r="O5212">
        <v>0.28297094569233805</v>
      </c>
      <c r="P5212">
        <v>0.26637780589552157</v>
      </c>
    </row>
    <row r="5213" spans="13:16">
      <c r="M5213">
        <v>0.29169754671563763</v>
      </c>
      <c r="N5213">
        <v>0.17233093411963019</v>
      </c>
      <c r="O5213">
        <v>0.28409197045033346</v>
      </c>
      <c r="P5213">
        <v>0.25187954871439866</v>
      </c>
    </row>
    <row r="5214" spans="13:16">
      <c r="M5214">
        <v>0.2790236453570587</v>
      </c>
      <c r="N5214">
        <v>0.18076068559764397</v>
      </c>
      <c r="O5214">
        <v>0.28430263169224584</v>
      </c>
      <c r="P5214">
        <v>0.25591303735305143</v>
      </c>
    </row>
    <row r="5215" spans="13:16">
      <c r="M5215">
        <v>0.31793167243406983</v>
      </c>
      <c r="N5215">
        <v>0.16396328612906355</v>
      </c>
      <c r="O5215">
        <v>0.26786367856488219</v>
      </c>
      <c r="P5215">
        <v>0.25024136287198445</v>
      </c>
    </row>
    <row r="5216" spans="13:16">
      <c r="M5216">
        <v>0.30206001310329977</v>
      </c>
      <c r="N5216">
        <v>0.17240877690317516</v>
      </c>
      <c r="O5216">
        <v>0.25545573274962874</v>
      </c>
      <c r="P5216">
        <v>0.2700754772438963</v>
      </c>
    </row>
    <row r="5217" spans="13:16">
      <c r="M5217">
        <v>0.30302469732503168</v>
      </c>
      <c r="N5217">
        <v>0.18809329469575933</v>
      </c>
      <c r="O5217">
        <v>0.24065460692790042</v>
      </c>
      <c r="P5217">
        <v>0.2682274010513086</v>
      </c>
    </row>
    <row r="5218" spans="13:16">
      <c r="M5218">
        <v>0.30776406117620242</v>
      </c>
      <c r="N5218">
        <v>0.18462532756504135</v>
      </c>
      <c r="O5218">
        <v>0.26007407724683501</v>
      </c>
      <c r="P5218">
        <v>0.24753653401192111</v>
      </c>
    </row>
    <row r="5219" spans="13:16">
      <c r="M5219">
        <v>0.30883679689661608</v>
      </c>
      <c r="N5219">
        <v>0.18937187241428088</v>
      </c>
      <c r="O5219">
        <v>0.23786154523164754</v>
      </c>
      <c r="P5219">
        <v>0.26392978545745543</v>
      </c>
    </row>
    <row r="5220" spans="13:16">
      <c r="M5220">
        <v>0.29361832813161837</v>
      </c>
      <c r="N5220">
        <v>0.18733668795643613</v>
      </c>
      <c r="O5220">
        <v>0.26366238402845499</v>
      </c>
      <c r="P5220">
        <v>0.2553825998834906</v>
      </c>
    </row>
    <row r="5221" spans="13:16">
      <c r="M5221">
        <v>0.3339305002667563</v>
      </c>
      <c r="N5221">
        <v>0.1756317927486836</v>
      </c>
      <c r="O5221">
        <v>0.22606951632903391</v>
      </c>
      <c r="P5221">
        <v>0.26436819065552625</v>
      </c>
    </row>
    <row r="5222" spans="13:16">
      <c r="M5222">
        <v>0.3149352519590819</v>
      </c>
      <c r="N5222">
        <v>0.17857261599554372</v>
      </c>
      <c r="O5222">
        <v>0.22333826594331216</v>
      </c>
      <c r="P5222">
        <v>0.28315386610206222</v>
      </c>
    </row>
    <row r="5223" spans="13:16">
      <c r="M5223">
        <v>0.27640122089514646</v>
      </c>
      <c r="N5223">
        <v>0.20696372381095354</v>
      </c>
      <c r="O5223">
        <v>0.23090525250396962</v>
      </c>
      <c r="P5223">
        <v>0.28572980278993038</v>
      </c>
    </row>
    <row r="5224" spans="13:16">
      <c r="M5224">
        <v>0.30668497223740876</v>
      </c>
      <c r="N5224">
        <v>0.17346808453498636</v>
      </c>
      <c r="O5224">
        <v>0.24925406163923597</v>
      </c>
      <c r="P5224">
        <v>0.27059288158836892</v>
      </c>
    </row>
    <row r="5225" spans="13:16">
      <c r="M5225">
        <v>0.29400963822349141</v>
      </c>
      <c r="N5225">
        <v>0.17541464501709633</v>
      </c>
      <c r="O5225">
        <v>0.26107036323692739</v>
      </c>
      <c r="P5225">
        <v>0.26950535352248495</v>
      </c>
    </row>
    <row r="5226" spans="13:16">
      <c r="M5226">
        <v>0.29439140149357468</v>
      </c>
      <c r="N5226">
        <v>0.18365900746309979</v>
      </c>
      <c r="O5226">
        <v>0.26499486366978425</v>
      </c>
      <c r="P5226">
        <v>0.25695472737354136</v>
      </c>
    </row>
    <row r="5227" spans="13:16">
      <c r="M5227">
        <v>0.29374826824306011</v>
      </c>
      <c r="N5227">
        <v>0.16835072237438872</v>
      </c>
      <c r="O5227">
        <v>0.28826673669065067</v>
      </c>
      <c r="P5227">
        <v>0.24963427269190042</v>
      </c>
    </row>
    <row r="5228" spans="13:16">
      <c r="M5228">
        <v>0.2994602444924756</v>
      </c>
      <c r="N5228">
        <v>0.19600906413443706</v>
      </c>
      <c r="O5228">
        <v>0.24072017958270356</v>
      </c>
      <c r="P5228">
        <v>0.26381051179038373</v>
      </c>
    </row>
    <row r="5229" spans="13:16">
      <c r="M5229">
        <v>0.29476509961352748</v>
      </c>
      <c r="N5229">
        <v>0.19567662027467289</v>
      </c>
      <c r="O5229">
        <v>0.22834286595775075</v>
      </c>
      <c r="P5229">
        <v>0.28121541415404883</v>
      </c>
    </row>
    <row r="5230" spans="13:16">
      <c r="M5230">
        <v>0.28539148451709967</v>
      </c>
      <c r="N5230">
        <v>0.19263612175574635</v>
      </c>
      <c r="O5230">
        <v>0.26979800590605751</v>
      </c>
      <c r="P5230">
        <v>0.25217438782109652</v>
      </c>
    </row>
    <row r="5231" spans="13:16">
      <c r="M5231">
        <v>0.30932941344944809</v>
      </c>
      <c r="N5231">
        <v>0.20097607425559871</v>
      </c>
      <c r="O5231">
        <v>0.22223133645156967</v>
      </c>
      <c r="P5231">
        <v>0.26746317584338353</v>
      </c>
    </row>
    <row r="5232" spans="13:16">
      <c r="M5232">
        <v>0.29625209617676379</v>
      </c>
      <c r="N5232">
        <v>0.19712732062861649</v>
      </c>
      <c r="O5232">
        <v>0.24998881165662773</v>
      </c>
      <c r="P5232">
        <v>0.25663177153799205</v>
      </c>
    </row>
    <row r="5233" spans="13:16">
      <c r="M5233">
        <v>0.26768997849910892</v>
      </c>
      <c r="N5233">
        <v>0.18990651359939803</v>
      </c>
      <c r="O5233">
        <v>0.27990969080603345</v>
      </c>
      <c r="P5233">
        <v>0.26249381709545971</v>
      </c>
    </row>
    <row r="5234" spans="13:16">
      <c r="M5234">
        <v>0.27966200328220969</v>
      </c>
      <c r="N5234">
        <v>0.20196185686691623</v>
      </c>
      <c r="O5234">
        <v>0.2388445350609481</v>
      </c>
      <c r="P5234">
        <v>0.27953160478992595</v>
      </c>
    </row>
    <row r="5235" spans="13:16">
      <c r="M5235">
        <v>0.31801122559504258</v>
      </c>
      <c r="N5235">
        <v>0.17900015765224614</v>
      </c>
      <c r="O5235">
        <v>0.25675213548243458</v>
      </c>
      <c r="P5235">
        <v>0.24623648127027664</v>
      </c>
    </row>
    <row r="5236" spans="13:16">
      <c r="M5236">
        <v>0.30695549912866366</v>
      </c>
      <c r="N5236">
        <v>0.17136176689260624</v>
      </c>
      <c r="O5236">
        <v>0.26844215642349889</v>
      </c>
      <c r="P5236">
        <v>0.25324057755523111</v>
      </c>
    </row>
    <row r="5237" spans="13:16">
      <c r="M5237">
        <v>0.3060082208025024</v>
      </c>
      <c r="N5237">
        <v>0.17214969167119878</v>
      </c>
      <c r="O5237">
        <v>0.28082141083190304</v>
      </c>
      <c r="P5237">
        <v>0.24102067669439572</v>
      </c>
    </row>
    <row r="5238" spans="13:16">
      <c r="M5238">
        <v>0.29686050381096435</v>
      </c>
      <c r="N5238">
        <v>0.18716520700602901</v>
      </c>
      <c r="O5238">
        <v>0.25827337936699735</v>
      </c>
      <c r="P5238">
        <v>0.25770090981600929</v>
      </c>
    </row>
    <row r="5239" spans="13:16">
      <c r="M5239">
        <v>0.28821866997054724</v>
      </c>
      <c r="N5239">
        <v>0.16659765389018422</v>
      </c>
      <c r="O5239">
        <v>0.29672311330045964</v>
      </c>
      <c r="P5239">
        <v>0.24846056283880905</v>
      </c>
    </row>
    <row r="5240" spans="13:16">
      <c r="M5240">
        <v>0.32956658899583785</v>
      </c>
      <c r="N5240">
        <v>0.17270059744944943</v>
      </c>
      <c r="O5240">
        <v>0.23879587914062647</v>
      </c>
      <c r="P5240">
        <v>0.25893693441408611</v>
      </c>
    </row>
    <row r="5241" spans="13:16">
      <c r="M5241">
        <v>0.28998737615852738</v>
      </c>
      <c r="N5241">
        <v>0.19571469996253912</v>
      </c>
      <c r="O5241">
        <v>0.2435316524886853</v>
      </c>
      <c r="P5241">
        <v>0.27076627139024828</v>
      </c>
    </row>
    <row r="5242" spans="13:16">
      <c r="M5242">
        <v>0.27440392277396652</v>
      </c>
      <c r="N5242">
        <v>0.19488204385057406</v>
      </c>
      <c r="O5242">
        <v>0.24889834687024881</v>
      </c>
      <c r="P5242">
        <v>0.28181568650521072</v>
      </c>
    </row>
    <row r="5243" spans="13:16">
      <c r="M5243">
        <v>0.29361714995314075</v>
      </c>
      <c r="N5243">
        <v>0.19474238454370546</v>
      </c>
      <c r="O5243">
        <v>0.22938791948969811</v>
      </c>
      <c r="P5243">
        <v>0.28225254601345562</v>
      </c>
    </row>
    <row r="5244" spans="13:16">
      <c r="M5244">
        <v>0.30913903424411587</v>
      </c>
      <c r="N5244">
        <v>0.18498265198338343</v>
      </c>
      <c r="O5244">
        <v>0.26090794171195536</v>
      </c>
      <c r="P5244">
        <v>0.24497037206054531</v>
      </c>
    </row>
    <row r="5245" spans="13:16">
      <c r="M5245">
        <v>0.3108560172530902</v>
      </c>
      <c r="N5245">
        <v>0.17329717847866999</v>
      </c>
      <c r="O5245">
        <v>0.25113139834121945</v>
      </c>
      <c r="P5245">
        <v>0.26471540592702025</v>
      </c>
    </row>
    <row r="5246" spans="13:16">
      <c r="M5246">
        <v>0.29538950026993382</v>
      </c>
      <c r="N5246">
        <v>0.16790450853104355</v>
      </c>
      <c r="O5246">
        <v>0.29039902713249122</v>
      </c>
      <c r="P5246">
        <v>0.24630696406653144</v>
      </c>
    </row>
    <row r="5247" spans="13:16">
      <c r="M5247">
        <v>0.30531756938349736</v>
      </c>
      <c r="N5247">
        <v>0.17866376138912038</v>
      </c>
      <c r="O5247">
        <v>0.26770210254922244</v>
      </c>
      <c r="P5247">
        <v>0.24831656667815974</v>
      </c>
    </row>
    <row r="5248" spans="13:16">
      <c r="M5248">
        <v>0.30867724584861428</v>
      </c>
      <c r="N5248">
        <v>0.2090080434912977</v>
      </c>
      <c r="O5248">
        <v>0.20885106471920656</v>
      </c>
      <c r="P5248">
        <v>0.27346364594088135</v>
      </c>
    </row>
    <row r="5249" spans="13:16">
      <c r="M5249">
        <v>0.28604180872138568</v>
      </c>
      <c r="N5249">
        <v>0.19906240555660817</v>
      </c>
      <c r="O5249">
        <v>0.26445451435719886</v>
      </c>
      <c r="P5249">
        <v>0.25044127136480732</v>
      </c>
    </row>
    <row r="5250" spans="13:16">
      <c r="M5250">
        <v>0.31054938259269599</v>
      </c>
      <c r="N5250">
        <v>0.1879486137204476</v>
      </c>
      <c r="O5250">
        <v>0.23296281577839434</v>
      </c>
      <c r="P5250">
        <v>0.2685391879084621</v>
      </c>
    </row>
    <row r="5251" spans="13:16">
      <c r="M5251">
        <v>0.28897523287183574</v>
      </c>
      <c r="N5251">
        <v>0.18378750159504798</v>
      </c>
      <c r="O5251">
        <v>0.24550219057071659</v>
      </c>
      <c r="P5251">
        <v>0.28173507496239975</v>
      </c>
    </row>
    <row r="5252" spans="13:16">
      <c r="M5252">
        <v>0.30418502211195309</v>
      </c>
      <c r="N5252">
        <v>0.18277754762527421</v>
      </c>
      <c r="O5252">
        <v>0.24255153615379324</v>
      </c>
      <c r="P5252">
        <v>0.2704858941089795</v>
      </c>
    </row>
    <row r="5253" spans="13:16">
      <c r="M5253">
        <v>0.33314170362138179</v>
      </c>
      <c r="N5253">
        <v>0.16854169009603814</v>
      </c>
      <c r="O5253">
        <v>0.24154981445064122</v>
      </c>
      <c r="P5253">
        <v>0.25676679183193873</v>
      </c>
    </row>
    <row r="5254" spans="13:16">
      <c r="M5254">
        <v>0.30396893595437668</v>
      </c>
      <c r="N5254">
        <v>0.19483874859003669</v>
      </c>
      <c r="O5254">
        <v>0.23554422901516398</v>
      </c>
      <c r="P5254">
        <v>0.26564808644042259</v>
      </c>
    </row>
    <row r="5255" spans="13:16">
      <c r="M5255">
        <v>0.29513929084860413</v>
      </c>
      <c r="N5255">
        <v>0.20782442521922162</v>
      </c>
      <c r="O5255">
        <v>0.21705917477704328</v>
      </c>
      <c r="P5255">
        <v>0.27997710915513097</v>
      </c>
    </row>
    <row r="5256" spans="13:16">
      <c r="M5256">
        <v>0.32077159741857736</v>
      </c>
      <c r="N5256">
        <v>0.17433818583429919</v>
      </c>
      <c r="O5256">
        <v>0.2375852758292924</v>
      </c>
      <c r="P5256">
        <v>0.26730494091783114</v>
      </c>
    </row>
    <row r="5257" spans="13:16">
      <c r="M5257">
        <v>0.27419848133907387</v>
      </c>
      <c r="N5257">
        <v>0.18388797679018126</v>
      </c>
      <c r="O5257">
        <v>0.25642706762761253</v>
      </c>
      <c r="P5257">
        <v>0.28548647424313239</v>
      </c>
    </row>
    <row r="5258" spans="13:16">
      <c r="M5258">
        <v>0.29847744693411532</v>
      </c>
      <c r="N5258">
        <v>0.18714657308032306</v>
      </c>
      <c r="O5258">
        <v>0.24243239318959955</v>
      </c>
      <c r="P5258">
        <v>0.27194358679596209</v>
      </c>
    </row>
    <row r="5259" spans="13:16">
      <c r="M5259">
        <v>0.30677245048767682</v>
      </c>
      <c r="N5259">
        <v>0.18812345692457283</v>
      </c>
      <c r="O5259">
        <v>0.25605193195886716</v>
      </c>
      <c r="P5259">
        <v>0.24905216062888302</v>
      </c>
    </row>
    <row r="5260" spans="13:16">
      <c r="M5260">
        <v>0.28754584114466375</v>
      </c>
      <c r="N5260">
        <v>0.18320048884350121</v>
      </c>
      <c r="O5260">
        <v>0.27003647819824866</v>
      </c>
      <c r="P5260">
        <v>0.25921719181358627</v>
      </c>
    </row>
    <row r="5261" spans="13:16">
      <c r="M5261">
        <v>0.31843264041056507</v>
      </c>
      <c r="N5261">
        <v>0.18221549904444495</v>
      </c>
      <c r="O5261">
        <v>0.247573606510095</v>
      </c>
      <c r="P5261">
        <v>0.2517782540348949</v>
      </c>
    </row>
    <row r="5262" spans="13:16">
      <c r="M5262">
        <v>0.27862539892885285</v>
      </c>
      <c r="N5262">
        <v>0.18976372714899323</v>
      </c>
      <c r="O5262">
        <v>0.24940961667583811</v>
      </c>
      <c r="P5262">
        <v>0.2822012572463159</v>
      </c>
    </row>
    <row r="5263" spans="13:16">
      <c r="M5263">
        <v>0.30858169701062393</v>
      </c>
      <c r="N5263">
        <v>0.21080603740054588</v>
      </c>
      <c r="O5263">
        <v>0.20517207283740596</v>
      </c>
      <c r="P5263">
        <v>0.27544019275142417</v>
      </c>
    </row>
    <row r="5264" spans="13:16">
      <c r="M5264">
        <v>0.28630036407654041</v>
      </c>
      <c r="N5264">
        <v>0.18936284142121854</v>
      </c>
      <c r="O5264">
        <v>0.25598343163954029</v>
      </c>
      <c r="P5264">
        <v>0.26835336286270073</v>
      </c>
    </row>
    <row r="5265" spans="13:16">
      <c r="M5265">
        <v>0.3110337125278822</v>
      </c>
      <c r="N5265">
        <v>0.17281552280646906</v>
      </c>
      <c r="O5265">
        <v>0.26394761292355312</v>
      </c>
      <c r="P5265">
        <v>0.25220315174209568</v>
      </c>
    </row>
    <row r="5266" spans="13:16">
      <c r="M5266">
        <v>0.29213570150290219</v>
      </c>
      <c r="N5266">
        <v>0.17221035868798662</v>
      </c>
      <c r="O5266">
        <v>0.28433342211847851</v>
      </c>
      <c r="P5266">
        <v>0.25132051769063263</v>
      </c>
    </row>
    <row r="5267" spans="13:16">
      <c r="M5267">
        <v>0.27749547480601811</v>
      </c>
      <c r="N5267">
        <v>0.18087227142416429</v>
      </c>
      <c r="O5267">
        <v>0.26730936261021093</v>
      </c>
      <c r="P5267">
        <v>0.27432289115960667</v>
      </c>
    </row>
    <row r="5268" spans="13:16">
      <c r="M5268">
        <v>0.2806830284178306</v>
      </c>
      <c r="N5268">
        <v>0.18835730376397111</v>
      </c>
      <c r="O5268">
        <v>0.25970043674741489</v>
      </c>
      <c r="P5268">
        <v>0.27125923107078348</v>
      </c>
    </row>
    <row r="5269" spans="13:16">
      <c r="M5269">
        <v>0.27146632978146401</v>
      </c>
      <c r="N5269">
        <v>0.2033430832351879</v>
      </c>
      <c r="O5269">
        <v>0.26138359144151396</v>
      </c>
      <c r="P5269">
        <v>0.26380699554183418</v>
      </c>
    </row>
    <row r="5270" spans="13:16">
      <c r="M5270">
        <v>0.30975391246836853</v>
      </c>
      <c r="N5270">
        <v>0.20320187684188934</v>
      </c>
      <c r="O5270">
        <v>0.22240090631192128</v>
      </c>
      <c r="P5270">
        <v>0.26464330437782085</v>
      </c>
    </row>
    <row r="5271" spans="13:16">
      <c r="M5271">
        <v>0.28840210920121162</v>
      </c>
      <c r="N5271">
        <v>0.18535490676427957</v>
      </c>
      <c r="O5271">
        <v>0.26832002739181621</v>
      </c>
      <c r="P5271">
        <v>0.25792295664269244</v>
      </c>
    </row>
    <row r="5272" spans="13:16">
      <c r="M5272">
        <v>0.27892932822576544</v>
      </c>
      <c r="N5272">
        <v>0.18687560779469342</v>
      </c>
      <c r="O5272">
        <v>0.26685383477213048</v>
      </c>
      <c r="P5272">
        <v>0.26734122920741071</v>
      </c>
    </row>
    <row r="5273" spans="13:16">
      <c r="M5273">
        <v>0.30174918970720443</v>
      </c>
      <c r="N5273">
        <v>0.18153557660193509</v>
      </c>
      <c r="O5273">
        <v>0.26470074033645075</v>
      </c>
      <c r="P5273">
        <v>0.25201449335440967</v>
      </c>
    </row>
    <row r="5274" spans="13:16">
      <c r="M5274">
        <v>0.28067340860020851</v>
      </c>
      <c r="N5274">
        <v>0.19552141086308383</v>
      </c>
      <c r="O5274">
        <v>0.27579250075220202</v>
      </c>
      <c r="P5274">
        <v>0.24801267978450556</v>
      </c>
    </row>
    <row r="5275" spans="13:16">
      <c r="M5275">
        <v>0.28227408096844198</v>
      </c>
      <c r="N5275">
        <v>0.18155746635005579</v>
      </c>
      <c r="O5275">
        <v>0.2605902917481891</v>
      </c>
      <c r="P5275">
        <v>0.27557816093331311</v>
      </c>
    </row>
    <row r="5276" spans="13:16">
      <c r="M5276">
        <v>0.28497679006630278</v>
      </c>
      <c r="N5276">
        <v>0.17721293005409236</v>
      </c>
      <c r="O5276">
        <v>0.29204439116565034</v>
      </c>
      <c r="P5276">
        <v>0.24576588871395458</v>
      </c>
    </row>
    <row r="5277" spans="13:16">
      <c r="M5277">
        <v>0.2791010791436232</v>
      </c>
      <c r="N5277">
        <v>0.19069778267403723</v>
      </c>
      <c r="O5277">
        <v>0.26419717439753659</v>
      </c>
      <c r="P5277">
        <v>0.26600396378480301</v>
      </c>
    </row>
    <row r="5278" spans="13:16">
      <c r="M5278">
        <v>0.3101259946319575</v>
      </c>
      <c r="N5278">
        <v>0.17044871074719115</v>
      </c>
      <c r="O5278">
        <v>0.26818591755149085</v>
      </c>
      <c r="P5278">
        <v>0.25123937706936056</v>
      </c>
    </row>
    <row r="5279" spans="13:16">
      <c r="M5279">
        <v>0.2885538593041298</v>
      </c>
      <c r="N5279">
        <v>0.17546736127190765</v>
      </c>
      <c r="O5279">
        <v>0.27816437568398766</v>
      </c>
      <c r="P5279">
        <v>0.257814403739975</v>
      </c>
    </row>
    <row r="5280" spans="13:16">
      <c r="M5280">
        <v>0.26390393594336675</v>
      </c>
      <c r="N5280">
        <v>0.19449324979579294</v>
      </c>
      <c r="O5280">
        <v>0.27310528714907439</v>
      </c>
      <c r="P5280">
        <v>0.268497527111766</v>
      </c>
    </row>
    <row r="5281" spans="13:16">
      <c r="M5281">
        <v>0.28961342634888232</v>
      </c>
      <c r="N5281">
        <v>0.17429777004097211</v>
      </c>
      <c r="O5281">
        <v>0.27332469825429556</v>
      </c>
      <c r="P5281">
        <v>0.26276410535584988</v>
      </c>
    </row>
    <row r="5282" spans="13:16">
      <c r="M5282">
        <v>0.28267396364562469</v>
      </c>
      <c r="N5282">
        <v>0.20211679281744047</v>
      </c>
      <c r="O5282">
        <v>0.25725576160271402</v>
      </c>
      <c r="P5282">
        <v>0.2579534819342208</v>
      </c>
    </row>
    <row r="5283" spans="13:16">
      <c r="M5283">
        <v>0.27958084847908365</v>
      </c>
      <c r="N5283">
        <v>0.17633592397441245</v>
      </c>
      <c r="O5283">
        <v>0.28130878607852344</v>
      </c>
      <c r="P5283">
        <v>0.2627744414679804</v>
      </c>
    </row>
    <row r="5284" spans="13:16">
      <c r="M5284">
        <v>0.29108914784301954</v>
      </c>
      <c r="N5284">
        <v>0.18435386819026989</v>
      </c>
      <c r="O5284">
        <v>0.24653910551527936</v>
      </c>
      <c r="P5284">
        <v>0.27801787845143111</v>
      </c>
    </row>
    <row r="5285" spans="13:16">
      <c r="M5285">
        <v>0.29070895023487253</v>
      </c>
      <c r="N5285">
        <v>0.17408142909472821</v>
      </c>
      <c r="O5285">
        <v>0.2821105954305817</v>
      </c>
      <c r="P5285">
        <v>0.25309902523981742</v>
      </c>
    </row>
    <row r="5286" spans="13:16">
      <c r="M5286">
        <v>0.27273910835452125</v>
      </c>
      <c r="N5286">
        <v>0.17646696395518699</v>
      </c>
      <c r="O5286">
        <v>0.29848829341308536</v>
      </c>
      <c r="P5286">
        <v>0.25230563427720637</v>
      </c>
    </row>
    <row r="5287" spans="13:16">
      <c r="M5287">
        <v>0.30666867485924365</v>
      </c>
      <c r="N5287">
        <v>0.20393903969065275</v>
      </c>
      <c r="O5287">
        <v>0.21636001654423828</v>
      </c>
      <c r="P5287">
        <v>0.27303226890586541</v>
      </c>
    </row>
    <row r="5288" spans="13:16">
      <c r="M5288">
        <v>0.29316183674313451</v>
      </c>
      <c r="N5288">
        <v>0.19357663403161057</v>
      </c>
      <c r="O5288">
        <v>0.26098956738610168</v>
      </c>
      <c r="P5288">
        <v>0.25227196183915324</v>
      </c>
    </row>
    <row r="5289" spans="13:16">
      <c r="M5289">
        <v>0.27200971967130122</v>
      </c>
      <c r="N5289">
        <v>0.18185445205780673</v>
      </c>
      <c r="O5289">
        <v>0.27344106476932034</v>
      </c>
      <c r="P5289">
        <v>0.27269476350157174</v>
      </c>
    </row>
    <row r="5290" spans="13:16">
      <c r="M5290">
        <v>0.28344648170253856</v>
      </c>
      <c r="N5290">
        <v>0.19768557273861917</v>
      </c>
      <c r="O5290">
        <v>0.24715646772088415</v>
      </c>
      <c r="P5290">
        <v>0.27171147783795818</v>
      </c>
    </row>
    <row r="5291" spans="13:16">
      <c r="M5291">
        <v>0.27213198796917981</v>
      </c>
      <c r="N5291">
        <v>0.17232922254131905</v>
      </c>
      <c r="O5291">
        <v>0.29561498105161588</v>
      </c>
      <c r="P5291">
        <v>0.25992380843788515</v>
      </c>
    </row>
    <row r="5292" spans="13:16">
      <c r="M5292">
        <v>0.2588976287680067</v>
      </c>
      <c r="N5292">
        <v>0.18141446587709079</v>
      </c>
      <c r="O5292">
        <v>0.30001354344219738</v>
      </c>
      <c r="P5292">
        <v>0.2596743619127051</v>
      </c>
    </row>
    <row r="5293" spans="13:16">
      <c r="M5293">
        <v>0.29407335974162041</v>
      </c>
      <c r="N5293">
        <v>0.20285296015656909</v>
      </c>
      <c r="O5293">
        <v>0.23538919877595088</v>
      </c>
      <c r="P5293">
        <v>0.26768448132585976</v>
      </c>
    </row>
    <row r="5294" spans="13:16">
      <c r="M5294">
        <v>0.26728507195645418</v>
      </c>
      <c r="N5294">
        <v>0.18736600484695862</v>
      </c>
      <c r="O5294">
        <v>0.28328104361400641</v>
      </c>
      <c r="P5294">
        <v>0.26206787958258082</v>
      </c>
    </row>
    <row r="5295" spans="13:16">
      <c r="M5295">
        <v>0.31508484966462402</v>
      </c>
      <c r="N5295">
        <v>0.18270070882004907</v>
      </c>
      <c r="O5295">
        <v>0.23934046241244572</v>
      </c>
      <c r="P5295">
        <v>0.26287397910288118</v>
      </c>
    </row>
    <row r="5296" spans="13:16">
      <c r="M5296">
        <v>0.30060532926345268</v>
      </c>
      <c r="N5296">
        <v>0.17758952545127202</v>
      </c>
      <c r="O5296">
        <v>0.25470008212172751</v>
      </c>
      <c r="P5296">
        <v>0.26710506316354782</v>
      </c>
    </row>
    <row r="5297" spans="13:16">
      <c r="M5297">
        <v>0.30506957982132671</v>
      </c>
      <c r="N5297">
        <v>0.17280725631163682</v>
      </c>
      <c r="O5297">
        <v>0.26675488187426433</v>
      </c>
      <c r="P5297">
        <v>0.25536828199277212</v>
      </c>
    </row>
    <row r="5298" spans="13:16">
      <c r="M5298">
        <v>0.30763537439349947</v>
      </c>
      <c r="N5298">
        <v>0.18334768770937424</v>
      </c>
      <c r="O5298">
        <v>0.23485138548461124</v>
      </c>
      <c r="P5298">
        <v>0.27416555241251506</v>
      </c>
    </row>
    <row r="5299" spans="13:16">
      <c r="M5299">
        <v>0.31676962398537484</v>
      </c>
      <c r="N5299">
        <v>0.19163400005016767</v>
      </c>
      <c r="O5299">
        <v>0.23231562388543728</v>
      </c>
      <c r="P5299">
        <v>0.25928075207902013</v>
      </c>
    </row>
    <row r="5300" spans="13:16">
      <c r="M5300">
        <v>0.26224183848744875</v>
      </c>
      <c r="N5300">
        <v>0.19016486823614731</v>
      </c>
      <c r="O5300">
        <v>0.28402254198059834</v>
      </c>
      <c r="P5300">
        <v>0.26357075129580571</v>
      </c>
    </row>
    <row r="5301" spans="13:16">
      <c r="M5301">
        <v>0.28867502903354686</v>
      </c>
      <c r="N5301">
        <v>0.17999758072269043</v>
      </c>
      <c r="O5301">
        <v>0.26369833792073727</v>
      </c>
      <c r="P5301">
        <v>0.26762905232302536</v>
      </c>
    </row>
    <row r="5302" spans="13:16">
      <c r="M5302">
        <v>0.27924742129240354</v>
      </c>
      <c r="N5302">
        <v>0.18014272897441305</v>
      </c>
      <c r="O5302">
        <v>0.27265819737964891</v>
      </c>
      <c r="P5302">
        <v>0.26795165235353452</v>
      </c>
    </row>
    <row r="5303" spans="13:16">
      <c r="M5303">
        <v>0.2893321379946131</v>
      </c>
      <c r="N5303">
        <v>0.17553532035666616</v>
      </c>
      <c r="O5303">
        <v>0.26836666248958935</v>
      </c>
      <c r="P5303">
        <v>0.26676587915913136</v>
      </c>
    </row>
    <row r="5304" spans="13:16">
      <c r="M5304">
        <v>0.28042182269484578</v>
      </c>
      <c r="N5304">
        <v>0.19157493507795556</v>
      </c>
      <c r="O5304">
        <v>0.26358955955477759</v>
      </c>
      <c r="P5304">
        <v>0.2644136826724211</v>
      </c>
    </row>
    <row r="5305" spans="13:16">
      <c r="M5305">
        <v>0.29204658040230858</v>
      </c>
      <c r="N5305">
        <v>0.16622526702215484</v>
      </c>
      <c r="O5305">
        <v>0.29254886864388285</v>
      </c>
      <c r="P5305">
        <v>0.24917928393165378</v>
      </c>
    </row>
    <row r="5306" spans="13:16">
      <c r="M5306">
        <v>0.32944575612192806</v>
      </c>
      <c r="N5306">
        <v>0.17780098368548616</v>
      </c>
      <c r="O5306">
        <v>0.2401209902953885</v>
      </c>
      <c r="P5306">
        <v>0.25263226989719728</v>
      </c>
    </row>
    <row r="5307" spans="13:16">
      <c r="M5307">
        <v>0.29328016331895429</v>
      </c>
      <c r="N5307">
        <v>0.18779239417844171</v>
      </c>
      <c r="O5307">
        <v>0.25351561697504377</v>
      </c>
      <c r="P5307">
        <v>0.26541182552756021</v>
      </c>
    </row>
    <row r="5308" spans="13:16">
      <c r="M5308">
        <v>0.31913966201730137</v>
      </c>
      <c r="N5308">
        <v>0.18051800685407698</v>
      </c>
      <c r="O5308">
        <v>0.23651853859832264</v>
      </c>
      <c r="P5308">
        <v>0.26382379253029908</v>
      </c>
    </row>
    <row r="5309" spans="13:16">
      <c r="M5309">
        <v>0.29681939105184785</v>
      </c>
      <c r="N5309">
        <v>0.20482622880443987</v>
      </c>
      <c r="O5309">
        <v>0.23371613301503225</v>
      </c>
      <c r="P5309">
        <v>0.26463824712867995</v>
      </c>
    </row>
    <row r="5310" spans="13:16">
      <c r="M5310">
        <v>0.29086408113837731</v>
      </c>
      <c r="N5310">
        <v>0.20593277133160756</v>
      </c>
      <c r="O5310">
        <v>0.23165154041621261</v>
      </c>
      <c r="P5310">
        <v>0.2715516071138025</v>
      </c>
    </row>
    <row r="5311" spans="13:16">
      <c r="M5311">
        <v>0.2914371337577642</v>
      </c>
      <c r="N5311">
        <v>0.18093004604837964</v>
      </c>
      <c r="O5311">
        <v>0.2838635557984196</v>
      </c>
      <c r="P5311">
        <v>0.24376926439543653</v>
      </c>
    </row>
    <row r="5312" spans="13:16">
      <c r="M5312">
        <v>0.27892299197240261</v>
      </c>
      <c r="N5312">
        <v>0.18475297457587775</v>
      </c>
      <c r="O5312">
        <v>0.27044274179442068</v>
      </c>
      <c r="P5312">
        <v>0.26588129165729907</v>
      </c>
    </row>
    <row r="5313" spans="13:16">
      <c r="M5313">
        <v>0.27839916933974096</v>
      </c>
      <c r="N5313">
        <v>0.18530382853402094</v>
      </c>
      <c r="O5313">
        <v>0.2580572234078008</v>
      </c>
      <c r="P5313">
        <v>0.27823977871843725</v>
      </c>
    </row>
    <row r="5314" spans="13:16">
      <c r="M5314">
        <v>0.29016429022665668</v>
      </c>
      <c r="N5314">
        <v>0.17794999510485826</v>
      </c>
      <c r="O5314">
        <v>0.26922356703415468</v>
      </c>
      <c r="P5314">
        <v>0.26266214763433021</v>
      </c>
    </row>
    <row r="5315" spans="13:16">
      <c r="M5315">
        <v>0.27400393666849798</v>
      </c>
      <c r="N5315">
        <v>0.19586678838840937</v>
      </c>
      <c r="O5315">
        <v>0.25845231778628375</v>
      </c>
      <c r="P5315">
        <v>0.27167695715680884</v>
      </c>
    </row>
    <row r="5316" spans="13:16">
      <c r="M5316">
        <v>0.28038880263321875</v>
      </c>
      <c r="N5316">
        <v>0.18646635181423599</v>
      </c>
      <c r="O5316">
        <v>0.27747833507478664</v>
      </c>
      <c r="P5316">
        <v>0.25566651047775851</v>
      </c>
    </row>
    <row r="5317" spans="13:16">
      <c r="M5317">
        <v>0.27864401780208137</v>
      </c>
      <c r="N5317">
        <v>0.18116462451948639</v>
      </c>
      <c r="O5317">
        <v>0.27634655909258232</v>
      </c>
      <c r="P5317">
        <v>0.2638447985858498</v>
      </c>
    </row>
    <row r="5318" spans="13:16">
      <c r="M5318">
        <v>0.2659287017515552</v>
      </c>
      <c r="N5318">
        <v>0.189717897395696</v>
      </c>
      <c r="O5318">
        <v>0.27963625135380765</v>
      </c>
      <c r="P5318">
        <v>0.26471714949894121</v>
      </c>
    </row>
    <row r="5319" spans="13:16">
      <c r="M5319">
        <v>0.28750828597720923</v>
      </c>
      <c r="N5319">
        <v>0.18310410080489273</v>
      </c>
      <c r="O5319">
        <v>0.26655082725294904</v>
      </c>
      <c r="P5319">
        <v>0.26283678596494897</v>
      </c>
    </row>
    <row r="5320" spans="13:16">
      <c r="M5320">
        <v>0.32221440771876853</v>
      </c>
      <c r="N5320">
        <v>0.17622783899982286</v>
      </c>
      <c r="O5320">
        <v>0.25575937704077789</v>
      </c>
      <c r="P5320">
        <v>0.24579837624063075</v>
      </c>
    </row>
    <row r="5321" spans="13:16">
      <c r="M5321">
        <v>0.29187194608502431</v>
      </c>
      <c r="N5321">
        <v>0.18721843782141454</v>
      </c>
      <c r="O5321">
        <v>0.24308497847243019</v>
      </c>
      <c r="P5321">
        <v>0.27782463762113097</v>
      </c>
    </row>
    <row r="5322" spans="13:16">
      <c r="M5322">
        <v>0.28314703337185998</v>
      </c>
      <c r="N5322">
        <v>0.17661012211217647</v>
      </c>
      <c r="O5322">
        <v>0.26480417232553111</v>
      </c>
      <c r="P5322">
        <v>0.27543867219043255</v>
      </c>
    </row>
    <row r="5323" spans="13:16">
      <c r="M5323">
        <v>0.29823431470935574</v>
      </c>
      <c r="N5323">
        <v>0.17974856952867929</v>
      </c>
      <c r="O5323">
        <v>0.25866724682399872</v>
      </c>
      <c r="P5323">
        <v>0.2633498689379663</v>
      </c>
    </row>
    <row r="5324" spans="13:16">
      <c r="M5324">
        <v>0.29088148712824174</v>
      </c>
      <c r="N5324">
        <v>0.18877411816942663</v>
      </c>
      <c r="O5324">
        <v>0.24817283668682635</v>
      </c>
      <c r="P5324">
        <v>0.27217155801550535</v>
      </c>
    </row>
    <row r="5325" spans="13:16">
      <c r="M5325">
        <v>0.29512014596848385</v>
      </c>
      <c r="N5325">
        <v>0.21300713121797687</v>
      </c>
      <c r="O5325">
        <v>0.20766475319870584</v>
      </c>
      <c r="P5325">
        <v>0.28420796961483347</v>
      </c>
    </row>
    <row r="5326" spans="13:16">
      <c r="M5326">
        <v>0.30868555104499984</v>
      </c>
      <c r="N5326">
        <v>0.18951171282081331</v>
      </c>
      <c r="O5326">
        <v>0.25068028849946256</v>
      </c>
      <c r="P5326">
        <v>0.25112244763472419</v>
      </c>
    </row>
    <row r="5327" spans="13:16">
      <c r="M5327">
        <v>0.30048338545352787</v>
      </c>
      <c r="N5327">
        <v>0.1857370787934092</v>
      </c>
      <c r="O5327">
        <v>0.2619868186985963</v>
      </c>
      <c r="P5327">
        <v>0.25179271705446654</v>
      </c>
    </row>
    <row r="5328" spans="13:16">
      <c r="M5328">
        <v>0.29783517789823472</v>
      </c>
      <c r="N5328">
        <v>0.17565309291185568</v>
      </c>
      <c r="O5328">
        <v>0.27107892152946228</v>
      </c>
      <c r="P5328">
        <v>0.25543280766044729</v>
      </c>
    </row>
    <row r="5329" spans="13:16">
      <c r="M5329">
        <v>0.29102423970695107</v>
      </c>
      <c r="N5329">
        <v>0.18086216738050387</v>
      </c>
      <c r="O5329">
        <v>0.27536678109538409</v>
      </c>
      <c r="P5329">
        <v>0.25274681181716108</v>
      </c>
    </row>
    <row r="5330" spans="13:16">
      <c r="M5330">
        <v>0.29127005951958534</v>
      </c>
      <c r="N5330">
        <v>0.18794296780914888</v>
      </c>
      <c r="O5330">
        <v>0.22878746639301875</v>
      </c>
      <c r="P5330">
        <v>0.29199950627824717</v>
      </c>
    </row>
    <row r="5331" spans="13:16">
      <c r="M5331">
        <v>0.29501291396277751</v>
      </c>
      <c r="N5331">
        <v>0.18500900896902242</v>
      </c>
      <c r="O5331">
        <v>0.2562599720217662</v>
      </c>
      <c r="P5331">
        <v>0.26371810504643384</v>
      </c>
    </row>
    <row r="5332" spans="13:16">
      <c r="M5332">
        <v>0.31308958762601735</v>
      </c>
      <c r="N5332">
        <v>0.1864839276546531</v>
      </c>
      <c r="O5332">
        <v>0.24519106286459175</v>
      </c>
      <c r="P5332">
        <v>0.25523542185473769</v>
      </c>
    </row>
    <row r="5333" spans="13:16">
      <c r="M5333">
        <v>0.28368648397375795</v>
      </c>
      <c r="N5333">
        <v>0.1804631444269339</v>
      </c>
      <c r="O5333">
        <v>0.26628198392476016</v>
      </c>
      <c r="P5333">
        <v>0.26956838767454799</v>
      </c>
    </row>
    <row r="5334" spans="13:16">
      <c r="M5334">
        <v>0.29381306911263227</v>
      </c>
      <c r="N5334">
        <v>0.18096034446959211</v>
      </c>
      <c r="O5334">
        <v>0.24903501036019801</v>
      </c>
      <c r="P5334">
        <v>0.27619157605757766</v>
      </c>
    </row>
    <row r="5335" spans="13:16">
      <c r="M5335">
        <v>0.28626729193112299</v>
      </c>
      <c r="N5335">
        <v>0.17279315020201205</v>
      </c>
      <c r="O5335">
        <v>0.28524745177491462</v>
      </c>
      <c r="P5335">
        <v>0.25569210609195048</v>
      </c>
    </row>
    <row r="5336" spans="13:16">
      <c r="M5336">
        <v>0.29078233005088749</v>
      </c>
      <c r="N5336">
        <v>0.18933615365474843</v>
      </c>
      <c r="O5336">
        <v>0.24924507244366303</v>
      </c>
      <c r="P5336">
        <v>0.27063644385070107</v>
      </c>
    </row>
    <row r="5337" spans="13:16">
      <c r="M5337">
        <v>0.28795341300188848</v>
      </c>
      <c r="N5337">
        <v>0.17204600707961068</v>
      </c>
      <c r="O5337">
        <v>0.28941040163892978</v>
      </c>
      <c r="P5337">
        <v>0.25059017827957097</v>
      </c>
    </row>
    <row r="5338" spans="13:16">
      <c r="M5338">
        <v>0.26303698022179661</v>
      </c>
      <c r="N5338">
        <v>0.19558137950276833</v>
      </c>
      <c r="O5338">
        <v>0.26668086665770691</v>
      </c>
      <c r="P5338">
        <v>0.27470077361772816</v>
      </c>
    </row>
    <row r="5339" spans="13:16">
      <c r="M5339">
        <v>0.27744213058810696</v>
      </c>
      <c r="N5339">
        <v>0.19380904647670424</v>
      </c>
      <c r="O5339">
        <v>0.25625216910319221</v>
      </c>
      <c r="P5339">
        <v>0.27249665383199673</v>
      </c>
    </row>
    <row r="5340" spans="13:16">
      <c r="M5340">
        <v>0.28935573406182691</v>
      </c>
      <c r="N5340">
        <v>0.18294032024435758</v>
      </c>
      <c r="O5340">
        <v>0.25956338524691569</v>
      </c>
      <c r="P5340">
        <v>0.26814056044689988</v>
      </c>
    </row>
    <row r="5341" spans="13:16">
      <c r="M5341">
        <v>0.27836649520300533</v>
      </c>
      <c r="N5341">
        <v>0.17468004868314163</v>
      </c>
      <c r="O5341">
        <v>0.28301543730639811</v>
      </c>
      <c r="P5341">
        <v>0.26393801880745499</v>
      </c>
    </row>
    <row r="5342" spans="13:16">
      <c r="M5342">
        <v>0.30958159973357902</v>
      </c>
      <c r="N5342">
        <v>0.16290747044970297</v>
      </c>
      <c r="O5342">
        <v>0.2751805974209145</v>
      </c>
      <c r="P5342">
        <v>0.25233033239580355</v>
      </c>
    </row>
    <row r="5343" spans="13:16">
      <c r="M5343">
        <v>0.31043854398347448</v>
      </c>
      <c r="N5343">
        <v>0.18668906465594826</v>
      </c>
      <c r="O5343">
        <v>0.23457196868627139</v>
      </c>
      <c r="P5343">
        <v>0.26830042267430604</v>
      </c>
    </row>
    <row r="5344" spans="13:16">
      <c r="M5344">
        <v>0.30446042110244792</v>
      </c>
      <c r="N5344">
        <v>0.17866346933462413</v>
      </c>
      <c r="O5344">
        <v>0.26352731266048396</v>
      </c>
      <c r="P5344">
        <v>0.25334879690244388</v>
      </c>
    </row>
    <row r="5345" spans="13:16">
      <c r="M5345">
        <v>0.26412299866208422</v>
      </c>
      <c r="N5345">
        <v>0.20824134056103505</v>
      </c>
      <c r="O5345">
        <v>0.25956016660896031</v>
      </c>
      <c r="P5345">
        <v>0.26807549416792048</v>
      </c>
    </row>
    <row r="5346" spans="13:16">
      <c r="M5346">
        <v>0.27292669965355659</v>
      </c>
      <c r="N5346">
        <v>0.18859222802429432</v>
      </c>
      <c r="O5346">
        <v>0.2800777540087705</v>
      </c>
      <c r="P5346">
        <v>0.25840331831337859</v>
      </c>
    </row>
    <row r="5347" spans="13:16">
      <c r="M5347">
        <v>0.28094219727512293</v>
      </c>
      <c r="N5347">
        <v>0.18946152513125153</v>
      </c>
      <c r="O5347">
        <v>0.2546737355873443</v>
      </c>
      <c r="P5347">
        <v>0.27492254200628119</v>
      </c>
    </row>
    <row r="5348" spans="13:16">
      <c r="M5348">
        <v>0.27846562852725548</v>
      </c>
      <c r="N5348">
        <v>0.18752376953040834</v>
      </c>
      <c r="O5348">
        <v>0.25919418588957166</v>
      </c>
      <c r="P5348">
        <v>0.27481641605276458</v>
      </c>
    </row>
    <row r="5349" spans="13:16">
      <c r="M5349">
        <v>0.31138063305587671</v>
      </c>
      <c r="N5349">
        <v>0.16818922268092118</v>
      </c>
      <c r="O5349">
        <v>0.27460231453009681</v>
      </c>
      <c r="P5349">
        <v>0.24582782973310535</v>
      </c>
    </row>
    <row r="5350" spans="13:16">
      <c r="M5350">
        <v>0.27525887957703155</v>
      </c>
      <c r="N5350">
        <v>0.19639004247836137</v>
      </c>
      <c r="O5350">
        <v>0.24669520780267939</v>
      </c>
      <c r="P5350">
        <v>0.28165587014192778</v>
      </c>
    </row>
    <row r="5351" spans="13:16">
      <c r="M5351">
        <v>0.26794330001061406</v>
      </c>
      <c r="N5351">
        <v>0.19293101600406018</v>
      </c>
      <c r="O5351">
        <v>0.27767734554537549</v>
      </c>
      <c r="P5351">
        <v>0.2614483384399503</v>
      </c>
    </row>
    <row r="5352" spans="13:16">
      <c r="M5352">
        <v>0.27696543651747907</v>
      </c>
      <c r="N5352">
        <v>0.18378285861143359</v>
      </c>
      <c r="O5352">
        <v>0.25762204009310674</v>
      </c>
      <c r="P5352">
        <v>0.28162966477798052</v>
      </c>
    </row>
    <row r="5353" spans="13:16">
      <c r="M5353">
        <v>0.28677769775105705</v>
      </c>
      <c r="N5353">
        <v>0.16990863502839598</v>
      </c>
      <c r="O5353">
        <v>0.28228418369211961</v>
      </c>
      <c r="P5353">
        <v>0.26102948352842748</v>
      </c>
    </row>
    <row r="5354" spans="13:16">
      <c r="M5354">
        <v>0.2999610956906843</v>
      </c>
      <c r="N5354">
        <v>0.16934448807256836</v>
      </c>
      <c r="O5354">
        <v>0.28199947624994781</v>
      </c>
      <c r="P5354">
        <v>0.24869493998679945</v>
      </c>
    </row>
    <row r="5355" spans="13:16">
      <c r="M5355">
        <v>0.30138626498608273</v>
      </c>
      <c r="N5355">
        <v>0.19071054803973359</v>
      </c>
      <c r="O5355">
        <v>0.24188127646296731</v>
      </c>
      <c r="P5355">
        <v>0.26602191051121626</v>
      </c>
    </row>
    <row r="5356" spans="13:16">
      <c r="M5356">
        <v>0.29535140559975531</v>
      </c>
      <c r="N5356">
        <v>0.19894088671805046</v>
      </c>
      <c r="O5356">
        <v>0.24510547128400151</v>
      </c>
      <c r="P5356">
        <v>0.2606022363981928</v>
      </c>
    </row>
    <row r="5357" spans="13:16">
      <c r="M5357">
        <v>0.29038873247808605</v>
      </c>
      <c r="N5357">
        <v>0.20122487262376848</v>
      </c>
      <c r="O5357">
        <v>0.22943052992902971</v>
      </c>
      <c r="P5357">
        <v>0.27895586496911584</v>
      </c>
    </row>
    <row r="5358" spans="13:16">
      <c r="M5358">
        <v>0.31318281619679178</v>
      </c>
      <c r="N5358">
        <v>0.1876777681179306</v>
      </c>
      <c r="O5358">
        <v>0.2359890351882396</v>
      </c>
      <c r="P5358">
        <v>0.26315038049703798</v>
      </c>
    </row>
    <row r="5359" spans="13:16">
      <c r="M5359">
        <v>0.28036808479212677</v>
      </c>
      <c r="N5359">
        <v>0.18160011066251511</v>
      </c>
      <c r="O5359">
        <v>0.26527717369790688</v>
      </c>
      <c r="P5359">
        <v>0.27275463084745122</v>
      </c>
    </row>
    <row r="5360" spans="13:16">
      <c r="M5360">
        <v>0.30526559943119669</v>
      </c>
      <c r="N5360">
        <v>0.19674227727786642</v>
      </c>
      <c r="O5360">
        <v>0.22843867349694985</v>
      </c>
      <c r="P5360">
        <v>0.2695534497939871</v>
      </c>
    </row>
    <row r="5361" spans="13:16">
      <c r="M5361">
        <v>0.28784152044178207</v>
      </c>
      <c r="N5361">
        <v>0.17781279990636623</v>
      </c>
      <c r="O5361">
        <v>0.28573996114502459</v>
      </c>
      <c r="P5361">
        <v>0.24860571850682703</v>
      </c>
    </row>
    <row r="5362" spans="13:16">
      <c r="M5362">
        <v>0.31119288361618797</v>
      </c>
      <c r="N5362">
        <v>0.17955718110288704</v>
      </c>
      <c r="O5362">
        <v>0.23929165880184686</v>
      </c>
      <c r="P5362">
        <v>0.26995827647907811</v>
      </c>
    </row>
    <row r="5363" spans="13:16">
      <c r="M5363">
        <v>0.27493287349376805</v>
      </c>
      <c r="N5363">
        <v>0.18860663154928337</v>
      </c>
      <c r="O5363">
        <v>0.29544495761738238</v>
      </c>
      <c r="P5363">
        <v>0.24101553733956615</v>
      </c>
    </row>
    <row r="5364" spans="13:16">
      <c r="M5364">
        <v>0.28407699377406731</v>
      </c>
      <c r="N5364">
        <v>0.19694481751830051</v>
      </c>
      <c r="O5364">
        <v>0.2415446951777919</v>
      </c>
      <c r="P5364">
        <v>0.27743349352984042</v>
      </c>
    </row>
    <row r="5365" spans="13:16">
      <c r="M5365">
        <v>0.31824605190434674</v>
      </c>
      <c r="N5365">
        <v>0.18490703509251413</v>
      </c>
      <c r="O5365">
        <v>0.23449273018581324</v>
      </c>
      <c r="P5365">
        <v>0.26235418281732592</v>
      </c>
    </row>
    <row r="5366" spans="13:16">
      <c r="M5366">
        <v>0.30224462453377499</v>
      </c>
      <c r="N5366">
        <v>0.16043679884508649</v>
      </c>
      <c r="O5366">
        <v>0.2898093556040523</v>
      </c>
      <c r="P5366">
        <v>0.2475092210170862</v>
      </c>
    </row>
    <row r="5367" spans="13:16">
      <c r="M5367">
        <v>0.27684908520453966</v>
      </c>
      <c r="N5367">
        <v>0.18822850437894004</v>
      </c>
      <c r="O5367">
        <v>0.24929558768414264</v>
      </c>
      <c r="P5367">
        <v>0.28562682273237783</v>
      </c>
    </row>
    <row r="5368" spans="13:16">
      <c r="M5368">
        <v>0.30820331097471965</v>
      </c>
      <c r="N5368">
        <v>0.18422996072495293</v>
      </c>
      <c r="O5368">
        <v>0.23987881359809241</v>
      </c>
      <c r="P5368">
        <v>0.26768791470223496</v>
      </c>
    </row>
    <row r="5369" spans="13:16">
      <c r="M5369">
        <v>0.31210464957672823</v>
      </c>
      <c r="N5369">
        <v>0.18412859730728109</v>
      </c>
      <c r="O5369">
        <v>0.25249010705944119</v>
      </c>
      <c r="P5369">
        <v>0.25127664605654937</v>
      </c>
    </row>
    <row r="5370" spans="13:16">
      <c r="M5370">
        <v>0.27973503345407141</v>
      </c>
      <c r="N5370">
        <v>0.19735029313229763</v>
      </c>
      <c r="O5370">
        <v>0.26440470724921661</v>
      </c>
      <c r="P5370">
        <v>0.2585099661644143</v>
      </c>
    </row>
    <row r="5371" spans="13:16">
      <c r="M5371">
        <v>0.28392466020976692</v>
      </c>
      <c r="N5371">
        <v>0.18334315951983948</v>
      </c>
      <c r="O5371">
        <v>0.27965048969800638</v>
      </c>
      <c r="P5371">
        <v>0.25308169057238733</v>
      </c>
    </row>
    <row r="5372" spans="13:16">
      <c r="M5372">
        <v>0.29200938432239798</v>
      </c>
      <c r="N5372">
        <v>0.17045261162861619</v>
      </c>
      <c r="O5372">
        <v>0.27668905723924547</v>
      </c>
      <c r="P5372">
        <v>0.26084894680974041</v>
      </c>
    </row>
    <row r="5373" spans="13:16">
      <c r="M5373">
        <v>0.28009758395917639</v>
      </c>
      <c r="N5373">
        <v>0.17792122226587695</v>
      </c>
      <c r="O5373">
        <v>0.29546337374515508</v>
      </c>
      <c r="P5373">
        <v>0.24651782002979175</v>
      </c>
    </row>
    <row r="5374" spans="13:16">
      <c r="M5374">
        <v>0.30005893475523843</v>
      </c>
      <c r="N5374">
        <v>0.16821370497637866</v>
      </c>
      <c r="O5374">
        <v>0.2811829408130504</v>
      </c>
      <c r="P5374">
        <v>0.25054441945533251</v>
      </c>
    </row>
    <row r="5375" spans="13:16">
      <c r="M5375">
        <v>0.31288067400786845</v>
      </c>
      <c r="N5375">
        <v>0.18014113436331031</v>
      </c>
      <c r="O5375">
        <v>0.23047390678004509</v>
      </c>
      <c r="P5375">
        <v>0.27650428484877609</v>
      </c>
    </row>
    <row r="5376" spans="13:16">
      <c r="M5376">
        <v>0.27306639099211666</v>
      </c>
      <c r="N5376">
        <v>0.20152543951437329</v>
      </c>
      <c r="O5376">
        <v>0.25479501988871239</v>
      </c>
      <c r="P5376">
        <v>0.2706131496047976</v>
      </c>
    </row>
    <row r="5377" spans="13:16">
      <c r="M5377">
        <v>0.29541615895672418</v>
      </c>
      <c r="N5377">
        <v>0.18730740284107153</v>
      </c>
      <c r="O5377">
        <v>0.2458282660769901</v>
      </c>
      <c r="P5377">
        <v>0.27144817212521427</v>
      </c>
    </row>
    <row r="5378" spans="13:16">
      <c r="M5378">
        <v>0.26275167534404231</v>
      </c>
      <c r="N5378">
        <v>0.18819518312088523</v>
      </c>
      <c r="O5378">
        <v>0.2870645321764605</v>
      </c>
      <c r="P5378">
        <v>0.26198860935861201</v>
      </c>
    </row>
    <row r="5379" spans="13:16">
      <c r="M5379">
        <v>0.30158251255134844</v>
      </c>
      <c r="N5379">
        <v>0.174399646677385</v>
      </c>
      <c r="O5379">
        <v>0.29663578651518319</v>
      </c>
      <c r="P5379">
        <v>0.2273820542560834</v>
      </c>
    </row>
    <row r="5380" spans="13:16">
      <c r="M5380">
        <v>0.27986126599842009</v>
      </c>
      <c r="N5380">
        <v>0.18191101722247099</v>
      </c>
      <c r="O5380">
        <v>0.27770495223491731</v>
      </c>
      <c r="P5380">
        <v>0.26052276454419171</v>
      </c>
    </row>
    <row r="5381" spans="13:16">
      <c r="M5381">
        <v>0.29254657871726469</v>
      </c>
      <c r="N5381">
        <v>0.17488714470982084</v>
      </c>
      <c r="O5381">
        <v>0.27098651217124259</v>
      </c>
      <c r="P5381">
        <v>0.26157976440167185</v>
      </c>
    </row>
    <row r="5382" spans="13:16">
      <c r="M5382">
        <v>0.30682941176023115</v>
      </c>
      <c r="N5382">
        <v>0.16918307916575609</v>
      </c>
      <c r="O5382">
        <v>0.27568160453997226</v>
      </c>
      <c r="P5382">
        <v>0.24830590453404047</v>
      </c>
    </row>
    <row r="5383" spans="13:16">
      <c r="M5383">
        <v>0.30430221184685796</v>
      </c>
      <c r="N5383">
        <v>0.17692102969718501</v>
      </c>
      <c r="O5383">
        <v>0.25978645766241021</v>
      </c>
      <c r="P5383">
        <v>0.25899030079354685</v>
      </c>
    </row>
    <row r="5384" spans="13:16">
      <c r="M5384">
        <v>0.28182741428860592</v>
      </c>
      <c r="N5384">
        <v>0.19037867189200555</v>
      </c>
      <c r="O5384">
        <v>0.25565948598407967</v>
      </c>
      <c r="P5384">
        <v>0.27213442783530889</v>
      </c>
    </row>
    <row r="5385" spans="13:16">
      <c r="M5385">
        <v>0.2600761741884049</v>
      </c>
      <c r="N5385">
        <v>0.20168344686714479</v>
      </c>
      <c r="O5385">
        <v>0.26840643045513862</v>
      </c>
      <c r="P5385">
        <v>0.26983394848931175</v>
      </c>
    </row>
    <row r="5386" spans="13:16">
      <c r="M5386">
        <v>0.29414877174584436</v>
      </c>
      <c r="N5386">
        <v>0.19835344621191059</v>
      </c>
      <c r="O5386">
        <v>0.25701775116289088</v>
      </c>
      <c r="P5386">
        <v>0.25048003087935417</v>
      </c>
    </row>
    <row r="5387" spans="13:16">
      <c r="M5387">
        <v>0.2918508054715101</v>
      </c>
      <c r="N5387">
        <v>0.19117464927742861</v>
      </c>
      <c r="O5387">
        <v>0.25671237270293695</v>
      </c>
      <c r="P5387">
        <v>0.26026217254812439</v>
      </c>
    </row>
    <row r="5388" spans="13:16">
      <c r="M5388">
        <v>0.28179569355938311</v>
      </c>
      <c r="N5388">
        <v>0.18910729981102101</v>
      </c>
      <c r="O5388">
        <v>0.24088991266004062</v>
      </c>
      <c r="P5388">
        <v>0.28820709396955529</v>
      </c>
    </row>
    <row r="5389" spans="13:16">
      <c r="M5389">
        <v>0.26890677126731788</v>
      </c>
      <c r="N5389">
        <v>0.19569409498234824</v>
      </c>
      <c r="O5389">
        <v>0.25223990693080484</v>
      </c>
      <c r="P5389">
        <v>0.2831592268195291</v>
      </c>
    </row>
    <row r="5390" spans="13:16">
      <c r="M5390">
        <v>0.31801129641728376</v>
      </c>
      <c r="N5390">
        <v>0.19165477140660436</v>
      </c>
      <c r="O5390">
        <v>0.22703045272576919</v>
      </c>
      <c r="P5390">
        <v>0.26330347945034255</v>
      </c>
    </row>
    <row r="5391" spans="13:16">
      <c r="M5391">
        <v>0.28132812739409496</v>
      </c>
      <c r="N5391">
        <v>0.1903664064163833</v>
      </c>
      <c r="O5391">
        <v>0.24033652538195796</v>
      </c>
      <c r="P5391">
        <v>0.28796894080756374</v>
      </c>
    </row>
    <row r="5392" spans="13:16">
      <c r="M5392">
        <v>0.3016069370188017</v>
      </c>
      <c r="N5392">
        <v>0.16714842850389755</v>
      </c>
      <c r="O5392">
        <v>0.26911410706607458</v>
      </c>
      <c r="P5392">
        <v>0.26213052741122611</v>
      </c>
    </row>
    <row r="5393" spans="13:16">
      <c r="M5393">
        <v>0.2615986821249911</v>
      </c>
      <c r="N5393">
        <v>0.19048213389362298</v>
      </c>
      <c r="O5393">
        <v>0.29339115778118574</v>
      </c>
      <c r="P5393">
        <v>0.2545280262002001</v>
      </c>
    </row>
    <row r="5394" spans="13:16">
      <c r="M5394">
        <v>0.27311777532723047</v>
      </c>
      <c r="N5394">
        <v>0.18738846583102567</v>
      </c>
      <c r="O5394">
        <v>0.25934191860249767</v>
      </c>
      <c r="P5394">
        <v>0.28015184023924627</v>
      </c>
    </row>
    <row r="5395" spans="13:16">
      <c r="M5395">
        <v>0.29622849125387846</v>
      </c>
      <c r="N5395">
        <v>0.17593843740679707</v>
      </c>
      <c r="O5395">
        <v>0.27286738795030457</v>
      </c>
      <c r="P5395">
        <v>0.25496568338901976</v>
      </c>
    </row>
    <row r="5396" spans="13:16">
      <c r="M5396">
        <v>0.29963622876957741</v>
      </c>
      <c r="N5396">
        <v>0.19023723187361635</v>
      </c>
      <c r="O5396">
        <v>0.24959120747699734</v>
      </c>
      <c r="P5396">
        <v>0.26053533187980893</v>
      </c>
    </row>
    <row r="5397" spans="13:16">
      <c r="M5397">
        <v>0.26965485901262859</v>
      </c>
      <c r="N5397">
        <v>0.17783069440227503</v>
      </c>
      <c r="O5397">
        <v>0.29030544490859911</v>
      </c>
      <c r="P5397">
        <v>0.26220900167649736</v>
      </c>
    </row>
    <row r="5398" spans="13:16">
      <c r="M5398">
        <v>0.32639091979392931</v>
      </c>
      <c r="N5398">
        <v>0.18056076301027743</v>
      </c>
      <c r="O5398">
        <v>0.22792966528097539</v>
      </c>
      <c r="P5398">
        <v>0.26511865191481798</v>
      </c>
    </row>
    <row r="5399" spans="13:16">
      <c r="M5399">
        <v>0.27407821487706829</v>
      </c>
      <c r="N5399">
        <v>0.17131811694949456</v>
      </c>
      <c r="O5399">
        <v>0.28174523304423543</v>
      </c>
      <c r="P5399">
        <v>0.27285843512920166</v>
      </c>
    </row>
    <row r="5400" spans="13:16">
      <c r="M5400">
        <v>0.276625594125464</v>
      </c>
      <c r="N5400">
        <v>0.18121377046892068</v>
      </c>
      <c r="O5400">
        <v>0.2863192098509148</v>
      </c>
      <c r="P5400">
        <v>0.25584142555470057</v>
      </c>
    </row>
    <row r="5401" spans="13:16">
      <c r="M5401">
        <v>0.27396424812993592</v>
      </c>
      <c r="N5401">
        <v>0.18498436352115064</v>
      </c>
      <c r="O5401">
        <v>0.2863268314911252</v>
      </c>
      <c r="P5401">
        <v>0.25472455685778833</v>
      </c>
    </row>
    <row r="5402" spans="13:16">
      <c r="M5402">
        <v>0.2852342638831073</v>
      </c>
      <c r="N5402">
        <v>0.18330127512346359</v>
      </c>
      <c r="O5402">
        <v>0.28002072746320578</v>
      </c>
      <c r="P5402">
        <v>0.25144373353022353</v>
      </c>
    </row>
    <row r="5403" spans="13:16">
      <c r="M5403">
        <v>0.27179137961745164</v>
      </c>
      <c r="N5403">
        <v>0.17252425602156662</v>
      </c>
      <c r="O5403">
        <v>0.30709445718426914</v>
      </c>
      <c r="P5403">
        <v>0.24858990717671273</v>
      </c>
    </row>
    <row r="5404" spans="13:16">
      <c r="M5404">
        <v>0.30519134624788047</v>
      </c>
      <c r="N5404">
        <v>0.19474500823483171</v>
      </c>
      <c r="O5404">
        <v>0.24227173439045338</v>
      </c>
      <c r="P5404">
        <v>0.25779191112683442</v>
      </c>
    </row>
    <row r="5405" spans="13:16">
      <c r="M5405">
        <v>0.30435223733858197</v>
      </c>
      <c r="N5405">
        <v>0.16319074579805815</v>
      </c>
      <c r="O5405">
        <v>0.29249872906112245</v>
      </c>
      <c r="P5405">
        <v>0.23995828780223741</v>
      </c>
    </row>
    <row r="5406" spans="13:16">
      <c r="M5406">
        <v>0.29509408497400691</v>
      </c>
      <c r="N5406">
        <v>0.19157016960234063</v>
      </c>
      <c r="O5406">
        <v>0.26503805780776013</v>
      </c>
      <c r="P5406">
        <v>0.24829768761589235</v>
      </c>
    </row>
    <row r="5407" spans="13:16">
      <c r="M5407">
        <v>0.29145343709299465</v>
      </c>
      <c r="N5407">
        <v>0.19551542959396154</v>
      </c>
      <c r="O5407">
        <v>0.24812427608734003</v>
      </c>
      <c r="P5407">
        <v>0.2649068572257039</v>
      </c>
    </row>
    <row r="5408" spans="13:16">
      <c r="M5408">
        <v>0.295486997088442</v>
      </c>
      <c r="N5408">
        <v>0.18468560327208416</v>
      </c>
      <c r="O5408">
        <v>0.23480670115961949</v>
      </c>
      <c r="P5408">
        <v>0.28502069847985434</v>
      </c>
    </row>
    <row r="5409" spans="13:16">
      <c r="M5409">
        <v>0.27325172112465851</v>
      </c>
      <c r="N5409">
        <v>0.19243919174289537</v>
      </c>
      <c r="O5409">
        <v>0.26453898428701128</v>
      </c>
      <c r="P5409">
        <v>0.26977010284543496</v>
      </c>
    </row>
    <row r="5410" spans="13:16">
      <c r="M5410">
        <v>0.30449029158003538</v>
      </c>
      <c r="N5410">
        <v>0.18625965908158409</v>
      </c>
      <c r="O5410">
        <v>0.23844366544692935</v>
      </c>
      <c r="P5410">
        <v>0.27080638389145123</v>
      </c>
    </row>
    <row r="5411" spans="13:16">
      <c r="M5411">
        <v>0.29448860923292336</v>
      </c>
      <c r="N5411">
        <v>0.17818409470061786</v>
      </c>
      <c r="O5411">
        <v>0.27916246295925567</v>
      </c>
      <c r="P5411">
        <v>0.24816483310720303</v>
      </c>
    </row>
    <row r="5412" spans="13:16">
      <c r="M5412">
        <v>0.29601930432216583</v>
      </c>
      <c r="N5412">
        <v>0.1731953274247022</v>
      </c>
      <c r="O5412">
        <v>0.27358795195292918</v>
      </c>
      <c r="P5412">
        <v>0.25719741630020282</v>
      </c>
    </row>
    <row r="5413" spans="13:16">
      <c r="M5413">
        <v>0.27322875487823473</v>
      </c>
      <c r="N5413">
        <v>0.16791185893677157</v>
      </c>
      <c r="O5413">
        <v>0.30710011537484777</v>
      </c>
      <c r="P5413">
        <v>0.25175927081014593</v>
      </c>
    </row>
    <row r="5414" spans="13:16">
      <c r="M5414">
        <v>0.3179543973463031</v>
      </c>
      <c r="N5414">
        <v>0.19345456881756629</v>
      </c>
      <c r="O5414">
        <v>0.22357748951012571</v>
      </c>
      <c r="P5414">
        <v>0.26501354432600488</v>
      </c>
    </row>
    <row r="5415" spans="13:16">
      <c r="M5415">
        <v>0.29613052056718042</v>
      </c>
      <c r="N5415">
        <v>0.17667013450396185</v>
      </c>
      <c r="O5415">
        <v>0.25672009621634195</v>
      </c>
      <c r="P5415">
        <v>0.27047924871251572</v>
      </c>
    </row>
    <row r="5416" spans="13:16">
      <c r="M5416">
        <v>0.2915306410419134</v>
      </c>
      <c r="N5416">
        <v>0.16683338041710274</v>
      </c>
      <c r="O5416">
        <v>0.29247486294122671</v>
      </c>
      <c r="P5416">
        <v>0.24916111559975709</v>
      </c>
    </row>
    <row r="5417" spans="13:16">
      <c r="M5417">
        <v>0.28625968673740132</v>
      </c>
      <c r="N5417">
        <v>0.17350189259523516</v>
      </c>
      <c r="O5417">
        <v>0.27873712659172034</v>
      </c>
      <c r="P5417">
        <v>0.26150129407564315</v>
      </c>
    </row>
    <row r="5418" spans="13:16">
      <c r="M5418">
        <v>0.275909012830171</v>
      </c>
      <c r="N5418">
        <v>0.17115022902895444</v>
      </c>
      <c r="O5418">
        <v>0.2926464947882334</v>
      </c>
      <c r="P5418">
        <v>0.26029426335264116</v>
      </c>
    </row>
    <row r="5419" spans="13:16">
      <c r="M5419">
        <v>0.27940061910864927</v>
      </c>
      <c r="N5419">
        <v>0.17876263228510239</v>
      </c>
      <c r="O5419">
        <v>0.28752551124649939</v>
      </c>
      <c r="P5419">
        <v>0.25431123735974892</v>
      </c>
    </row>
    <row r="5420" spans="13:16">
      <c r="M5420">
        <v>0.30891364629280904</v>
      </c>
      <c r="N5420">
        <v>0.17434459434650557</v>
      </c>
      <c r="O5420">
        <v>0.26614385641489369</v>
      </c>
      <c r="P5420">
        <v>0.25059790294579187</v>
      </c>
    </row>
    <row r="5421" spans="13:16">
      <c r="M5421">
        <v>0.30114491273050692</v>
      </c>
      <c r="N5421">
        <v>0.16402937967036771</v>
      </c>
      <c r="O5421">
        <v>0.2896384724182377</v>
      </c>
      <c r="P5421">
        <v>0.24518723518088775</v>
      </c>
    </row>
    <row r="5422" spans="13:16">
      <c r="M5422">
        <v>0.27700761579785305</v>
      </c>
      <c r="N5422">
        <v>0.20443877602291677</v>
      </c>
      <c r="O5422">
        <v>0.26195560562609876</v>
      </c>
      <c r="P5422">
        <v>0.25659800255313142</v>
      </c>
    </row>
    <row r="5423" spans="13:16">
      <c r="M5423">
        <v>0.28666253636076505</v>
      </c>
      <c r="N5423">
        <v>0.19420033572536347</v>
      </c>
      <c r="O5423">
        <v>0.25488882318694506</v>
      </c>
      <c r="P5423">
        <v>0.26424830472692634</v>
      </c>
    </row>
    <row r="5424" spans="13:16">
      <c r="M5424">
        <v>0.29899113705410968</v>
      </c>
      <c r="N5424">
        <v>0.19419631889586672</v>
      </c>
      <c r="O5424">
        <v>0.24809466531010183</v>
      </c>
      <c r="P5424">
        <v>0.25871787873992186</v>
      </c>
    </row>
    <row r="5425" spans="13:16">
      <c r="M5425">
        <v>0.26591959192428921</v>
      </c>
      <c r="N5425">
        <v>0.19843098077999471</v>
      </c>
      <c r="O5425">
        <v>0.26059198035274977</v>
      </c>
      <c r="P5425">
        <v>0.27505744694296641</v>
      </c>
    </row>
    <row r="5426" spans="13:16">
      <c r="M5426">
        <v>0.27029010474827136</v>
      </c>
      <c r="N5426">
        <v>0.19652554046002788</v>
      </c>
      <c r="O5426">
        <v>0.25452386805706151</v>
      </c>
      <c r="P5426">
        <v>0.27866048673463928</v>
      </c>
    </row>
    <row r="5427" spans="13:16">
      <c r="M5427">
        <v>0.30343429883386713</v>
      </c>
      <c r="N5427">
        <v>0.18229502548537538</v>
      </c>
      <c r="O5427">
        <v>0.23880582705793316</v>
      </c>
      <c r="P5427">
        <v>0.27546484862282444</v>
      </c>
    </row>
    <row r="5428" spans="13:16">
      <c r="M5428">
        <v>0.29990636288004874</v>
      </c>
      <c r="N5428">
        <v>0.17305088891394516</v>
      </c>
      <c r="O5428">
        <v>0.27812487836042044</v>
      </c>
      <c r="P5428">
        <v>0.24891786984558581</v>
      </c>
    </row>
    <row r="5429" spans="13:16">
      <c r="M5429">
        <v>0.33412654373291467</v>
      </c>
      <c r="N5429">
        <v>0.17167730080158561</v>
      </c>
      <c r="O5429">
        <v>0.2377598870127603</v>
      </c>
      <c r="P5429">
        <v>0.25643626845273954</v>
      </c>
    </row>
    <row r="5430" spans="13:16">
      <c r="M5430">
        <v>0.28618033757981565</v>
      </c>
      <c r="N5430">
        <v>0.189812060770263</v>
      </c>
      <c r="O5430">
        <v>0.2587917258630052</v>
      </c>
      <c r="P5430">
        <v>0.26521587578691624</v>
      </c>
    </row>
    <row r="5431" spans="13:16">
      <c r="M5431">
        <v>0.2607913104627414</v>
      </c>
      <c r="N5431">
        <v>0.18881344364777378</v>
      </c>
      <c r="O5431">
        <v>0.29563913948639908</v>
      </c>
      <c r="P5431">
        <v>0.25475610640308577</v>
      </c>
    </row>
    <row r="5432" spans="13:16">
      <c r="M5432">
        <v>0.29768894654585937</v>
      </c>
      <c r="N5432">
        <v>0.18618847763593768</v>
      </c>
      <c r="O5432">
        <v>0.2740502743979481</v>
      </c>
      <c r="P5432">
        <v>0.24207230142025496</v>
      </c>
    </row>
    <row r="5433" spans="13:16">
      <c r="M5433">
        <v>0.29137220071269099</v>
      </c>
      <c r="N5433">
        <v>0.16626985874247815</v>
      </c>
      <c r="O5433">
        <v>0.29247040279206982</v>
      </c>
      <c r="P5433">
        <v>0.24988753775276104</v>
      </c>
    </row>
    <row r="5434" spans="13:16">
      <c r="M5434">
        <v>0.27772019410240817</v>
      </c>
      <c r="N5434">
        <v>0.17035059478800871</v>
      </c>
      <c r="O5434">
        <v>0.29335017620816456</v>
      </c>
      <c r="P5434">
        <v>0.25857903490141865</v>
      </c>
    </row>
    <row r="5435" spans="13:16">
      <c r="M5435">
        <v>0.28343689724391063</v>
      </c>
      <c r="N5435">
        <v>0.19233997537697006</v>
      </c>
      <c r="O5435">
        <v>0.26205346303679772</v>
      </c>
      <c r="P5435">
        <v>0.26216966434232158</v>
      </c>
    </row>
    <row r="5436" spans="13:16">
      <c r="M5436">
        <v>0.30354820055124943</v>
      </c>
      <c r="N5436">
        <v>0.19095731616690706</v>
      </c>
      <c r="O5436">
        <v>0.24221281803497152</v>
      </c>
      <c r="P5436">
        <v>0.26328166524687208</v>
      </c>
    </row>
    <row r="5437" spans="13:16">
      <c r="M5437">
        <v>0.2759733774800599</v>
      </c>
      <c r="N5437">
        <v>0.1849366793542942</v>
      </c>
      <c r="O5437">
        <v>0.27765476182069843</v>
      </c>
      <c r="P5437">
        <v>0.26143518134494742</v>
      </c>
    </row>
    <row r="5438" spans="13:16">
      <c r="M5438">
        <v>0.26521314948088415</v>
      </c>
      <c r="N5438">
        <v>0.19484839878359847</v>
      </c>
      <c r="O5438">
        <v>0.27019739794251851</v>
      </c>
      <c r="P5438">
        <v>0.26974105379299895</v>
      </c>
    </row>
    <row r="5439" spans="13:16">
      <c r="M5439">
        <v>0.28648691166843593</v>
      </c>
      <c r="N5439">
        <v>0.1813357930805353</v>
      </c>
      <c r="O5439">
        <v>0.28196310485483228</v>
      </c>
      <c r="P5439">
        <v>0.25021419039619647</v>
      </c>
    </row>
    <row r="5440" spans="13:16">
      <c r="M5440">
        <v>0.29091199560280034</v>
      </c>
      <c r="N5440">
        <v>0.18664416363270331</v>
      </c>
      <c r="O5440">
        <v>0.26765401841186448</v>
      </c>
      <c r="P5440">
        <v>0.25478982235263192</v>
      </c>
    </row>
    <row r="5441" spans="13:16">
      <c r="M5441">
        <v>0.2846819213939859</v>
      </c>
      <c r="N5441">
        <v>0.19405350006096306</v>
      </c>
      <c r="O5441">
        <v>0.26641082671879768</v>
      </c>
      <c r="P5441">
        <v>0.25485375182625331</v>
      </c>
    </row>
    <row r="5442" spans="13:16">
      <c r="M5442">
        <v>0.3011360830819621</v>
      </c>
      <c r="N5442">
        <v>0.19474281792249312</v>
      </c>
      <c r="O5442">
        <v>0.22720668853575604</v>
      </c>
      <c r="P5442">
        <v>0.27691441045978871</v>
      </c>
    </row>
    <row r="5443" spans="13:16">
      <c r="M5443">
        <v>0.26042666659031571</v>
      </c>
      <c r="N5443">
        <v>0.20251665297374677</v>
      </c>
      <c r="O5443">
        <v>0.26809870376348921</v>
      </c>
      <c r="P5443">
        <v>0.26895797667244836</v>
      </c>
    </row>
    <row r="5444" spans="13:16">
      <c r="M5444">
        <v>0.32644212603681161</v>
      </c>
      <c r="N5444">
        <v>0.16918908995196055</v>
      </c>
      <c r="O5444">
        <v>0.24088603845000259</v>
      </c>
      <c r="P5444">
        <v>0.2634827455612252</v>
      </c>
    </row>
    <row r="5445" spans="13:16">
      <c r="M5445">
        <v>0.28200670503755781</v>
      </c>
      <c r="N5445">
        <v>0.18254859674144794</v>
      </c>
      <c r="O5445">
        <v>0.26374455128953833</v>
      </c>
      <c r="P5445">
        <v>0.271700146931456</v>
      </c>
    </row>
    <row r="5446" spans="13:16">
      <c r="M5446">
        <v>0.28914905627550092</v>
      </c>
      <c r="N5446">
        <v>0.1767307382856341</v>
      </c>
      <c r="O5446">
        <v>0.27633345075118582</v>
      </c>
      <c r="P5446">
        <v>0.25778675468767914</v>
      </c>
    </row>
    <row r="5447" spans="13:16">
      <c r="M5447">
        <v>0.26820571354649814</v>
      </c>
      <c r="N5447">
        <v>0.19371203838022755</v>
      </c>
      <c r="O5447">
        <v>0.27144403343509238</v>
      </c>
      <c r="P5447">
        <v>0.26663821463818199</v>
      </c>
    </row>
    <row r="5448" spans="13:16">
      <c r="M5448">
        <v>0.2954833744449929</v>
      </c>
      <c r="N5448">
        <v>0.17746132327422132</v>
      </c>
      <c r="O5448">
        <v>0.26646895845225405</v>
      </c>
      <c r="P5448">
        <v>0.26058634382853174</v>
      </c>
    </row>
    <row r="5449" spans="13:16">
      <c r="M5449">
        <v>0.28828216988322236</v>
      </c>
      <c r="N5449">
        <v>0.17642975100646607</v>
      </c>
      <c r="O5449">
        <v>0.27555803873040624</v>
      </c>
      <c r="P5449">
        <v>0.25973004037990521</v>
      </c>
    </row>
    <row r="5450" spans="13:16">
      <c r="M5450">
        <v>0.30069101572522711</v>
      </c>
      <c r="N5450">
        <v>0.18433528180699704</v>
      </c>
      <c r="O5450">
        <v>0.23093010812697928</v>
      </c>
      <c r="P5450">
        <v>0.28404359434079657</v>
      </c>
    </row>
    <row r="5451" spans="13:16">
      <c r="M5451">
        <v>0.26823219516587993</v>
      </c>
      <c r="N5451">
        <v>0.18059356963835271</v>
      </c>
      <c r="O5451">
        <v>0.30208133771080803</v>
      </c>
      <c r="P5451">
        <v>0.24909289748495916</v>
      </c>
    </row>
    <row r="5452" spans="13:16">
      <c r="M5452">
        <v>0.3001805861427998</v>
      </c>
      <c r="N5452">
        <v>0.1672270030453723</v>
      </c>
      <c r="O5452">
        <v>0.28118763652694051</v>
      </c>
      <c r="P5452">
        <v>0.25140477428488733</v>
      </c>
    </row>
    <row r="5453" spans="13:16">
      <c r="M5453">
        <v>0.31210023755110355</v>
      </c>
      <c r="N5453">
        <v>0.17497985837667684</v>
      </c>
      <c r="O5453">
        <v>0.25744868255601644</v>
      </c>
      <c r="P5453">
        <v>0.255471221516203</v>
      </c>
    </row>
    <row r="5454" spans="13:16">
      <c r="M5454">
        <v>0.29875128012239177</v>
      </c>
      <c r="N5454">
        <v>0.18127510160819965</v>
      </c>
      <c r="O5454">
        <v>0.28853773627939466</v>
      </c>
      <c r="P5454">
        <v>0.23143588199001386</v>
      </c>
    </row>
    <row r="5455" spans="13:16">
      <c r="M5455">
        <v>0.30334976418486786</v>
      </c>
      <c r="N5455">
        <v>0.17618872338484476</v>
      </c>
      <c r="O5455">
        <v>0.27391772482931603</v>
      </c>
      <c r="P5455">
        <v>0.2465437876009712</v>
      </c>
    </row>
    <row r="5456" spans="13:16">
      <c r="M5456">
        <v>0.30665919590216667</v>
      </c>
      <c r="N5456">
        <v>0.17080095086567121</v>
      </c>
      <c r="O5456">
        <v>0.26828563091830249</v>
      </c>
      <c r="P5456">
        <v>0.25425422231385963</v>
      </c>
    </row>
    <row r="5457" spans="13:16">
      <c r="M5457">
        <v>0.2728030450116829</v>
      </c>
      <c r="N5457">
        <v>0.18451407498748837</v>
      </c>
      <c r="O5457">
        <v>0.28092700489586009</v>
      </c>
      <c r="P5457">
        <v>0.26175587510496873</v>
      </c>
    </row>
    <row r="5458" spans="13:16">
      <c r="M5458">
        <v>0.28821889729589967</v>
      </c>
      <c r="N5458">
        <v>0.19101699682657108</v>
      </c>
      <c r="O5458">
        <v>0.23870575497746452</v>
      </c>
      <c r="P5458">
        <v>0.2820583509000647</v>
      </c>
    </row>
    <row r="5459" spans="13:16">
      <c r="M5459">
        <v>0.27664503640748866</v>
      </c>
      <c r="N5459">
        <v>0.18196443786246164</v>
      </c>
      <c r="O5459">
        <v>0.2830918233841494</v>
      </c>
      <c r="P5459">
        <v>0.25829870234590024</v>
      </c>
    </row>
    <row r="5460" spans="13:16">
      <c r="M5460">
        <v>0.31992393497302046</v>
      </c>
      <c r="N5460">
        <v>0.17365053041363632</v>
      </c>
      <c r="O5460">
        <v>0.24003055727187814</v>
      </c>
      <c r="P5460">
        <v>0.26639497734146522</v>
      </c>
    </row>
    <row r="5461" spans="13:16">
      <c r="M5461">
        <v>0.25855876473093353</v>
      </c>
      <c r="N5461">
        <v>0.19558614013763889</v>
      </c>
      <c r="O5461">
        <v>0.29361067844344568</v>
      </c>
      <c r="P5461">
        <v>0.25224441668798175</v>
      </c>
    </row>
    <row r="5462" spans="13:16">
      <c r="M5462">
        <v>0.32250983854858123</v>
      </c>
      <c r="N5462">
        <v>0.17310523761245619</v>
      </c>
      <c r="O5462">
        <v>0.24965614305242731</v>
      </c>
      <c r="P5462">
        <v>0.25472878078653544</v>
      </c>
    </row>
    <row r="5463" spans="13:16">
      <c r="M5463">
        <v>0.30829169272081364</v>
      </c>
      <c r="N5463">
        <v>0.19108449986221199</v>
      </c>
      <c r="O5463">
        <v>0.23747889869415309</v>
      </c>
      <c r="P5463">
        <v>0.26314490872282115</v>
      </c>
    </row>
    <row r="5464" spans="13:16">
      <c r="M5464">
        <v>0.28341320919066687</v>
      </c>
      <c r="N5464">
        <v>0.19466442270165249</v>
      </c>
      <c r="O5464">
        <v>0.24681548809617956</v>
      </c>
      <c r="P5464">
        <v>0.27510688001150096</v>
      </c>
    </row>
    <row r="5465" spans="13:16">
      <c r="M5465">
        <v>0.27897889277646143</v>
      </c>
      <c r="N5465">
        <v>0.19121648419107784</v>
      </c>
      <c r="O5465">
        <v>0.2582684665905785</v>
      </c>
      <c r="P5465">
        <v>0.27153615644188234</v>
      </c>
    </row>
    <row r="5466" spans="13:16">
      <c r="M5466">
        <v>0.28113358556621193</v>
      </c>
      <c r="N5466">
        <v>0.19638016237406403</v>
      </c>
      <c r="O5466">
        <v>0.24165861228735042</v>
      </c>
      <c r="P5466">
        <v>0.28082763977237357</v>
      </c>
    </row>
    <row r="5467" spans="13:16">
      <c r="M5467">
        <v>0.26252051035212215</v>
      </c>
      <c r="N5467">
        <v>0.19338337088491528</v>
      </c>
      <c r="O5467">
        <v>0.2693956725078786</v>
      </c>
      <c r="P5467">
        <v>0.274700446255084</v>
      </c>
    </row>
    <row r="5468" spans="13:16">
      <c r="M5468">
        <v>0.27854093158779619</v>
      </c>
      <c r="N5468">
        <v>0.18782672409337439</v>
      </c>
      <c r="O5468">
        <v>0.27322774864101163</v>
      </c>
      <c r="P5468">
        <v>0.26040459567781798</v>
      </c>
    </row>
    <row r="5469" spans="13:16">
      <c r="M5469">
        <v>0.27387351596603865</v>
      </c>
      <c r="N5469">
        <v>0.20377128697540262</v>
      </c>
      <c r="O5469">
        <v>0.26086013781403034</v>
      </c>
      <c r="P5469">
        <v>0.26149505924452837</v>
      </c>
    </row>
    <row r="5470" spans="13:16">
      <c r="M5470">
        <v>0.28326913794362157</v>
      </c>
      <c r="N5470">
        <v>0.17795934497677326</v>
      </c>
      <c r="O5470">
        <v>0.26624702003203532</v>
      </c>
      <c r="P5470">
        <v>0.27252449704756981</v>
      </c>
    </row>
    <row r="5471" spans="13:16">
      <c r="M5471">
        <v>0.31052031194433621</v>
      </c>
      <c r="N5471">
        <v>0.19170426915476224</v>
      </c>
      <c r="O5471">
        <v>0.23107231768408873</v>
      </c>
      <c r="P5471">
        <v>0.26670310121681284</v>
      </c>
    </row>
    <row r="5472" spans="13:16">
      <c r="M5472">
        <v>0.28746045040723756</v>
      </c>
      <c r="N5472">
        <v>0.19468082150876523</v>
      </c>
      <c r="O5472">
        <v>0.24783519221071476</v>
      </c>
      <c r="P5472">
        <v>0.27002353587328254</v>
      </c>
    </row>
    <row r="5473" spans="13:16">
      <c r="M5473">
        <v>0.26377251561679438</v>
      </c>
      <c r="N5473">
        <v>0.20490916338725323</v>
      </c>
      <c r="O5473">
        <v>0.26125622565287071</v>
      </c>
      <c r="P5473">
        <v>0.27006209534308168</v>
      </c>
    </row>
    <row r="5474" spans="13:16">
      <c r="M5474">
        <v>0.28807218817083446</v>
      </c>
      <c r="N5474">
        <v>0.17665238918444226</v>
      </c>
      <c r="O5474">
        <v>0.28414272721521278</v>
      </c>
      <c r="P5474">
        <v>0.25113269542951056</v>
      </c>
    </row>
    <row r="5475" spans="13:16">
      <c r="M5475">
        <v>0.27526301765816757</v>
      </c>
      <c r="N5475">
        <v>0.18827256840342813</v>
      </c>
      <c r="O5475">
        <v>0.26402095670390241</v>
      </c>
      <c r="P5475">
        <v>0.27244345723450203</v>
      </c>
    </row>
    <row r="5476" spans="13:16">
      <c r="M5476">
        <v>0.27542058260865454</v>
      </c>
      <c r="N5476">
        <v>0.18139180793730897</v>
      </c>
      <c r="O5476">
        <v>0.26341764264144402</v>
      </c>
      <c r="P5476">
        <v>0.27976996681259264</v>
      </c>
    </row>
    <row r="5477" spans="13:16">
      <c r="M5477">
        <v>0.28605403038302074</v>
      </c>
      <c r="N5477">
        <v>0.20121623365625982</v>
      </c>
      <c r="O5477">
        <v>0.24123325555608774</v>
      </c>
      <c r="P5477">
        <v>0.27149648040463176</v>
      </c>
    </row>
    <row r="5478" spans="13:16">
      <c r="M5478">
        <v>0.2850557127834264</v>
      </c>
      <c r="N5478">
        <v>0.18504701140987403</v>
      </c>
      <c r="O5478">
        <v>0.26059443544317518</v>
      </c>
      <c r="P5478">
        <v>0.26930284036352437</v>
      </c>
    </row>
    <row r="5479" spans="13:16">
      <c r="M5479">
        <v>0.29528813894959555</v>
      </c>
      <c r="N5479">
        <v>0.17393282440681282</v>
      </c>
      <c r="O5479">
        <v>0.27420590180435495</v>
      </c>
      <c r="P5479">
        <v>0.25657313483923677</v>
      </c>
    </row>
    <row r="5480" spans="13:16">
      <c r="M5480">
        <v>0.28925422182009991</v>
      </c>
      <c r="N5480">
        <v>0.20131134155621172</v>
      </c>
      <c r="O5480">
        <v>0.23850751141847448</v>
      </c>
      <c r="P5480">
        <v>0.270926925205214</v>
      </c>
    </row>
    <row r="5481" spans="13:16">
      <c r="M5481">
        <v>0.29609150011504304</v>
      </c>
      <c r="N5481">
        <v>0.19822103843233235</v>
      </c>
      <c r="O5481">
        <v>0.22797914528640617</v>
      </c>
      <c r="P5481">
        <v>0.27770831616621849</v>
      </c>
    </row>
    <row r="5482" spans="13:16">
      <c r="M5482">
        <v>0.28642887097083436</v>
      </c>
      <c r="N5482">
        <v>0.18576338162285957</v>
      </c>
      <c r="O5482">
        <v>0.27884491547750145</v>
      </c>
      <c r="P5482">
        <v>0.24896283192880456</v>
      </c>
    </row>
    <row r="5483" spans="13:16">
      <c r="M5483">
        <v>0.26674144059234028</v>
      </c>
      <c r="N5483">
        <v>0.21210823979943844</v>
      </c>
      <c r="O5483">
        <v>0.25559291760461245</v>
      </c>
      <c r="P5483">
        <v>0.26555740200360878</v>
      </c>
    </row>
    <row r="5484" spans="13:16">
      <c r="M5484">
        <v>0.2989394087904062</v>
      </c>
      <c r="N5484">
        <v>0.18260616846274857</v>
      </c>
      <c r="O5484">
        <v>0.24299523650734511</v>
      </c>
      <c r="P5484">
        <v>0.27545918623950005</v>
      </c>
    </row>
    <row r="5485" spans="13:16">
      <c r="M5485">
        <v>0.27257285938878201</v>
      </c>
      <c r="N5485">
        <v>0.18586608875050378</v>
      </c>
      <c r="O5485">
        <v>0.27987016616696642</v>
      </c>
      <c r="P5485">
        <v>0.26169088569374777</v>
      </c>
    </row>
    <row r="5486" spans="13:16">
      <c r="M5486">
        <v>0.27464639972149185</v>
      </c>
      <c r="N5486">
        <v>0.17844112173398555</v>
      </c>
      <c r="O5486">
        <v>0.29025471868319985</v>
      </c>
      <c r="P5486">
        <v>0.25665775986132272</v>
      </c>
    </row>
    <row r="5487" spans="13:16">
      <c r="M5487">
        <v>0.29109161450321935</v>
      </c>
      <c r="N5487">
        <v>0.17299213968854121</v>
      </c>
      <c r="O5487">
        <v>0.26669410086657697</v>
      </c>
      <c r="P5487">
        <v>0.26922214494166252</v>
      </c>
    </row>
    <row r="5488" spans="13:16">
      <c r="M5488">
        <v>0.30303964593712435</v>
      </c>
      <c r="N5488">
        <v>0.17306174776450847</v>
      </c>
      <c r="O5488">
        <v>0.26735678719162081</v>
      </c>
      <c r="P5488">
        <v>0.2565418191067465</v>
      </c>
    </row>
    <row r="5489" spans="13:16">
      <c r="M5489">
        <v>0.28064799550434827</v>
      </c>
      <c r="N5489">
        <v>0.17796214727752993</v>
      </c>
      <c r="O5489">
        <v>0.27420678392077219</v>
      </c>
      <c r="P5489">
        <v>0.26718307329734958</v>
      </c>
    </row>
    <row r="5490" spans="13:16">
      <c r="M5490">
        <v>0.29177808220894669</v>
      </c>
      <c r="N5490">
        <v>0.1831390804196284</v>
      </c>
      <c r="O5490">
        <v>0.27884017296382546</v>
      </c>
      <c r="P5490">
        <v>0.2462426644075994</v>
      </c>
    </row>
    <row r="5491" spans="13:16">
      <c r="M5491">
        <v>0.31322180767690105</v>
      </c>
      <c r="N5491">
        <v>0.19619386170823883</v>
      </c>
      <c r="O5491">
        <v>0.23555163961595332</v>
      </c>
      <c r="P5491">
        <v>0.2550326909989068</v>
      </c>
    </row>
    <row r="5492" spans="13:16">
      <c r="M5492">
        <v>0.31429394507574693</v>
      </c>
      <c r="N5492">
        <v>0.17798313937938173</v>
      </c>
      <c r="O5492">
        <v>0.21570405440674595</v>
      </c>
      <c r="P5492">
        <v>0.29201886113812531</v>
      </c>
    </row>
    <row r="5493" spans="13:16">
      <c r="M5493">
        <v>0.28634391080978111</v>
      </c>
      <c r="N5493">
        <v>0.17589163342361247</v>
      </c>
      <c r="O5493">
        <v>0.26298979739123785</v>
      </c>
      <c r="P5493">
        <v>0.27477465837536869</v>
      </c>
    </row>
    <row r="5494" spans="13:16">
      <c r="M5494">
        <v>0.31557730027579822</v>
      </c>
      <c r="N5494">
        <v>0.17055887599143207</v>
      </c>
      <c r="O5494">
        <v>0.2569382313023913</v>
      </c>
      <c r="P5494">
        <v>0.25692559243037832</v>
      </c>
    </row>
    <row r="5495" spans="13:16">
      <c r="M5495">
        <v>0.28070451877721248</v>
      </c>
      <c r="N5495">
        <v>0.20369447901751456</v>
      </c>
      <c r="O5495">
        <v>0.25222992386963461</v>
      </c>
      <c r="P5495">
        <v>0.26337107833563839</v>
      </c>
    </row>
    <row r="5496" spans="13:16">
      <c r="M5496">
        <v>0.27650348677061803</v>
      </c>
      <c r="N5496">
        <v>0.19180549040277889</v>
      </c>
      <c r="O5496">
        <v>0.26277180110576354</v>
      </c>
      <c r="P5496">
        <v>0.26891922172083949</v>
      </c>
    </row>
    <row r="5497" spans="13:16">
      <c r="M5497">
        <v>0.28259569739662838</v>
      </c>
      <c r="N5497">
        <v>0.17761611767924484</v>
      </c>
      <c r="O5497">
        <v>0.25431495292878747</v>
      </c>
      <c r="P5497">
        <v>0.28547323199533936</v>
      </c>
    </row>
    <row r="5498" spans="13:16">
      <c r="M5498">
        <v>0.28939792652296686</v>
      </c>
      <c r="N5498">
        <v>0.19540759348031053</v>
      </c>
      <c r="O5498">
        <v>0.26272272834204197</v>
      </c>
      <c r="P5498">
        <v>0.2524717516546805</v>
      </c>
    </row>
    <row r="5499" spans="13:16">
      <c r="M5499">
        <v>0.29351320077677207</v>
      </c>
      <c r="N5499">
        <v>0.19495152310307404</v>
      </c>
      <c r="O5499">
        <v>0.24906593704490759</v>
      </c>
      <c r="P5499">
        <v>0.26246933907524628</v>
      </c>
    </row>
    <row r="5500" spans="13:16">
      <c r="M5500">
        <v>0.27944398087353695</v>
      </c>
      <c r="N5500">
        <v>0.19059098127786714</v>
      </c>
      <c r="O5500">
        <v>0.26723520328580874</v>
      </c>
      <c r="P5500">
        <v>0.26272983456278715</v>
      </c>
    </row>
    <row r="5501" spans="13:16">
      <c r="M5501">
        <v>0.26882306855927629</v>
      </c>
      <c r="N5501">
        <v>0.18997572338945345</v>
      </c>
      <c r="O5501">
        <v>0.26672918877925234</v>
      </c>
      <c r="P5501">
        <v>0.27447201927201781</v>
      </c>
    </row>
    <row r="5502" spans="13:16">
      <c r="M5502">
        <v>0.28702576494482224</v>
      </c>
      <c r="N5502">
        <v>0.18514952440636512</v>
      </c>
      <c r="O5502">
        <v>0.26110229488554543</v>
      </c>
      <c r="P5502">
        <v>0.26672241576326711</v>
      </c>
    </row>
    <row r="5503" spans="13:16">
      <c r="M5503">
        <v>0.27809687237023889</v>
      </c>
      <c r="N5503">
        <v>0.18138845804178175</v>
      </c>
      <c r="O5503">
        <v>0.28471959580587358</v>
      </c>
      <c r="P5503">
        <v>0.25579507378210592</v>
      </c>
    </row>
    <row r="5504" spans="13:16">
      <c r="M5504">
        <v>0.29570634483000757</v>
      </c>
      <c r="N5504">
        <v>0.18104141405173757</v>
      </c>
      <c r="O5504">
        <v>0.25752859875199946</v>
      </c>
      <c r="P5504">
        <v>0.26572364236625551</v>
      </c>
    </row>
    <row r="5505" spans="13:16">
      <c r="M5505">
        <v>0.29772371690113664</v>
      </c>
      <c r="N5505">
        <v>0.19172841527071222</v>
      </c>
      <c r="O5505">
        <v>0.24650580992319762</v>
      </c>
      <c r="P5505">
        <v>0.26404205790495355</v>
      </c>
    </row>
    <row r="5506" spans="13:16">
      <c r="M5506">
        <v>0.2980322688866871</v>
      </c>
      <c r="N5506">
        <v>0.19055735766262213</v>
      </c>
      <c r="O5506">
        <v>0.22673182951562668</v>
      </c>
      <c r="P5506">
        <v>0.28467854393506403</v>
      </c>
    </row>
    <row r="5507" spans="13:16">
      <c r="M5507">
        <v>0.32161150146600376</v>
      </c>
      <c r="N5507">
        <v>0.16508632687692232</v>
      </c>
      <c r="O5507">
        <v>0.26716173429261436</v>
      </c>
      <c r="P5507">
        <v>0.24614043736445956</v>
      </c>
    </row>
    <row r="5508" spans="13:16">
      <c r="M5508">
        <v>0.31256106116018151</v>
      </c>
      <c r="N5508">
        <v>0.17969969356947271</v>
      </c>
      <c r="O5508">
        <v>0.24788432316540018</v>
      </c>
      <c r="P5508">
        <v>0.25985492210494565</v>
      </c>
    </row>
    <row r="5509" spans="13:16">
      <c r="M5509">
        <v>0.31321338168711577</v>
      </c>
      <c r="N5509">
        <v>0.1870024161565837</v>
      </c>
      <c r="O5509">
        <v>0.2327225496349537</v>
      </c>
      <c r="P5509">
        <v>0.26706165252134684</v>
      </c>
    </row>
    <row r="5510" spans="13:16">
      <c r="M5510">
        <v>0.2921056054300431</v>
      </c>
      <c r="N5510">
        <v>0.19034733326054901</v>
      </c>
      <c r="O5510">
        <v>0.24673346365429102</v>
      </c>
      <c r="P5510">
        <v>0.27081359765511687</v>
      </c>
    </row>
    <row r="5511" spans="13:16">
      <c r="M5511">
        <v>0.28704902075674416</v>
      </c>
      <c r="N5511">
        <v>0.18149573571356559</v>
      </c>
      <c r="O5511">
        <v>0.25741303669511334</v>
      </c>
      <c r="P5511">
        <v>0.2740422068345767</v>
      </c>
    </row>
    <row r="5512" spans="13:16">
      <c r="M5512">
        <v>0.2898709127810582</v>
      </c>
      <c r="N5512">
        <v>0.19781685026559029</v>
      </c>
      <c r="O5512">
        <v>0.23553674393558796</v>
      </c>
      <c r="P5512">
        <v>0.27677549301776355</v>
      </c>
    </row>
    <row r="5513" spans="13:16">
      <c r="M5513">
        <v>0.28450691840506265</v>
      </c>
      <c r="N5513">
        <v>0.18206990830784492</v>
      </c>
      <c r="O5513">
        <v>0.27328736764067035</v>
      </c>
      <c r="P5513">
        <v>0.26013580564642214</v>
      </c>
    </row>
    <row r="5514" spans="13:16">
      <c r="M5514">
        <v>0.2892528298146147</v>
      </c>
      <c r="N5514">
        <v>0.17573436763845707</v>
      </c>
      <c r="O5514">
        <v>0.26417641974052247</v>
      </c>
      <c r="P5514">
        <v>0.27083638280640576</v>
      </c>
    </row>
    <row r="5515" spans="13:16">
      <c r="M5515">
        <v>0.28633665997453767</v>
      </c>
      <c r="N5515">
        <v>0.17755240972629172</v>
      </c>
      <c r="O5515">
        <v>0.26968488562702708</v>
      </c>
      <c r="P5515">
        <v>0.26642604467214365</v>
      </c>
    </row>
    <row r="5516" spans="13:16">
      <c r="M5516">
        <v>0.27576920270251754</v>
      </c>
      <c r="N5516">
        <v>0.19949491290324409</v>
      </c>
      <c r="O5516">
        <v>0.26797938311181102</v>
      </c>
      <c r="P5516">
        <v>0.25675650128242744</v>
      </c>
    </row>
    <row r="5517" spans="13:16">
      <c r="M5517">
        <v>0.29509055579109494</v>
      </c>
      <c r="N5517">
        <v>0.17863823884510666</v>
      </c>
      <c r="O5517">
        <v>0.27784338896838578</v>
      </c>
      <c r="P5517">
        <v>0.24842781639541262</v>
      </c>
    </row>
    <row r="5518" spans="13:16">
      <c r="M5518">
        <v>0.30687487229086718</v>
      </c>
      <c r="N5518">
        <v>0.18169898654184788</v>
      </c>
      <c r="O5518">
        <v>0.25589118154744483</v>
      </c>
      <c r="P5518">
        <v>0.25553495961984019</v>
      </c>
    </row>
    <row r="5519" spans="13:16">
      <c r="M5519">
        <v>0.29481972965786385</v>
      </c>
      <c r="N5519">
        <v>0.2057143626547745</v>
      </c>
      <c r="O5519">
        <v>0.22286504585949232</v>
      </c>
      <c r="P5519">
        <v>0.27660086182786925</v>
      </c>
    </row>
    <row r="5520" spans="13:16">
      <c r="M5520">
        <v>0.25647513274678585</v>
      </c>
      <c r="N5520">
        <v>0.18679437076116195</v>
      </c>
      <c r="O5520">
        <v>0.30245156973934084</v>
      </c>
      <c r="P5520">
        <v>0.2542789267527113</v>
      </c>
    </row>
    <row r="5521" spans="13:16">
      <c r="M5521">
        <v>0.28299751928971639</v>
      </c>
      <c r="N5521">
        <v>0.19928733433846252</v>
      </c>
      <c r="O5521">
        <v>0.24518974414413486</v>
      </c>
      <c r="P5521">
        <v>0.27252540222768629</v>
      </c>
    </row>
    <row r="5522" spans="13:16">
      <c r="M5522">
        <v>0.28987556439474671</v>
      </c>
      <c r="N5522">
        <v>0.18322179755809412</v>
      </c>
      <c r="O5522">
        <v>0.26228181795862326</v>
      </c>
      <c r="P5522">
        <v>0.26462082008853594</v>
      </c>
    </row>
    <row r="5523" spans="13:16">
      <c r="M5523">
        <v>0.31295498692447921</v>
      </c>
      <c r="N5523">
        <v>0.17066386273279607</v>
      </c>
      <c r="O5523">
        <v>0.25535510352306079</v>
      </c>
      <c r="P5523">
        <v>0.26102604681966385</v>
      </c>
    </row>
    <row r="5524" spans="13:16">
      <c r="M5524">
        <v>0.2914713670869491</v>
      </c>
      <c r="N5524">
        <v>0.18217441975753235</v>
      </c>
      <c r="O5524">
        <v>0.27276082599204465</v>
      </c>
      <c r="P5524">
        <v>0.25359338716347374</v>
      </c>
    </row>
    <row r="5525" spans="13:16">
      <c r="M5525">
        <v>0.26963317612622673</v>
      </c>
      <c r="N5525">
        <v>0.20523569625328267</v>
      </c>
      <c r="O5525">
        <v>0.24558669959233048</v>
      </c>
      <c r="P5525">
        <v>0.27954442802816004</v>
      </c>
    </row>
    <row r="5526" spans="13:16">
      <c r="M5526">
        <v>0.2829989003102516</v>
      </c>
      <c r="N5526">
        <v>0.18735928858700454</v>
      </c>
      <c r="O5526">
        <v>0.25096449435065488</v>
      </c>
      <c r="P5526">
        <v>0.27867731675208907</v>
      </c>
    </row>
    <row r="5527" spans="13:16">
      <c r="M5527">
        <v>0.27511853218074694</v>
      </c>
      <c r="N5527">
        <v>0.19755177037555735</v>
      </c>
      <c r="O5527">
        <v>0.27329810088997342</v>
      </c>
      <c r="P5527">
        <v>0.25403159655372237</v>
      </c>
    </row>
    <row r="5528" spans="13:16">
      <c r="M5528">
        <v>0.3151392501848978</v>
      </c>
      <c r="N5528">
        <v>0.19710568867343631</v>
      </c>
      <c r="O5528">
        <v>0.22970667077978407</v>
      </c>
      <c r="P5528">
        <v>0.25804839036188171</v>
      </c>
    </row>
    <row r="5529" spans="13:16">
      <c r="M5529">
        <v>0.26732313266680707</v>
      </c>
      <c r="N5529">
        <v>0.19206374871542298</v>
      </c>
      <c r="O5529">
        <v>0.2840140221255355</v>
      </c>
      <c r="P5529">
        <v>0.25659909649223445</v>
      </c>
    </row>
    <row r="5530" spans="13:16">
      <c r="M5530">
        <v>0.27352949081955436</v>
      </c>
      <c r="N5530">
        <v>0.17335824805211628</v>
      </c>
      <c r="O5530">
        <v>0.30361712770707738</v>
      </c>
      <c r="P5530">
        <v>0.24949513342125201</v>
      </c>
    </row>
    <row r="5531" spans="13:16">
      <c r="M5531">
        <v>0.30903427501524877</v>
      </c>
      <c r="N5531">
        <v>0.16911316655902048</v>
      </c>
      <c r="O5531">
        <v>0.26461525821804616</v>
      </c>
      <c r="P5531">
        <v>0.25723730020768465</v>
      </c>
    </row>
    <row r="5532" spans="13:16">
      <c r="M5532">
        <v>0.29875758951531278</v>
      </c>
      <c r="N5532">
        <v>0.17920591755278475</v>
      </c>
      <c r="O5532">
        <v>0.25941189460293018</v>
      </c>
      <c r="P5532">
        <v>0.26262459832897223</v>
      </c>
    </row>
    <row r="5533" spans="13:16">
      <c r="M5533">
        <v>0.29405612608568998</v>
      </c>
      <c r="N5533">
        <v>0.17185364303678757</v>
      </c>
      <c r="O5533">
        <v>0.28386816718120789</v>
      </c>
      <c r="P5533">
        <v>0.25022206369631461</v>
      </c>
    </row>
    <row r="5534" spans="13:16">
      <c r="M5534">
        <v>0.27966672326758452</v>
      </c>
      <c r="N5534">
        <v>0.18971962153495547</v>
      </c>
      <c r="O5534">
        <v>0.27343506622459857</v>
      </c>
      <c r="P5534">
        <v>0.25717858897286139</v>
      </c>
    </row>
    <row r="5535" spans="13:16">
      <c r="M5535">
        <v>0.28666920990314065</v>
      </c>
      <c r="N5535">
        <v>0.19248282519531495</v>
      </c>
      <c r="O5535">
        <v>0.2518651803106014</v>
      </c>
      <c r="P5535">
        <v>0.26898278459094299</v>
      </c>
    </row>
    <row r="5536" spans="13:16">
      <c r="M5536">
        <v>0.30043316969260031</v>
      </c>
      <c r="N5536">
        <v>0.18109370322227042</v>
      </c>
      <c r="O5536">
        <v>0.26916439737791625</v>
      </c>
      <c r="P5536">
        <v>0.24930872970721307</v>
      </c>
    </row>
    <row r="5537" spans="13:16">
      <c r="M5537">
        <v>0.30833150356401984</v>
      </c>
      <c r="N5537">
        <v>0.1806288369894182</v>
      </c>
      <c r="O5537">
        <v>0.23320062910036257</v>
      </c>
      <c r="P5537">
        <v>0.27783903034619939</v>
      </c>
    </row>
    <row r="5538" spans="13:16">
      <c r="M5538">
        <v>0.27165876606505401</v>
      </c>
      <c r="N5538">
        <v>0.19016606066552963</v>
      </c>
      <c r="O5538">
        <v>0.25532170252296205</v>
      </c>
      <c r="P5538">
        <v>0.28285347074645439</v>
      </c>
    </row>
    <row r="5539" spans="13:16">
      <c r="M5539">
        <v>0.30587533959426816</v>
      </c>
      <c r="N5539">
        <v>0.19780019046916611</v>
      </c>
      <c r="O5539">
        <v>0.2376720210292281</v>
      </c>
      <c r="P5539">
        <v>0.25865244890733774</v>
      </c>
    </row>
    <row r="5540" spans="13:16">
      <c r="M5540">
        <v>0.30324283695084153</v>
      </c>
      <c r="N5540">
        <v>0.18516602127522205</v>
      </c>
      <c r="O5540">
        <v>0.25768199163649502</v>
      </c>
      <c r="P5540">
        <v>0.25390915013744136</v>
      </c>
    </row>
    <row r="5541" spans="13:16">
      <c r="M5541">
        <v>0.28505953606370876</v>
      </c>
      <c r="N5541">
        <v>0.18872584790003105</v>
      </c>
      <c r="O5541">
        <v>0.26560726049126604</v>
      </c>
      <c r="P5541">
        <v>0.2606073555449942</v>
      </c>
    </row>
    <row r="5542" spans="13:16">
      <c r="M5542">
        <v>0.30589085499004159</v>
      </c>
      <c r="N5542">
        <v>0.17467722231877086</v>
      </c>
      <c r="O5542">
        <v>0.24736216358522753</v>
      </c>
      <c r="P5542">
        <v>0.27206975910595999</v>
      </c>
    </row>
    <row r="5543" spans="13:16">
      <c r="M5543">
        <v>0.31304169243152724</v>
      </c>
      <c r="N5543">
        <v>0.18799325815014065</v>
      </c>
      <c r="O5543">
        <v>0.25409311358346037</v>
      </c>
      <c r="P5543">
        <v>0.24487193583487171</v>
      </c>
    </row>
    <row r="5544" spans="13:16">
      <c r="M5544">
        <v>0.28994467620177555</v>
      </c>
      <c r="N5544">
        <v>0.16909413844336021</v>
      </c>
      <c r="O5544">
        <v>0.27488031683639103</v>
      </c>
      <c r="P5544">
        <v>0.26608086851847318</v>
      </c>
    </row>
    <row r="5545" spans="13:16">
      <c r="M5545">
        <v>0.31669345663227527</v>
      </c>
      <c r="N5545">
        <v>0.18506844622683369</v>
      </c>
      <c r="O5545">
        <v>0.21288986680106139</v>
      </c>
      <c r="P5545">
        <v>0.28534823033982976</v>
      </c>
    </row>
    <row r="5546" spans="13:16">
      <c r="M5546">
        <v>0.29322430741933037</v>
      </c>
      <c r="N5546">
        <v>0.19229787614504515</v>
      </c>
      <c r="O5546">
        <v>0.26285855831607413</v>
      </c>
      <c r="P5546">
        <v>0.25161925811955027</v>
      </c>
    </row>
    <row r="5547" spans="13:16">
      <c r="M5547">
        <v>0.29970486184419248</v>
      </c>
      <c r="N5547">
        <v>0.18410731663989874</v>
      </c>
      <c r="O5547">
        <v>0.26859284483656082</v>
      </c>
      <c r="P5547">
        <v>0.24759497667934785</v>
      </c>
    </row>
    <row r="5548" spans="13:16">
      <c r="M5548">
        <v>0.2987264194947849</v>
      </c>
      <c r="N5548">
        <v>0.17899225180549008</v>
      </c>
      <c r="O5548">
        <v>0.26505632880709229</v>
      </c>
      <c r="P5548">
        <v>0.25722499989263276</v>
      </c>
    </row>
    <row r="5549" spans="13:16">
      <c r="M5549">
        <v>0.30219863311877476</v>
      </c>
      <c r="N5549">
        <v>0.18133125931842103</v>
      </c>
      <c r="O5549">
        <v>0.2581274019678102</v>
      </c>
      <c r="P5549">
        <v>0.25834270559499412</v>
      </c>
    </row>
    <row r="5550" spans="13:16">
      <c r="M5550">
        <v>0.28209543083107907</v>
      </c>
      <c r="N5550">
        <v>0.18926768296902946</v>
      </c>
      <c r="O5550">
        <v>0.2442795244585593</v>
      </c>
      <c r="P5550">
        <v>0.28435736174133214</v>
      </c>
    </row>
    <row r="5551" spans="13:16">
      <c r="M5551">
        <v>0.2911037233542757</v>
      </c>
      <c r="N5551">
        <v>0.18731763140358421</v>
      </c>
      <c r="O5551">
        <v>0.26660016929208424</v>
      </c>
      <c r="P5551">
        <v>0.25497847595005591</v>
      </c>
    </row>
    <row r="5552" spans="13:16">
      <c r="M5552">
        <v>0.27787668937922433</v>
      </c>
      <c r="N5552">
        <v>0.20373739267706067</v>
      </c>
      <c r="O5552">
        <v>0.24431318706794064</v>
      </c>
      <c r="P5552">
        <v>0.27407273087577438</v>
      </c>
    </row>
    <row r="5553" spans="13:16">
      <c r="M5553">
        <v>0.28846080430727644</v>
      </c>
      <c r="N5553">
        <v>0.18876801058246187</v>
      </c>
      <c r="O5553">
        <v>0.2367103717714526</v>
      </c>
      <c r="P5553">
        <v>0.28606081333880917</v>
      </c>
    </row>
    <row r="5554" spans="13:16">
      <c r="M5554">
        <v>0.32213824140927994</v>
      </c>
      <c r="N5554">
        <v>0.17638221345372812</v>
      </c>
      <c r="O5554">
        <v>0.24058368326982088</v>
      </c>
      <c r="P5554">
        <v>0.26089586186717101</v>
      </c>
    </row>
    <row r="5555" spans="13:16">
      <c r="M5555">
        <v>0.27484764575439641</v>
      </c>
      <c r="N5555">
        <v>0.19140162416771697</v>
      </c>
      <c r="O5555">
        <v>0.26991547106324376</v>
      </c>
      <c r="P5555">
        <v>0.26383525901464278</v>
      </c>
    </row>
    <row r="5556" spans="13:16">
      <c r="M5556">
        <v>0.28345615580845124</v>
      </c>
      <c r="N5556">
        <v>0.20727614884606535</v>
      </c>
      <c r="O5556">
        <v>0.24798284298302389</v>
      </c>
      <c r="P5556">
        <v>0.26128485236245963</v>
      </c>
    </row>
    <row r="5557" spans="13:16">
      <c r="M5557">
        <v>0.3031790643585745</v>
      </c>
      <c r="N5557">
        <v>0.17536688594103225</v>
      </c>
      <c r="O5557">
        <v>0.27112509779501642</v>
      </c>
      <c r="P5557">
        <v>0.25032895190537685</v>
      </c>
    </row>
    <row r="5558" spans="13:16">
      <c r="M5558">
        <v>0.26578893273907728</v>
      </c>
      <c r="N5558">
        <v>0.19838254880013464</v>
      </c>
      <c r="O5558">
        <v>0.26633984455194748</v>
      </c>
      <c r="P5558">
        <v>0.26948867390884068</v>
      </c>
    </row>
    <row r="5559" spans="13:16">
      <c r="M5559">
        <v>0.26768259014953638</v>
      </c>
      <c r="N5559">
        <v>0.19361385389597938</v>
      </c>
      <c r="O5559">
        <v>0.27728639180510239</v>
      </c>
      <c r="P5559">
        <v>0.26141716414938171</v>
      </c>
    </row>
    <row r="5560" spans="13:16">
      <c r="M5560">
        <v>0.2699097000559359</v>
      </c>
      <c r="N5560">
        <v>0.19286467139690039</v>
      </c>
      <c r="O5560">
        <v>0.27491966868124212</v>
      </c>
      <c r="P5560">
        <v>0.26230595986592165</v>
      </c>
    </row>
    <row r="5561" spans="13:16">
      <c r="M5561">
        <v>0.27795183446016919</v>
      </c>
      <c r="N5561">
        <v>0.19160952244065035</v>
      </c>
      <c r="O5561">
        <v>0.28127418619764899</v>
      </c>
      <c r="P5561">
        <v>0.24916445690153152</v>
      </c>
    </row>
    <row r="5562" spans="13:16">
      <c r="M5562">
        <v>0.27669416162246663</v>
      </c>
      <c r="N5562">
        <v>0.19088725644223542</v>
      </c>
      <c r="O5562">
        <v>0.24819427396648336</v>
      </c>
      <c r="P5562">
        <v>0.28422430796881465</v>
      </c>
    </row>
    <row r="5563" spans="13:16">
      <c r="M5563">
        <v>0.29354142317891424</v>
      </c>
      <c r="N5563">
        <v>0.18263564427871076</v>
      </c>
      <c r="O5563">
        <v>0.25528821704331361</v>
      </c>
      <c r="P5563">
        <v>0.26853471549906155</v>
      </c>
    </row>
    <row r="5564" spans="13:16">
      <c r="M5564">
        <v>0.29101470952772757</v>
      </c>
      <c r="N5564">
        <v>0.18407426354409451</v>
      </c>
      <c r="O5564">
        <v>0.26512324565234202</v>
      </c>
      <c r="P5564">
        <v>0.25978778127583596</v>
      </c>
    </row>
    <row r="5565" spans="13:16">
      <c r="M5565">
        <v>0.28410669120713433</v>
      </c>
      <c r="N5565">
        <v>0.18810769158892876</v>
      </c>
      <c r="O5565">
        <v>0.26321992638119052</v>
      </c>
      <c r="P5565">
        <v>0.2645656908227465</v>
      </c>
    </row>
    <row r="5566" spans="13:16">
      <c r="M5566">
        <v>0.30818737457380196</v>
      </c>
      <c r="N5566">
        <v>0.20597837907790084</v>
      </c>
      <c r="O5566">
        <v>0.209702274215714</v>
      </c>
      <c r="P5566">
        <v>0.27613197213258328</v>
      </c>
    </row>
    <row r="5567" spans="13:16">
      <c r="M5567">
        <v>0.29231011936895301</v>
      </c>
      <c r="N5567">
        <v>0.19284798268170697</v>
      </c>
      <c r="O5567">
        <v>0.25416832338254453</v>
      </c>
      <c r="P5567">
        <v>0.26067357456679552</v>
      </c>
    </row>
    <row r="5568" spans="13:16">
      <c r="M5568">
        <v>0.2898330743156039</v>
      </c>
      <c r="N5568">
        <v>0.20018519959972081</v>
      </c>
      <c r="O5568">
        <v>0.23852048217873242</v>
      </c>
      <c r="P5568">
        <v>0.27146124390594284</v>
      </c>
    </row>
    <row r="5569" spans="13:16">
      <c r="M5569">
        <v>0.28372467830484877</v>
      </c>
      <c r="N5569">
        <v>0.21581872137588315</v>
      </c>
      <c r="O5569">
        <v>0.23096026090096466</v>
      </c>
      <c r="P5569">
        <v>0.26949633941830342</v>
      </c>
    </row>
    <row r="5570" spans="13:16">
      <c r="M5570">
        <v>0.29397697233069542</v>
      </c>
      <c r="N5570">
        <v>0.17328746893725175</v>
      </c>
      <c r="O5570">
        <v>0.27408679197017549</v>
      </c>
      <c r="P5570">
        <v>0.25864876676187731</v>
      </c>
    </row>
    <row r="5571" spans="13:16">
      <c r="M5571">
        <v>0.28667513047344778</v>
      </c>
      <c r="N5571">
        <v>0.19803299991362766</v>
      </c>
      <c r="O5571">
        <v>0.24660947221311508</v>
      </c>
      <c r="P5571">
        <v>0.26868239739980943</v>
      </c>
    </row>
    <row r="5572" spans="13:16">
      <c r="M5572">
        <v>0.30368162198546261</v>
      </c>
      <c r="N5572">
        <v>0.1801258112281281</v>
      </c>
      <c r="O5572">
        <v>0.25765482680450758</v>
      </c>
      <c r="P5572">
        <v>0.25853773998190177</v>
      </c>
    </row>
    <row r="5573" spans="13:16">
      <c r="M5573">
        <v>0.25287135052032489</v>
      </c>
      <c r="N5573">
        <v>0.20105866574733844</v>
      </c>
      <c r="O5573">
        <v>0.28143495552934178</v>
      </c>
      <c r="P5573">
        <v>0.26463502820299484</v>
      </c>
    </row>
    <row r="5574" spans="13:16">
      <c r="M5574">
        <v>0.27720864359730574</v>
      </c>
      <c r="N5574">
        <v>0.20849469371603793</v>
      </c>
      <c r="O5574">
        <v>0.25469742081572011</v>
      </c>
      <c r="P5574">
        <v>0.2595992418709363</v>
      </c>
    </row>
    <row r="5575" spans="13:16">
      <c r="M5575">
        <v>0.27935914384246435</v>
      </c>
      <c r="N5575">
        <v>0.21764377500627777</v>
      </c>
      <c r="O5575">
        <v>0.22695953160858354</v>
      </c>
      <c r="P5575">
        <v>0.27603754954267423</v>
      </c>
    </row>
    <row r="5576" spans="13:16">
      <c r="M5576">
        <v>0.30719027275800886</v>
      </c>
      <c r="N5576">
        <v>0.17520673405615533</v>
      </c>
      <c r="O5576">
        <v>0.25892154370208037</v>
      </c>
      <c r="P5576">
        <v>0.25868144948375543</v>
      </c>
    </row>
    <row r="5577" spans="13:16">
      <c r="M5577">
        <v>0.32175931331230501</v>
      </c>
      <c r="N5577">
        <v>0.19490477525946656</v>
      </c>
      <c r="O5577">
        <v>0.21040389779194207</v>
      </c>
      <c r="P5577">
        <v>0.27293201363628633</v>
      </c>
    </row>
    <row r="5578" spans="13:16">
      <c r="M5578">
        <v>0.28188968823678762</v>
      </c>
      <c r="N5578">
        <v>0.18578363944552759</v>
      </c>
      <c r="O5578">
        <v>0.24916478805990297</v>
      </c>
      <c r="P5578">
        <v>0.28316188425778188</v>
      </c>
    </row>
    <row r="5579" spans="13:16">
      <c r="M5579">
        <v>0.31009035194282891</v>
      </c>
      <c r="N5579">
        <v>0.17409654769258553</v>
      </c>
      <c r="O5579">
        <v>0.25018256122240512</v>
      </c>
      <c r="P5579">
        <v>0.26563053914218032</v>
      </c>
    </row>
    <row r="5580" spans="13:16">
      <c r="M5580">
        <v>0.28526230910851463</v>
      </c>
      <c r="N5580">
        <v>0.17225421736892155</v>
      </c>
      <c r="O5580">
        <v>0.27552440386832971</v>
      </c>
      <c r="P5580">
        <v>0.26695906965423394</v>
      </c>
    </row>
    <row r="5581" spans="13:16">
      <c r="M5581">
        <v>0.31198266180234396</v>
      </c>
      <c r="N5581">
        <v>0.17665509575252727</v>
      </c>
      <c r="O5581">
        <v>0.23363919818057036</v>
      </c>
      <c r="P5581">
        <v>0.27772304426455835</v>
      </c>
    </row>
    <row r="5582" spans="13:16">
      <c r="M5582">
        <v>0.26254601489770146</v>
      </c>
      <c r="N5582">
        <v>0.20773911239130968</v>
      </c>
      <c r="O5582">
        <v>0.24476523433497824</v>
      </c>
      <c r="P5582">
        <v>0.28494963837601062</v>
      </c>
    </row>
    <row r="5583" spans="13:16">
      <c r="M5583">
        <v>0.27563270214253044</v>
      </c>
      <c r="N5583">
        <v>0.19869794695348175</v>
      </c>
      <c r="O5583">
        <v>0.25110638457765688</v>
      </c>
      <c r="P5583">
        <v>0.27456296632633093</v>
      </c>
    </row>
    <row r="5584" spans="13:16">
      <c r="M5584">
        <v>0.27418883904058888</v>
      </c>
      <c r="N5584">
        <v>0.1924593903128439</v>
      </c>
      <c r="O5584">
        <v>0.2648268760770881</v>
      </c>
      <c r="P5584">
        <v>0.26852489456947909</v>
      </c>
    </row>
    <row r="5585" spans="13:16">
      <c r="M5585">
        <v>0.27224802418273653</v>
      </c>
      <c r="N5585">
        <v>0.20199734834842384</v>
      </c>
      <c r="O5585">
        <v>0.27432075067985462</v>
      </c>
      <c r="P5585">
        <v>0.25143387678898504</v>
      </c>
    </row>
    <row r="5586" spans="13:16">
      <c r="M5586">
        <v>0.33859205498346723</v>
      </c>
      <c r="N5586">
        <v>0.15937316794606698</v>
      </c>
      <c r="O5586">
        <v>0.25479434678031732</v>
      </c>
      <c r="P5586">
        <v>0.24724043029014847</v>
      </c>
    </row>
    <row r="5587" spans="13:16">
      <c r="M5587">
        <v>0.29960591727195734</v>
      </c>
      <c r="N5587">
        <v>0.20540830568049381</v>
      </c>
      <c r="O5587">
        <v>0.2133277240109521</v>
      </c>
      <c r="P5587">
        <v>0.28165805303659669</v>
      </c>
    </row>
    <row r="5588" spans="13:16">
      <c r="M5588">
        <v>0.27944582047456812</v>
      </c>
      <c r="N5588">
        <v>0.1788956019189443</v>
      </c>
      <c r="O5588">
        <v>0.27474495134133642</v>
      </c>
      <c r="P5588">
        <v>0.26691362626515125</v>
      </c>
    </row>
    <row r="5589" spans="13:16">
      <c r="M5589">
        <v>0.29716494172470365</v>
      </c>
      <c r="N5589">
        <v>0.17643741674708824</v>
      </c>
      <c r="O5589">
        <v>0.24308456164821232</v>
      </c>
      <c r="P5589">
        <v>0.28331307987999571</v>
      </c>
    </row>
    <row r="5590" spans="13:16">
      <c r="M5590">
        <v>0.26245966171043866</v>
      </c>
      <c r="N5590">
        <v>0.18526279208118759</v>
      </c>
      <c r="O5590">
        <v>0.27987804059641563</v>
      </c>
      <c r="P5590">
        <v>0.27239950561195808</v>
      </c>
    </row>
    <row r="5591" spans="13:16">
      <c r="M5591">
        <v>0.28456016928589961</v>
      </c>
      <c r="N5591">
        <v>0.19105567790017294</v>
      </c>
      <c r="O5591">
        <v>0.24539412658803897</v>
      </c>
      <c r="P5591">
        <v>0.27899002622588853</v>
      </c>
    </row>
    <row r="5592" spans="13:16">
      <c r="M5592">
        <v>0.32784832597173069</v>
      </c>
      <c r="N5592">
        <v>0.18232893605244813</v>
      </c>
      <c r="O5592">
        <v>0.23084392107084489</v>
      </c>
      <c r="P5592">
        <v>0.25897881690497621</v>
      </c>
    </row>
    <row r="5593" spans="13:16">
      <c r="M5593">
        <v>0.29266410954625527</v>
      </c>
      <c r="N5593">
        <v>0.1867027643809798</v>
      </c>
      <c r="O5593">
        <v>0.26370537248042619</v>
      </c>
      <c r="P5593">
        <v>0.25692775359233877</v>
      </c>
    </row>
    <row r="5594" spans="13:16">
      <c r="M5594">
        <v>0.30986692225798235</v>
      </c>
      <c r="N5594">
        <v>0.18064186567507892</v>
      </c>
      <c r="O5594">
        <v>0.24600546900510029</v>
      </c>
      <c r="P5594">
        <v>0.26348574306183842</v>
      </c>
    </row>
    <row r="5595" spans="13:16">
      <c r="M5595">
        <v>0.3042648886824027</v>
      </c>
      <c r="N5595">
        <v>0.2041211104506713</v>
      </c>
      <c r="O5595">
        <v>0.23238509096067556</v>
      </c>
      <c r="P5595">
        <v>0.2592289099062503</v>
      </c>
    </row>
    <row r="5596" spans="13:16">
      <c r="M5596">
        <v>0.30185512595123659</v>
      </c>
      <c r="N5596">
        <v>0.17948070270582644</v>
      </c>
      <c r="O5596">
        <v>0.26187761871299026</v>
      </c>
      <c r="P5596">
        <v>0.25678655262994676</v>
      </c>
    </row>
    <row r="5597" spans="13:16">
      <c r="M5597">
        <v>0.3035355598462009</v>
      </c>
      <c r="N5597">
        <v>0.19809690053815057</v>
      </c>
      <c r="O5597">
        <v>0.2287390459133066</v>
      </c>
      <c r="P5597">
        <v>0.26962849370234188</v>
      </c>
    </row>
    <row r="5598" spans="13:16">
      <c r="M5598">
        <v>0.2864095827494631</v>
      </c>
      <c r="N5598">
        <v>0.17832949505670384</v>
      </c>
      <c r="O5598">
        <v>0.26618095860362789</v>
      </c>
      <c r="P5598">
        <v>0.26907996359020508</v>
      </c>
    </row>
    <row r="5599" spans="13:16">
      <c r="M5599">
        <v>0.32209181978327439</v>
      </c>
      <c r="N5599">
        <v>0.18683740238948909</v>
      </c>
      <c r="O5599">
        <v>0.21779183868541252</v>
      </c>
      <c r="P5599">
        <v>0.27327893914182394</v>
      </c>
    </row>
    <row r="5600" spans="13:16">
      <c r="M5600">
        <v>0.28367615439671423</v>
      </c>
      <c r="N5600">
        <v>0.18715450462662228</v>
      </c>
      <c r="O5600">
        <v>0.27191090478269475</v>
      </c>
      <c r="P5600">
        <v>0.25725843619396871</v>
      </c>
    </row>
    <row r="5601" spans="13:16">
      <c r="M5601">
        <v>0.30431289418686913</v>
      </c>
      <c r="N5601">
        <v>0.15821232324597759</v>
      </c>
      <c r="O5601">
        <v>0.29197996447585617</v>
      </c>
      <c r="P5601">
        <v>0.2454948180912972</v>
      </c>
    </row>
    <row r="5602" spans="13:16">
      <c r="M5602">
        <v>0.27470647825325833</v>
      </c>
      <c r="N5602">
        <v>0.19003929046437945</v>
      </c>
      <c r="O5602">
        <v>0.2667421508627919</v>
      </c>
      <c r="P5602">
        <v>0.26851208041957042</v>
      </c>
    </row>
    <row r="5603" spans="13:16">
      <c r="M5603">
        <v>0.27932707640807197</v>
      </c>
      <c r="N5603">
        <v>0.17558121553537914</v>
      </c>
      <c r="O5603">
        <v>0.28064779983254307</v>
      </c>
      <c r="P5603">
        <v>0.26444390822400582</v>
      </c>
    </row>
    <row r="5604" spans="13:16">
      <c r="M5604">
        <v>0.29697513221366778</v>
      </c>
      <c r="N5604">
        <v>0.2044209248357037</v>
      </c>
      <c r="O5604">
        <v>0.23698196337418218</v>
      </c>
      <c r="P5604">
        <v>0.26162197957644617</v>
      </c>
    </row>
    <row r="5605" spans="13:16">
      <c r="M5605">
        <v>0.26057409658631869</v>
      </c>
      <c r="N5605">
        <v>0.20276631254512603</v>
      </c>
      <c r="O5605">
        <v>0.27296053701035211</v>
      </c>
      <c r="P5605">
        <v>0.26369905385820314</v>
      </c>
    </row>
    <row r="5606" spans="13:16">
      <c r="M5606">
        <v>0.31496650790306641</v>
      </c>
      <c r="N5606">
        <v>0.17738202540556694</v>
      </c>
      <c r="O5606">
        <v>0.25002063499048754</v>
      </c>
      <c r="P5606">
        <v>0.25763083170087919</v>
      </c>
    </row>
    <row r="5607" spans="13:16">
      <c r="M5607">
        <v>0.29262383579942991</v>
      </c>
      <c r="N5607">
        <v>0.17671190301890091</v>
      </c>
      <c r="O5607">
        <v>0.2788725274840555</v>
      </c>
      <c r="P5607">
        <v>0.25179173369761371</v>
      </c>
    </row>
    <row r="5608" spans="13:16">
      <c r="M5608">
        <v>0.29442282528726421</v>
      </c>
      <c r="N5608">
        <v>0.19231308801677893</v>
      </c>
      <c r="O5608">
        <v>0.24216632150854475</v>
      </c>
      <c r="P5608">
        <v>0.27109776518741208</v>
      </c>
    </row>
    <row r="5609" spans="13:16">
      <c r="M5609">
        <v>0.27438970245426875</v>
      </c>
      <c r="N5609">
        <v>0.18843242584364464</v>
      </c>
      <c r="O5609">
        <v>0.27706893119828835</v>
      </c>
      <c r="P5609">
        <v>0.26010894050379824</v>
      </c>
    </row>
    <row r="5610" spans="13:16">
      <c r="M5610">
        <v>0.29144489970501758</v>
      </c>
      <c r="N5610">
        <v>0.17922276045108962</v>
      </c>
      <c r="O5610">
        <v>0.25752281330853166</v>
      </c>
      <c r="P5610">
        <v>0.27180952653536111</v>
      </c>
    </row>
    <row r="5611" spans="13:16">
      <c r="M5611">
        <v>0.28676577979133056</v>
      </c>
      <c r="N5611">
        <v>0.18512125797824874</v>
      </c>
      <c r="O5611">
        <v>0.24445272686338651</v>
      </c>
      <c r="P5611">
        <v>0.28366023536703427</v>
      </c>
    </row>
    <row r="5612" spans="13:16">
      <c r="M5612">
        <v>0.27488136275587544</v>
      </c>
      <c r="N5612">
        <v>0.18407878018638921</v>
      </c>
      <c r="O5612">
        <v>0.27949612822223513</v>
      </c>
      <c r="P5612">
        <v>0.26154372883550009</v>
      </c>
    </row>
    <row r="5613" spans="13:16">
      <c r="M5613">
        <v>0.27568149221644356</v>
      </c>
      <c r="N5613">
        <v>0.20310587728123466</v>
      </c>
      <c r="O5613">
        <v>0.25159001500786404</v>
      </c>
      <c r="P5613">
        <v>0.2696226154944576</v>
      </c>
    </row>
    <row r="5614" spans="13:16">
      <c r="M5614">
        <v>0.30069927507236144</v>
      </c>
      <c r="N5614">
        <v>0.17773888395302462</v>
      </c>
      <c r="O5614">
        <v>0.24615759130432027</v>
      </c>
      <c r="P5614">
        <v>0.2754042496702937</v>
      </c>
    </row>
    <row r="5615" spans="13:16">
      <c r="M5615">
        <v>0.30269624148177038</v>
      </c>
      <c r="N5615">
        <v>0.18093172905718402</v>
      </c>
      <c r="O5615">
        <v>0.25795578839160627</v>
      </c>
      <c r="P5615">
        <v>0.25841624106943933</v>
      </c>
    </row>
    <row r="5616" spans="13:16">
      <c r="M5616">
        <v>0.30890590636143656</v>
      </c>
      <c r="N5616">
        <v>0.18257931900982163</v>
      </c>
      <c r="O5616">
        <v>0.24737335568974378</v>
      </c>
      <c r="P5616">
        <v>0.26114141893899784</v>
      </c>
    </row>
    <row r="5617" spans="13:16">
      <c r="M5617">
        <v>0.27215801626019059</v>
      </c>
      <c r="N5617">
        <v>0.199534235847767</v>
      </c>
      <c r="O5617">
        <v>0.25584985472361776</v>
      </c>
      <c r="P5617">
        <v>0.27245789316842473</v>
      </c>
    </row>
    <row r="5618" spans="13:16">
      <c r="M5618">
        <v>0.2779089642439927</v>
      </c>
      <c r="N5618">
        <v>0.18746895345457304</v>
      </c>
      <c r="O5618">
        <v>0.2769914420420897</v>
      </c>
      <c r="P5618">
        <v>0.2576306402593444</v>
      </c>
    </row>
    <row r="5619" spans="13:16">
      <c r="M5619">
        <v>0.2873150108657499</v>
      </c>
      <c r="N5619">
        <v>0.18537043349129925</v>
      </c>
      <c r="O5619">
        <v>0.27015990367491255</v>
      </c>
      <c r="P5619">
        <v>0.25715465196803838</v>
      </c>
    </row>
    <row r="5620" spans="13:16">
      <c r="M5620">
        <v>0.31252905228918576</v>
      </c>
      <c r="N5620">
        <v>0.1754739751620259</v>
      </c>
      <c r="O5620">
        <v>0.2572069168089508</v>
      </c>
      <c r="P5620">
        <v>0.25479005573983754</v>
      </c>
    </row>
    <row r="5621" spans="13:16">
      <c r="M5621">
        <v>0.30141542933330556</v>
      </c>
      <c r="N5621">
        <v>0.19711745065503231</v>
      </c>
      <c r="O5621">
        <v>0.2348854551774249</v>
      </c>
      <c r="P5621">
        <v>0.26658166483423723</v>
      </c>
    </row>
    <row r="5622" spans="13:16">
      <c r="M5622">
        <v>0.30360768033352792</v>
      </c>
      <c r="N5622">
        <v>0.18594702275126432</v>
      </c>
      <c r="O5622">
        <v>0.23215394826454658</v>
      </c>
      <c r="P5622">
        <v>0.27829134865066113</v>
      </c>
    </row>
    <row r="5623" spans="13:16">
      <c r="M5623">
        <v>0.28083405377927517</v>
      </c>
      <c r="N5623">
        <v>0.19022573415579241</v>
      </c>
      <c r="O5623">
        <v>0.26219930351590232</v>
      </c>
      <c r="P5623">
        <v>0.26674090854903015</v>
      </c>
    </row>
    <row r="5624" spans="13:16">
      <c r="M5624">
        <v>0.29861839260755291</v>
      </c>
      <c r="N5624">
        <v>0.16960770525106833</v>
      </c>
      <c r="O5624">
        <v>0.27683530901714914</v>
      </c>
      <c r="P5624">
        <v>0.25493859312422951</v>
      </c>
    </row>
    <row r="5625" spans="13:16">
      <c r="M5625">
        <v>0.30429855402281081</v>
      </c>
      <c r="N5625">
        <v>0.16783013614375095</v>
      </c>
      <c r="O5625">
        <v>0.27413972590474289</v>
      </c>
      <c r="P5625">
        <v>0.25373158392869527</v>
      </c>
    </row>
    <row r="5626" spans="13:16">
      <c r="M5626">
        <v>0.31073448878483828</v>
      </c>
      <c r="N5626">
        <v>0.16390130179041426</v>
      </c>
      <c r="O5626">
        <v>0.27666599728244795</v>
      </c>
      <c r="P5626">
        <v>0.24869821214229948</v>
      </c>
    </row>
    <row r="5627" spans="13:16">
      <c r="M5627">
        <v>0.28629651067012851</v>
      </c>
      <c r="N5627">
        <v>0.17904218760116303</v>
      </c>
      <c r="O5627">
        <v>0.27550416128367822</v>
      </c>
      <c r="P5627">
        <v>0.2591571404450303</v>
      </c>
    </row>
    <row r="5628" spans="13:16">
      <c r="M5628">
        <v>0.30000320631607341</v>
      </c>
      <c r="N5628">
        <v>0.17550147048772977</v>
      </c>
      <c r="O5628">
        <v>0.26849360237090936</v>
      </c>
      <c r="P5628">
        <v>0.25600172082528744</v>
      </c>
    </row>
    <row r="5629" spans="13:16">
      <c r="M5629">
        <v>0.30222875982375075</v>
      </c>
      <c r="N5629">
        <v>0.17861534458731659</v>
      </c>
      <c r="O5629">
        <v>0.27034534333286536</v>
      </c>
      <c r="P5629">
        <v>0.24881055225606727</v>
      </c>
    </row>
    <row r="5630" spans="13:16">
      <c r="M5630">
        <v>0.286304772646298</v>
      </c>
      <c r="N5630">
        <v>0.17812775690930194</v>
      </c>
      <c r="O5630">
        <v>0.27676122521089691</v>
      </c>
      <c r="P5630">
        <v>0.25880624523350321</v>
      </c>
    </row>
    <row r="5631" spans="13:16">
      <c r="M5631">
        <v>0.29368096279012595</v>
      </c>
      <c r="N5631">
        <v>0.20045709441094994</v>
      </c>
      <c r="O5631">
        <v>0.2465710143268515</v>
      </c>
      <c r="P5631">
        <v>0.25929092847207269</v>
      </c>
    </row>
    <row r="5632" spans="13:16">
      <c r="M5632">
        <v>0.31831252215596156</v>
      </c>
      <c r="N5632">
        <v>0.18735419254380412</v>
      </c>
      <c r="O5632">
        <v>0.22355295427993305</v>
      </c>
      <c r="P5632">
        <v>0.27078033102030119</v>
      </c>
    </row>
    <row r="5633" spans="13:16">
      <c r="M5633">
        <v>0.30113710058561577</v>
      </c>
      <c r="N5633">
        <v>0.18515261408969483</v>
      </c>
      <c r="O5633">
        <v>0.27442868552495753</v>
      </c>
      <c r="P5633">
        <v>0.23928159979973199</v>
      </c>
    </row>
    <row r="5634" spans="13:16">
      <c r="M5634">
        <v>0.28039467828112719</v>
      </c>
      <c r="N5634">
        <v>0.19078218000574323</v>
      </c>
      <c r="O5634">
        <v>0.26165034989495095</v>
      </c>
      <c r="P5634">
        <v>0.26717279181817871</v>
      </c>
    </row>
    <row r="5635" spans="13:16">
      <c r="M5635">
        <v>0.27395492019639983</v>
      </c>
      <c r="N5635">
        <v>0.19454369042308664</v>
      </c>
      <c r="O5635">
        <v>0.25655171451499104</v>
      </c>
      <c r="P5635">
        <v>0.27494967486552246</v>
      </c>
    </row>
    <row r="5636" spans="13:16">
      <c r="M5636">
        <v>0.29858956509223461</v>
      </c>
      <c r="N5636">
        <v>0.19458674475251003</v>
      </c>
      <c r="O5636">
        <v>0.25170212369265899</v>
      </c>
      <c r="P5636">
        <v>0.25512156646259626</v>
      </c>
    </row>
    <row r="5637" spans="13:16">
      <c r="M5637">
        <v>0.27666731272774964</v>
      </c>
      <c r="N5637">
        <v>0.18903847231453974</v>
      </c>
      <c r="O5637">
        <v>0.27420843749734208</v>
      </c>
      <c r="P5637">
        <v>0.26008577746036848</v>
      </c>
    </row>
    <row r="5638" spans="13:16">
      <c r="M5638">
        <v>0.30504653485932304</v>
      </c>
      <c r="N5638">
        <v>0.19349515640103992</v>
      </c>
      <c r="O5638">
        <v>0.22695011387521447</v>
      </c>
      <c r="P5638">
        <v>0.27450819486442246</v>
      </c>
    </row>
    <row r="5639" spans="13:16">
      <c r="M5639">
        <v>0.2793016702956827</v>
      </c>
      <c r="N5639">
        <v>0.19103549269779976</v>
      </c>
      <c r="O5639">
        <v>0.26291330062099361</v>
      </c>
      <c r="P5639">
        <v>0.26674953638552401</v>
      </c>
    </row>
    <row r="5640" spans="13:16">
      <c r="M5640">
        <v>0.30247573805069639</v>
      </c>
      <c r="N5640">
        <v>0.18044340163848352</v>
      </c>
      <c r="O5640">
        <v>0.2436844052631377</v>
      </c>
      <c r="P5640">
        <v>0.27339645504768234</v>
      </c>
    </row>
    <row r="5641" spans="13:16">
      <c r="M5641">
        <v>0.30344171819265503</v>
      </c>
      <c r="N5641">
        <v>0.19343148393135073</v>
      </c>
      <c r="O5641">
        <v>0.23378225936873634</v>
      </c>
      <c r="P5641">
        <v>0.26934453850725792</v>
      </c>
    </row>
    <row r="5642" spans="13:16">
      <c r="M5642">
        <v>0.28566498417591818</v>
      </c>
      <c r="N5642">
        <v>0.19014392171462416</v>
      </c>
      <c r="O5642">
        <v>0.25580314582706926</v>
      </c>
      <c r="P5642">
        <v>0.26838794828238843</v>
      </c>
    </row>
    <row r="5643" spans="13:16">
      <c r="M5643">
        <v>0.30863367066453035</v>
      </c>
      <c r="N5643">
        <v>0.18803777080916276</v>
      </c>
      <c r="O5643">
        <v>0.23029294492493402</v>
      </c>
      <c r="P5643">
        <v>0.27303561360137285</v>
      </c>
    </row>
    <row r="5644" spans="13:16">
      <c r="M5644">
        <v>0.2608988341549256</v>
      </c>
      <c r="N5644">
        <v>0.19869389063391232</v>
      </c>
      <c r="O5644">
        <v>0.28337493553144416</v>
      </c>
      <c r="P5644">
        <v>0.257032339679718</v>
      </c>
    </row>
    <row r="5645" spans="13:16">
      <c r="M5645">
        <v>0.30790524063687325</v>
      </c>
      <c r="N5645">
        <v>0.18054918260901634</v>
      </c>
      <c r="O5645">
        <v>0.25682548919666848</v>
      </c>
      <c r="P5645">
        <v>0.25472008755744191</v>
      </c>
    </row>
    <row r="5646" spans="13:16">
      <c r="M5646">
        <v>0.29147680373242907</v>
      </c>
      <c r="N5646">
        <v>0.2012790518575289</v>
      </c>
      <c r="O5646">
        <v>0.23948648331612568</v>
      </c>
      <c r="P5646">
        <v>0.26775766109391635</v>
      </c>
    </row>
    <row r="5647" spans="13:16">
      <c r="M5647">
        <v>0.27376045124893006</v>
      </c>
      <c r="N5647">
        <v>0.19586672629536075</v>
      </c>
      <c r="O5647">
        <v>0.26347055574668909</v>
      </c>
      <c r="P5647">
        <v>0.26690226670902012</v>
      </c>
    </row>
    <row r="5648" spans="13:16">
      <c r="M5648">
        <v>0.28483489343521717</v>
      </c>
      <c r="N5648">
        <v>0.2012714734466064</v>
      </c>
      <c r="O5648">
        <v>0.23047100001387061</v>
      </c>
      <c r="P5648">
        <v>0.28342263310430588</v>
      </c>
    </row>
    <row r="5649" spans="13:16">
      <c r="M5649">
        <v>0.30504590873460197</v>
      </c>
      <c r="N5649">
        <v>0.17288370566545336</v>
      </c>
      <c r="O5649">
        <v>0.25718138042359451</v>
      </c>
      <c r="P5649">
        <v>0.26488900517635006</v>
      </c>
    </row>
    <row r="5650" spans="13:16">
      <c r="M5650">
        <v>0.30730895111740925</v>
      </c>
      <c r="N5650">
        <v>0.18379388089051657</v>
      </c>
      <c r="O5650">
        <v>0.25715276569078244</v>
      </c>
      <c r="P5650">
        <v>0.25174440230129191</v>
      </c>
    </row>
    <row r="5651" spans="13:16">
      <c r="M5651">
        <v>0.29695036158930554</v>
      </c>
      <c r="N5651">
        <v>0.20162323242331942</v>
      </c>
      <c r="O5651">
        <v>0.24051216438929135</v>
      </c>
      <c r="P5651">
        <v>0.26091424159808368</v>
      </c>
    </row>
    <row r="5652" spans="13:16">
      <c r="M5652">
        <v>0.29270719420495073</v>
      </c>
      <c r="N5652">
        <v>0.19481357175099306</v>
      </c>
      <c r="O5652">
        <v>0.25768515115880297</v>
      </c>
      <c r="P5652">
        <v>0.25479408288525318</v>
      </c>
    </row>
    <row r="5653" spans="13:16">
      <c r="M5653">
        <v>0.27406293628211953</v>
      </c>
      <c r="N5653">
        <v>0.17649962927982171</v>
      </c>
      <c r="O5653">
        <v>0.28457328738104737</v>
      </c>
      <c r="P5653">
        <v>0.26486414705701128</v>
      </c>
    </row>
    <row r="5654" spans="13:16">
      <c r="M5654">
        <v>0.27579124894761076</v>
      </c>
      <c r="N5654">
        <v>0.20014053447069613</v>
      </c>
      <c r="O5654">
        <v>0.26429338531998242</v>
      </c>
      <c r="P5654">
        <v>0.25977483126171064</v>
      </c>
    </row>
    <row r="5655" spans="13:16">
      <c r="M5655">
        <v>0.27547272635425202</v>
      </c>
      <c r="N5655">
        <v>0.18947524676763816</v>
      </c>
      <c r="O5655">
        <v>0.27396401634555234</v>
      </c>
      <c r="P5655">
        <v>0.26108801053255748</v>
      </c>
    </row>
    <row r="5656" spans="13:16">
      <c r="M5656">
        <v>0.30019147242972044</v>
      </c>
      <c r="N5656">
        <v>0.18944974343940443</v>
      </c>
      <c r="O5656">
        <v>0.22382083532885211</v>
      </c>
      <c r="P5656">
        <v>0.28653794880202305</v>
      </c>
    </row>
    <row r="5657" spans="13:16">
      <c r="M5657">
        <v>0.26976531176308116</v>
      </c>
      <c r="N5657">
        <v>0.18465951910021819</v>
      </c>
      <c r="O5657">
        <v>0.2959413378683024</v>
      </c>
      <c r="P5657">
        <v>0.24963383126839828</v>
      </c>
    </row>
    <row r="5658" spans="13:16">
      <c r="M5658">
        <v>0.30727657405670411</v>
      </c>
      <c r="N5658">
        <v>0.17659284529992719</v>
      </c>
      <c r="O5658">
        <v>0.26866028346004689</v>
      </c>
      <c r="P5658">
        <v>0.24747029718332175</v>
      </c>
    </row>
    <row r="5659" spans="13:16">
      <c r="M5659">
        <v>0.30427581284690131</v>
      </c>
      <c r="N5659">
        <v>0.193908739589186</v>
      </c>
      <c r="O5659">
        <v>0.23427389350581404</v>
      </c>
      <c r="P5659">
        <v>0.2675415540580986</v>
      </c>
    </row>
    <row r="5660" spans="13:16">
      <c r="M5660">
        <v>0.2821815956755005</v>
      </c>
      <c r="N5660">
        <v>0.18304641970636329</v>
      </c>
      <c r="O5660">
        <v>0.29041757441577437</v>
      </c>
      <c r="P5660">
        <v>0.24435441020236182</v>
      </c>
    </row>
    <row r="5661" spans="13:16">
      <c r="M5661">
        <v>0.27163724371412395</v>
      </c>
      <c r="N5661">
        <v>0.1846524270524563</v>
      </c>
      <c r="O5661">
        <v>0.28909048716678493</v>
      </c>
      <c r="P5661">
        <v>0.25461984206663463</v>
      </c>
    </row>
    <row r="5662" spans="13:16">
      <c r="M5662">
        <v>0.31068759659678385</v>
      </c>
      <c r="N5662">
        <v>0.18630938970422287</v>
      </c>
      <c r="O5662">
        <v>0.24142098356203248</v>
      </c>
      <c r="P5662">
        <v>0.26158203013696085</v>
      </c>
    </row>
    <row r="5663" spans="13:16">
      <c r="M5663">
        <v>0.30513478795342092</v>
      </c>
      <c r="N5663">
        <v>0.18189838712178649</v>
      </c>
      <c r="O5663">
        <v>0.26729402799191537</v>
      </c>
      <c r="P5663">
        <v>0.24567279693287722</v>
      </c>
    </row>
    <row r="5664" spans="13:16">
      <c r="M5664">
        <v>0.28661614723713563</v>
      </c>
      <c r="N5664">
        <v>0.18713763465043171</v>
      </c>
      <c r="O5664">
        <v>0.27098184100822714</v>
      </c>
      <c r="P5664">
        <v>0.25526437710420552</v>
      </c>
    </row>
    <row r="5665" spans="13:16">
      <c r="M5665">
        <v>0.29282468258647643</v>
      </c>
      <c r="N5665">
        <v>0.17166131261122589</v>
      </c>
      <c r="O5665">
        <v>0.26977036925039971</v>
      </c>
      <c r="P5665">
        <v>0.26574363555189795</v>
      </c>
    </row>
    <row r="5666" spans="13:16">
      <c r="M5666">
        <v>0.31753128231312489</v>
      </c>
      <c r="N5666">
        <v>0.18670984988543798</v>
      </c>
      <c r="O5666">
        <v>0.21817319724409839</v>
      </c>
      <c r="P5666">
        <v>0.27758567055733879</v>
      </c>
    </row>
    <row r="5667" spans="13:16">
      <c r="M5667">
        <v>0.2854280681152187</v>
      </c>
      <c r="N5667">
        <v>0.19986466522752305</v>
      </c>
      <c r="O5667">
        <v>0.26101660537970822</v>
      </c>
      <c r="P5667">
        <v>0.25369066127754991</v>
      </c>
    </row>
    <row r="5668" spans="13:16">
      <c r="M5668">
        <v>0.30761771777687558</v>
      </c>
      <c r="N5668">
        <v>0.17696705161155485</v>
      </c>
      <c r="O5668">
        <v>0.23408656547947368</v>
      </c>
      <c r="P5668">
        <v>0.28132866513209587</v>
      </c>
    </row>
    <row r="5669" spans="13:16">
      <c r="M5669">
        <v>0.26216707651248428</v>
      </c>
      <c r="N5669">
        <v>0.19251006248653268</v>
      </c>
      <c r="O5669">
        <v>0.28304387405080156</v>
      </c>
      <c r="P5669">
        <v>0.26227898695018148</v>
      </c>
    </row>
    <row r="5670" spans="13:16">
      <c r="M5670">
        <v>0.29576305133929082</v>
      </c>
      <c r="N5670">
        <v>0.1765835580027347</v>
      </c>
      <c r="O5670">
        <v>0.26207178184635993</v>
      </c>
      <c r="P5670">
        <v>0.26558160881161452</v>
      </c>
    </row>
    <row r="5671" spans="13:16">
      <c r="M5671">
        <v>0.28526837751237649</v>
      </c>
      <c r="N5671">
        <v>0.17939589154991334</v>
      </c>
      <c r="O5671">
        <v>0.29141723886186316</v>
      </c>
      <c r="P5671">
        <v>0.2439184920758469</v>
      </c>
    </row>
    <row r="5672" spans="13:16">
      <c r="M5672">
        <v>0.25585800860777042</v>
      </c>
      <c r="N5672">
        <v>0.20603903279145219</v>
      </c>
      <c r="O5672">
        <v>0.27794437311194253</v>
      </c>
      <c r="P5672">
        <v>0.26015858548883491</v>
      </c>
    </row>
    <row r="5673" spans="13:16">
      <c r="M5673">
        <v>0.31868712190270354</v>
      </c>
      <c r="N5673">
        <v>0.17050600386313247</v>
      </c>
      <c r="O5673">
        <v>0.25924011437443839</v>
      </c>
      <c r="P5673">
        <v>0.25156675985972565</v>
      </c>
    </row>
    <row r="5674" spans="13:16">
      <c r="M5674">
        <v>0.29518840456305656</v>
      </c>
      <c r="N5674">
        <v>0.17524293652583472</v>
      </c>
      <c r="O5674">
        <v>0.25586944588012489</v>
      </c>
      <c r="P5674">
        <v>0.27369921303098377</v>
      </c>
    </row>
    <row r="5675" spans="13:16">
      <c r="M5675">
        <v>0.26736466877704468</v>
      </c>
      <c r="N5675">
        <v>0.21138812578418056</v>
      </c>
      <c r="O5675">
        <v>0.25585753798706179</v>
      </c>
      <c r="P5675">
        <v>0.265389667451713</v>
      </c>
    </row>
    <row r="5676" spans="13:16">
      <c r="M5676">
        <v>0.29739028496447739</v>
      </c>
      <c r="N5676">
        <v>0.17485834587597215</v>
      </c>
      <c r="O5676">
        <v>0.25883403309806574</v>
      </c>
      <c r="P5676">
        <v>0.26891733606148471</v>
      </c>
    </row>
    <row r="5677" spans="13:16">
      <c r="M5677">
        <v>0.28176002709991993</v>
      </c>
      <c r="N5677">
        <v>0.18456020187803482</v>
      </c>
      <c r="O5677">
        <v>0.25529811550924419</v>
      </c>
      <c r="P5677">
        <v>0.27838165551280109</v>
      </c>
    </row>
    <row r="5678" spans="13:16">
      <c r="M5678">
        <v>0.297661691710979</v>
      </c>
      <c r="N5678">
        <v>0.18449673744549175</v>
      </c>
      <c r="O5678">
        <v>0.25985425921459698</v>
      </c>
      <c r="P5678">
        <v>0.25798731162893229</v>
      </c>
    </row>
    <row r="5679" spans="13:16">
      <c r="M5679">
        <v>0.26965575023536681</v>
      </c>
      <c r="N5679">
        <v>0.19385241958996416</v>
      </c>
      <c r="O5679">
        <v>0.27001528013642118</v>
      </c>
      <c r="P5679">
        <v>0.26647655003824788</v>
      </c>
    </row>
    <row r="5680" spans="13:16">
      <c r="M5680">
        <v>0.26836851326019895</v>
      </c>
      <c r="N5680">
        <v>0.18930367410554064</v>
      </c>
      <c r="O5680">
        <v>0.27230121955558445</v>
      </c>
      <c r="P5680">
        <v>0.27002659307867594</v>
      </c>
    </row>
    <row r="5681" spans="13:16">
      <c r="M5681">
        <v>0.27904534286694754</v>
      </c>
      <c r="N5681">
        <v>0.20178067729106591</v>
      </c>
      <c r="O5681">
        <v>0.25113705777265372</v>
      </c>
      <c r="P5681">
        <v>0.26803692206933283</v>
      </c>
    </row>
    <row r="5682" spans="13:16">
      <c r="M5682">
        <v>0.29258130073184846</v>
      </c>
      <c r="N5682">
        <v>0.19372943810505208</v>
      </c>
      <c r="O5682">
        <v>0.23989833941127744</v>
      </c>
      <c r="P5682">
        <v>0.27379092175182196</v>
      </c>
    </row>
    <row r="5683" spans="13:16">
      <c r="M5683">
        <v>0.30708237581214043</v>
      </c>
      <c r="N5683">
        <v>0.17151852802435227</v>
      </c>
      <c r="O5683">
        <v>0.27062580598272851</v>
      </c>
      <c r="P5683">
        <v>0.25077329018077893</v>
      </c>
    </row>
    <row r="5684" spans="13:16">
      <c r="M5684">
        <v>0.28179876494139888</v>
      </c>
      <c r="N5684">
        <v>0.1877698132287155</v>
      </c>
      <c r="O5684">
        <v>0.26780512885408603</v>
      </c>
      <c r="P5684">
        <v>0.26262629297579965</v>
      </c>
    </row>
    <row r="5685" spans="13:16">
      <c r="M5685">
        <v>0.28076330711441799</v>
      </c>
      <c r="N5685">
        <v>0.19143587769871195</v>
      </c>
      <c r="O5685">
        <v>0.2753109952023941</v>
      </c>
      <c r="P5685">
        <v>0.25248981998447578</v>
      </c>
    </row>
    <row r="5686" spans="13:16">
      <c r="M5686">
        <v>0.32096311578637388</v>
      </c>
      <c r="N5686">
        <v>0.17555269103795929</v>
      </c>
      <c r="O5686">
        <v>0.24478674244646004</v>
      </c>
      <c r="P5686">
        <v>0.25869745072920663</v>
      </c>
    </row>
    <row r="5687" spans="13:16">
      <c r="M5687">
        <v>0.29313245048643521</v>
      </c>
      <c r="N5687">
        <v>0.19229296566293447</v>
      </c>
      <c r="O5687">
        <v>0.25774826898059916</v>
      </c>
      <c r="P5687">
        <v>0.25682631487003121</v>
      </c>
    </row>
    <row r="5688" spans="13:16">
      <c r="M5688">
        <v>0.33374423009371068</v>
      </c>
      <c r="N5688">
        <v>0.17678374458593019</v>
      </c>
      <c r="O5688">
        <v>0.24419430344070922</v>
      </c>
      <c r="P5688">
        <v>0.24527772187964988</v>
      </c>
    </row>
    <row r="5689" spans="13:16">
      <c r="M5689">
        <v>0.31148389925644721</v>
      </c>
      <c r="N5689">
        <v>0.17709939769213481</v>
      </c>
      <c r="O5689">
        <v>0.23303749312716063</v>
      </c>
      <c r="P5689">
        <v>0.27837920992425741</v>
      </c>
    </row>
    <row r="5690" spans="13:16">
      <c r="M5690">
        <v>0.27105216458341147</v>
      </c>
      <c r="N5690">
        <v>0.18212487820969575</v>
      </c>
      <c r="O5690">
        <v>0.28588489908171516</v>
      </c>
      <c r="P5690">
        <v>0.26093805812517773</v>
      </c>
    </row>
    <row r="5691" spans="13:16">
      <c r="M5691">
        <v>0.30063497187958732</v>
      </c>
      <c r="N5691">
        <v>0.17565741755685987</v>
      </c>
      <c r="O5691">
        <v>0.26598193132602221</v>
      </c>
      <c r="P5691">
        <v>0.25772567923753059</v>
      </c>
    </row>
    <row r="5692" spans="13:16">
      <c r="M5692">
        <v>0.28252850450638933</v>
      </c>
      <c r="N5692">
        <v>0.18768986119956238</v>
      </c>
      <c r="O5692">
        <v>0.25793794314988766</v>
      </c>
      <c r="P5692">
        <v>0.27184369114416068</v>
      </c>
    </row>
    <row r="5693" spans="13:16">
      <c r="M5693">
        <v>0.30868409399961744</v>
      </c>
      <c r="N5693">
        <v>0.19725984038729891</v>
      </c>
      <c r="O5693">
        <v>0.21118311465953946</v>
      </c>
      <c r="P5693">
        <v>0.2828729509535442</v>
      </c>
    </row>
    <row r="5694" spans="13:16">
      <c r="M5694">
        <v>0.30058900165149399</v>
      </c>
      <c r="N5694">
        <v>0.16539243455923203</v>
      </c>
      <c r="O5694">
        <v>0.28300799879950589</v>
      </c>
      <c r="P5694">
        <v>0.25101056498976809</v>
      </c>
    </row>
    <row r="5695" spans="13:16">
      <c r="M5695">
        <v>0.2854326903896327</v>
      </c>
      <c r="N5695">
        <v>0.19062019638176891</v>
      </c>
      <c r="O5695">
        <v>0.27309072240192528</v>
      </c>
      <c r="P5695">
        <v>0.25085639082667327</v>
      </c>
    </row>
    <row r="5696" spans="13:16">
      <c r="M5696">
        <v>0.28273358515353253</v>
      </c>
      <c r="N5696">
        <v>0.19295991097357706</v>
      </c>
      <c r="O5696">
        <v>0.26562831451714719</v>
      </c>
      <c r="P5696">
        <v>0.25867818935574322</v>
      </c>
    </row>
    <row r="5697" spans="13:16">
      <c r="M5697">
        <v>0.29977988121424659</v>
      </c>
      <c r="N5697">
        <v>0.19412469715603539</v>
      </c>
      <c r="O5697">
        <v>0.2172255962706397</v>
      </c>
      <c r="P5697">
        <v>0.2888698253590784</v>
      </c>
    </row>
    <row r="5698" spans="13:16">
      <c r="M5698">
        <v>0.31169834311644368</v>
      </c>
      <c r="N5698">
        <v>0.17941678042177128</v>
      </c>
      <c r="O5698">
        <v>0.2496107532198259</v>
      </c>
      <c r="P5698">
        <v>0.2592741232419592</v>
      </c>
    </row>
    <row r="5699" spans="13:16">
      <c r="M5699">
        <v>0.29607017688966247</v>
      </c>
      <c r="N5699">
        <v>0.18586250880469785</v>
      </c>
      <c r="O5699">
        <v>0.26864785548175391</v>
      </c>
      <c r="P5699">
        <v>0.24941945882388591</v>
      </c>
    </row>
    <row r="5700" spans="13:16">
      <c r="M5700">
        <v>0.26663499190686135</v>
      </c>
      <c r="N5700">
        <v>0.18876365022196753</v>
      </c>
      <c r="O5700">
        <v>0.28395538074968091</v>
      </c>
      <c r="P5700">
        <v>0.26064597712149024</v>
      </c>
    </row>
    <row r="5701" spans="13:16">
      <c r="M5701">
        <v>0.29660331608384916</v>
      </c>
      <c r="N5701">
        <v>0.17812128182544393</v>
      </c>
      <c r="O5701">
        <v>0.24144515825446203</v>
      </c>
      <c r="P5701">
        <v>0.28383024383624494</v>
      </c>
    </row>
    <row r="5702" spans="13:16">
      <c r="M5702">
        <v>0.29972269112944749</v>
      </c>
      <c r="N5702">
        <v>0.18319298187796257</v>
      </c>
      <c r="O5702">
        <v>0.24147578115658649</v>
      </c>
      <c r="P5702">
        <v>0.27560854583600353</v>
      </c>
    </row>
    <row r="5703" spans="13:16">
      <c r="M5703">
        <v>0.28872573588364181</v>
      </c>
      <c r="N5703">
        <v>0.18475030755929833</v>
      </c>
      <c r="O5703">
        <v>0.26230778136703786</v>
      </c>
      <c r="P5703">
        <v>0.26421617519002194</v>
      </c>
    </row>
    <row r="5704" spans="13:16">
      <c r="M5704">
        <v>0.28377225275349799</v>
      </c>
      <c r="N5704">
        <v>0.17623877678991351</v>
      </c>
      <c r="O5704">
        <v>0.28194950618019815</v>
      </c>
      <c r="P5704">
        <v>0.25803946427639046</v>
      </c>
    </row>
    <row r="5705" spans="13:16">
      <c r="M5705">
        <v>0.33825029860983041</v>
      </c>
      <c r="N5705">
        <v>0.17734134129529983</v>
      </c>
      <c r="O5705">
        <v>0.23224394834700429</v>
      </c>
      <c r="P5705">
        <v>0.25216441174786552</v>
      </c>
    </row>
    <row r="5706" spans="13:16">
      <c r="M5706">
        <v>0.31151720428262647</v>
      </c>
      <c r="N5706">
        <v>0.18504007014502086</v>
      </c>
      <c r="O5706">
        <v>0.24132751822978743</v>
      </c>
      <c r="P5706">
        <v>0.26211520734256516</v>
      </c>
    </row>
    <row r="5707" spans="13:16">
      <c r="M5707">
        <v>0.28752598294449966</v>
      </c>
      <c r="N5707">
        <v>0.20021546052356423</v>
      </c>
      <c r="O5707">
        <v>0.23606328750078373</v>
      </c>
      <c r="P5707">
        <v>0.27619526903115238</v>
      </c>
    </row>
    <row r="5708" spans="13:16">
      <c r="M5708">
        <v>0.30264420617777821</v>
      </c>
      <c r="N5708">
        <v>0.18401061371749167</v>
      </c>
      <c r="O5708">
        <v>0.26712762610075064</v>
      </c>
      <c r="P5708">
        <v>0.24621755400397946</v>
      </c>
    </row>
    <row r="5709" spans="13:16">
      <c r="M5709">
        <v>0.27251033476917957</v>
      </c>
      <c r="N5709">
        <v>0.19254495161816837</v>
      </c>
      <c r="O5709">
        <v>0.26127165294132532</v>
      </c>
      <c r="P5709">
        <v>0.27367306067132674</v>
      </c>
    </row>
    <row r="5710" spans="13:16">
      <c r="M5710">
        <v>0.3059693476331431</v>
      </c>
      <c r="N5710">
        <v>0.19154628046284006</v>
      </c>
      <c r="O5710">
        <v>0.2294586293100371</v>
      </c>
      <c r="P5710">
        <v>0.27302574259397983</v>
      </c>
    </row>
    <row r="5711" spans="13:16">
      <c r="M5711">
        <v>0.27283792363421489</v>
      </c>
      <c r="N5711">
        <v>0.19565398304308468</v>
      </c>
      <c r="O5711">
        <v>0.27061991134949231</v>
      </c>
      <c r="P5711">
        <v>0.26088818197320807</v>
      </c>
    </row>
    <row r="5712" spans="13:16">
      <c r="M5712">
        <v>0.27729859765413034</v>
      </c>
      <c r="N5712">
        <v>0.19708611175241897</v>
      </c>
      <c r="O5712">
        <v>0.25141924111479391</v>
      </c>
      <c r="P5712">
        <v>0.27419604947865672</v>
      </c>
    </row>
    <row r="5713" spans="13:16">
      <c r="M5713">
        <v>0.26990679788203847</v>
      </c>
      <c r="N5713">
        <v>0.19098516952856515</v>
      </c>
      <c r="O5713">
        <v>0.27694083638577088</v>
      </c>
      <c r="P5713">
        <v>0.26216719620362561</v>
      </c>
    </row>
    <row r="5714" spans="13:16">
      <c r="M5714">
        <v>0.30659240817316896</v>
      </c>
      <c r="N5714">
        <v>0.17723022491877935</v>
      </c>
      <c r="O5714">
        <v>0.26396654652481144</v>
      </c>
      <c r="P5714">
        <v>0.25221082038324028</v>
      </c>
    </row>
    <row r="5715" spans="13:16">
      <c r="M5715">
        <v>0.30325451634509704</v>
      </c>
      <c r="N5715">
        <v>0.16371460575451718</v>
      </c>
      <c r="O5715">
        <v>0.2875611334479537</v>
      </c>
      <c r="P5715">
        <v>0.24546974445243216</v>
      </c>
    </row>
    <row r="5716" spans="13:16">
      <c r="M5716">
        <v>0.28625610592537176</v>
      </c>
      <c r="N5716">
        <v>0.19193600721017257</v>
      </c>
      <c r="O5716">
        <v>0.25050887210234302</v>
      </c>
      <c r="P5716">
        <v>0.27129901476211277</v>
      </c>
    </row>
    <row r="5717" spans="13:16">
      <c r="M5717">
        <v>0.30536450173337415</v>
      </c>
      <c r="N5717">
        <v>0.18299939526321884</v>
      </c>
      <c r="O5717">
        <v>0.26233290180354085</v>
      </c>
      <c r="P5717">
        <v>0.2493032011998661</v>
      </c>
    </row>
    <row r="5718" spans="13:16">
      <c r="M5718">
        <v>0.28131131591969466</v>
      </c>
      <c r="N5718">
        <v>0.20236251593950796</v>
      </c>
      <c r="O5718">
        <v>0.23966337621291095</v>
      </c>
      <c r="P5718">
        <v>0.2766627919278864</v>
      </c>
    </row>
    <row r="5719" spans="13:16">
      <c r="M5719">
        <v>0.30342922494026781</v>
      </c>
      <c r="N5719">
        <v>0.18948474549894589</v>
      </c>
      <c r="O5719">
        <v>0.2489813449146687</v>
      </c>
      <c r="P5719">
        <v>0.25810468464611758</v>
      </c>
    </row>
    <row r="5720" spans="13:16">
      <c r="M5720">
        <v>0.30356396552768872</v>
      </c>
      <c r="N5720">
        <v>0.19782026873391453</v>
      </c>
      <c r="O5720">
        <v>0.24213166195347002</v>
      </c>
      <c r="P5720">
        <v>0.2564841037849267</v>
      </c>
    </row>
    <row r="5721" spans="13:16">
      <c r="M5721">
        <v>0.28952971765593621</v>
      </c>
      <c r="N5721">
        <v>0.17929860459352095</v>
      </c>
      <c r="O5721">
        <v>0.28727614573869653</v>
      </c>
      <c r="P5721">
        <v>0.2438955320118463</v>
      </c>
    </row>
    <row r="5722" spans="13:16">
      <c r="M5722">
        <v>0.26383056926262149</v>
      </c>
      <c r="N5722">
        <v>0.19101385498987006</v>
      </c>
      <c r="O5722">
        <v>0.27832967316039026</v>
      </c>
      <c r="P5722">
        <v>0.26682590258711814</v>
      </c>
    </row>
    <row r="5723" spans="13:16">
      <c r="M5723">
        <v>0.27937530159773905</v>
      </c>
      <c r="N5723">
        <v>0.20206678949346404</v>
      </c>
      <c r="O5723">
        <v>0.25288133754773495</v>
      </c>
      <c r="P5723">
        <v>0.26567657136106193</v>
      </c>
    </row>
    <row r="5724" spans="13:16">
      <c r="M5724">
        <v>0.26575992363881834</v>
      </c>
      <c r="N5724">
        <v>0.19452510932367573</v>
      </c>
      <c r="O5724">
        <v>0.26540114194369946</v>
      </c>
      <c r="P5724">
        <v>0.27431382509380658</v>
      </c>
    </row>
    <row r="5725" spans="13:16">
      <c r="M5725">
        <v>0.31106614297064417</v>
      </c>
      <c r="N5725">
        <v>0.18416706359755941</v>
      </c>
      <c r="O5725">
        <v>0.24632825217415416</v>
      </c>
      <c r="P5725">
        <v>0.25843854125764232</v>
      </c>
    </row>
    <row r="5726" spans="13:16">
      <c r="M5726">
        <v>0.31290997169338031</v>
      </c>
      <c r="N5726">
        <v>0.18306229199263233</v>
      </c>
      <c r="O5726">
        <v>0.25337702562692938</v>
      </c>
      <c r="P5726">
        <v>0.25065071068705785</v>
      </c>
    </row>
    <row r="5727" spans="13:16">
      <c r="M5727">
        <v>0.27609759987792193</v>
      </c>
      <c r="N5727">
        <v>0.19260060865975376</v>
      </c>
      <c r="O5727">
        <v>0.27766016407137628</v>
      </c>
      <c r="P5727">
        <v>0.25364162739094803</v>
      </c>
    </row>
    <row r="5728" spans="13:16">
      <c r="M5728">
        <v>0.28401415285208348</v>
      </c>
      <c r="N5728">
        <v>0.17610798865307475</v>
      </c>
      <c r="O5728">
        <v>0.27791284915648984</v>
      </c>
      <c r="P5728">
        <v>0.26196500933835193</v>
      </c>
    </row>
    <row r="5729" spans="13:16">
      <c r="M5729">
        <v>0.28911349450722668</v>
      </c>
      <c r="N5729">
        <v>0.1889453904028302</v>
      </c>
      <c r="O5729">
        <v>0.25605107337018723</v>
      </c>
      <c r="P5729">
        <v>0.265890041719756</v>
      </c>
    </row>
    <row r="5730" spans="13:16">
      <c r="M5730">
        <v>0.28288789984513318</v>
      </c>
      <c r="N5730">
        <v>0.1776171517546935</v>
      </c>
      <c r="O5730">
        <v>0.27010707244431942</v>
      </c>
      <c r="P5730">
        <v>0.26938787595585389</v>
      </c>
    </row>
    <row r="5731" spans="13:16">
      <c r="M5731">
        <v>0.3202984097188894</v>
      </c>
      <c r="N5731">
        <v>0.18143922447981528</v>
      </c>
      <c r="O5731">
        <v>0.22507799363546846</v>
      </c>
      <c r="P5731">
        <v>0.27318437216582692</v>
      </c>
    </row>
    <row r="5732" spans="13:16">
      <c r="M5732">
        <v>0.304684728219066</v>
      </c>
      <c r="N5732">
        <v>0.17943549697978264</v>
      </c>
      <c r="O5732">
        <v>0.25773717976165966</v>
      </c>
      <c r="P5732">
        <v>0.25814259503949166</v>
      </c>
    </row>
    <row r="5733" spans="13:16">
      <c r="M5733">
        <v>0.32251363816719442</v>
      </c>
      <c r="N5733">
        <v>0.1921635787447874</v>
      </c>
      <c r="O5733">
        <v>0.22220647447747915</v>
      </c>
      <c r="P5733">
        <v>0.26311630861053914</v>
      </c>
    </row>
    <row r="5734" spans="13:16">
      <c r="M5734">
        <v>0.28806732900829252</v>
      </c>
      <c r="N5734">
        <v>0.17799106785544636</v>
      </c>
      <c r="O5734">
        <v>0.27449758840059074</v>
      </c>
      <c r="P5734">
        <v>0.25944401473567036</v>
      </c>
    </row>
    <row r="5735" spans="13:16">
      <c r="M5735">
        <v>0.32893391547230033</v>
      </c>
      <c r="N5735">
        <v>0.17244327150636743</v>
      </c>
      <c r="O5735">
        <v>0.24135652992676115</v>
      </c>
      <c r="P5735">
        <v>0.25726628309457106</v>
      </c>
    </row>
    <row r="5736" spans="13:16">
      <c r="M5736">
        <v>0.31769233564586824</v>
      </c>
      <c r="N5736">
        <v>0.17396673346885727</v>
      </c>
      <c r="O5736">
        <v>0.24188436333968952</v>
      </c>
      <c r="P5736">
        <v>0.26645656754558489</v>
      </c>
    </row>
    <row r="5737" spans="13:16">
      <c r="M5737">
        <v>0.30713623179550781</v>
      </c>
      <c r="N5737">
        <v>0.18048842859775252</v>
      </c>
      <c r="O5737">
        <v>0.23936091086397435</v>
      </c>
      <c r="P5737">
        <v>0.27301442874276527</v>
      </c>
    </row>
    <row r="5738" spans="13:16">
      <c r="M5738">
        <v>0.26988675626542502</v>
      </c>
      <c r="N5738">
        <v>0.19925210620597456</v>
      </c>
      <c r="O5738">
        <v>0.25281556531200017</v>
      </c>
      <c r="P5738">
        <v>0.27804557221660026</v>
      </c>
    </row>
    <row r="5739" spans="13:16">
      <c r="M5739">
        <v>0.27134253194097963</v>
      </c>
      <c r="N5739">
        <v>0.18913302891720959</v>
      </c>
      <c r="O5739">
        <v>0.26878759943798636</v>
      </c>
      <c r="P5739">
        <v>0.27073683970382445</v>
      </c>
    </row>
    <row r="5740" spans="13:16">
      <c r="M5740">
        <v>0.31033746340805846</v>
      </c>
      <c r="N5740">
        <v>0.19032583039809323</v>
      </c>
      <c r="O5740">
        <v>0.23255300764503067</v>
      </c>
      <c r="P5740">
        <v>0.26678369854881762</v>
      </c>
    </row>
    <row r="5741" spans="13:16">
      <c r="M5741">
        <v>0.30123283233899051</v>
      </c>
      <c r="N5741">
        <v>0.17738630359164789</v>
      </c>
      <c r="O5741">
        <v>0.27072173014613726</v>
      </c>
      <c r="P5741">
        <v>0.25065913392322436</v>
      </c>
    </row>
    <row r="5742" spans="13:16">
      <c r="M5742">
        <v>0.27246637133072071</v>
      </c>
      <c r="N5742">
        <v>0.19447297527767982</v>
      </c>
      <c r="O5742">
        <v>0.25522348848976956</v>
      </c>
      <c r="P5742">
        <v>0.27783716490182991</v>
      </c>
    </row>
    <row r="5743" spans="13:16">
      <c r="M5743">
        <v>0.30775546265057124</v>
      </c>
      <c r="N5743">
        <v>0.18737680622133759</v>
      </c>
      <c r="O5743">
        <v>0.24418707479230684</v>
      </c>
      <c r="P5743">
        <v>0.26068065633578424</v>
      </c>
    </row>
    <row r="5744" spans="13:16">
      <c r="M5744">
        <v>0.30250613311627367</v>
      </c>
      <c r="N5744">
        <v>0.187896061026922</v>
      </c>
      <c r="O5744">
        <v>0.24634835915767042</v>
      </c>
      <c r="P5744">
        <v>0.26324944669913397</v>
      </c>
    </row>
    <row r="5745" spans="13:16">
      <c r="M5745">
        <v>0.27437934074644593</v>
      </c>
      <c r="N5745">
        <v>0.18667396382055979</v>
      </c>
      <c r="O5745">
        <v>0.28344358700221678</v>
      </c>
      <c r="P5745">
        <v>0.25550310843077739</v>
      </c>
    </row>
    <row r="5746" spans="13:16">
      <c r="M5746">
        <v>0.29607414162008461</v>
      </c>
      <c r="N5746">
        <v>0.19516901518097968</v>
      </c>
      <c r="O5746">
        <v>0.25575472970525354</v>
      </c>
      <c r="P5746">
        <v>0.25300211349368218</v>
      </c>
    </row>
    <row r="5747" spans="13:16">
      <c r="M5747">
        <v>0.3037001108136777</v>
      </c>
      <c r="N5747">
        <v>0.19421795538302608</v>
      </c>
      <c r="O5747">
        <v>0.2164991195026478</v>
      </c>
      <c r="P5747">
        <v>0.28558281430064841</v>
      </c>
    </row>
    <row r="5748" spans="13:16">
      <c r="M5748">
        <v>0.29776034010659269</v>
      </c>
      <c r="N5748">
        <v>0.19551278762598354</v>
      </c>
      <c r="O5748">
        <v>0.23857319159193677</v>
      </c>
      <c r="P5748">
        <v>0.26815368067548689</v>
      </c>
    </row>
    <row r="5749" spans="13:16">
      <c r="M5749">
        <v>0.27224163228147608</v>
      </c>
      <c r="N5749">
        <v>0.19247053105976897</v>
      </c>
      <c r="O5749">
        <v>0.26242790179415121</v>
      </c>
      <c r="P5749">
        <v>0.27285993486460364</v>
      </c>
    </row>
    <row r="5750" spans="13:16">
      <c r="M5750">
        <v>0.28680283345758217</v>
      </c>
      <c r="N5750">
        <v>0.1698037747682859</v>
      </c>
      <c r="O5750">
        <v>0.29543792731638197</v>
      </c>
      <c r="P5750">
        <v>0.2479554644577501</v>
      </c>
    </row>
    <row r="5751" spans="13:16">
      <c r="M5751">
        <v>0.3003139411278774</v>
      </c>
      <c r="N5751">
        <v>0.16922728762396316</v>
      </c>
      <c r="O5751">
        <v>0.25095243086152258</v>
      </c>
      <c r="P5751">
        <v>0.27950634038663685</v>
      </c>
    </row>
    <row r="5752" spans="13:16">
      <c r="M5752">
        <v>0.31208176915285429</v>
      </c>
      <c r="N5752">
        <v>0.19817418168597756</v>
      </c>
      <c r="O5752">
        <v>0.24331830438295807</v>
      </c>
      <c r="P5752">
        <v>0.24642574477821017</v>
      </c>
    </row>
    <row r="5753" spans="13:16">
      <c r="M5753">
        <v>0.29515770071993097</v>
      </c>
      <c r="N5753">
        <v>0.19498996772191224</v>
      </c>
      <c r="O5753">
        <v>0.24621489585921016</v>
      </c>
      <c r="P5753">
        <v>0.2636374356989466</v>
      </c>
    </row>
    <row r="5754" spans="13:16">
      <c r="M5754">
        <v>0.30362153208334686</v>
      </c>
      <c r="N5754">
        <v>0.18511949160245991</v>
      </c>
      <c r="O5754">
        <v>0.23538612387409119</v>
      </c>
      <c r="P5754">
        <v>0.27587285244010196</v>
      </c>
    </row>
    <row r="5755" spans="13:16">
      <c r="M5755">
        <v>0.29234109184097706</v>
      </c>
      <c r="N5755">
        <v>0.19032242173412378</v>
      </c>
      <c r="O5755">
        <v>0.2496652795763302</v>
      </c>
      <c r="P5755">
        <v>0.26767120684856899</v>
      </c>
    </row>
    <row r="5756" spans="13:16">
      <c r="M5756">
        <v>0.31594421517760757</v>
      </c>
      <c r="N5756">
        <v>0.16845170427017878</v>
      </c>
      <c r="O5756">
        <v>0.25733526061402567</v>
      </c>
      <c r="P5756">
        <v>0.2582688199381879</v>
      </c>
    </row>
    <row r="5757" spans="13:16">
      <c r="M5757">
        <v>0.30707143874901299</v>
      </c>
      <c r="N5757">
        <v>0.19709519948338225</v>
      </c>
      <c r="O5757">
        <v>0.23630312578781032</v>
      </c>
      <c r="P5757">
        <v>0.25953023597979458</v>
      </c>
    </row>
    <row r="5758" spans="13:16">
      <c r="M5758">
        <v>0.30349530578448086</v>
      </c>
      <c r="N5758">
        <v>0.18426195713207164</v>
      </c>
      <c r="O5758">
        <v>0.25144503596833218</v>
      </c>
      <c r="P5758">
        <v>0.26079770111511535</v>
      </c>
    </row>
    <row r="5759" spans="13:16">
      <c r="M5759">
        <v>0.2798805842051767</v>
      </c>
      <c r="N5759">
        <v>0.19584625474252476</v>
      </c>
      <c r="O5759">
        <v>0.25049910032904493</v>
      </c>
      <c r="P5759">
        <v>0.27377406072325361</v>
      </c>
    </row>
    <row r="5760" spans="13:16">
      <c r="M5760">
        <v>0.30409453097843475</v>
      </c>
      <c r="N5760">
        <v>0.1772342023274274</v>
      </c>
      <c r="O5760">
        <v>0.26351992405498653</v>
      </c>
      <c r="P5760">
        <v>0.25515134263915135</v>
      </c>
    </row>
    <row r="5761" spans="13:16">
      <c r="M5761">
        <v>0.31564179615870874</v>
      </c>
      <c r="N5761">
        <v>0.16753223697128466</v>
      </c>
      <c r="O5761">
        <v>0.25166661503100268</v>
      </c>
      <c r="P5761">
        <v>0.26515935183900391</v>
      </c>
    </row>
    <row r="5762" spans="13:16">
      <c r="M5762">
        <v>0.3183372818883633</v>
      </c>
      <c r="N5762">
        <v>0.1871656418284704</v>
      </c>
      <c r="O5762">
        <v>0.22462207425054634</v>
      </c>
      <c r="P5762">
        <v>0.26987500203261994</v>
      </c>
    </row>
    <row r="5763" spans="13:16">
      <c r="M5763">
        <v>0.27420743183223734</v>
      </c>
      <c r="N5763">
        <v>0.20479774002152087</v>
      </c>
      <c r="O5763">
        <v>0.23801527887150151</v>
      </c>
      <c r="P5763">
        <v>0.28297954927474028</v>
      </c>
    </row>
    <row r="5764" spans="13:16">
      <c r="M5764">
        <v>0.29026097972525244</v>
      </c>
      <c r="N5764">
        <v>0.18778454122514535</v>
      </c>
      <c r="O5764">
        <v>0.26261338447137844</v>
      </c>
      <c r="P5764">
        <v>0.25934109457822385</v>
      </c>
    </row>
    <row r="5765" spans="13:16">
      <c r="M5765">
        <v>0.27188638213069738</v>
      </c>
      <c r="N5765">
        <v>0.21669015184829174</v>
      </c>
      <c r="O5765">
        <v>0.23644262126220827</v>
      </c>
      <c r="P5765">
        <v>0.27498084475880269</v>
      </c>
    </row>
    <row r="5766" spans="13:16">
      <c r="M5766">
        <v>0.28837970083858699</v>
      </c>
      <c r="N5766">
        <v>0.16657958635176648</v>
      </c>
      <c r="O5766">
        <v>0.3001998637508918</v>
      </c>
      <c r="P5766">
        <v>0.24484084905875475</v>
      </c>
    </row>
    <row r="5767" spans="13:16">
      <c r="M5767">
        <v>0.29310910031324766</v>
      </c>
      <c r="N5767">
        <v>0.18879459906645543</v>
      </c>
      <c r="O5767">
        <v>0.27429691304982567</v>
      </c>
      <c r="P5767">
        <v>0.24379938757047118</v>
      </c>
    </row>
    <row r="5768" spans="13:16">
      <c r="M5768">
        <v>0.30606143823161253</v>
      </c>
      <c r="N5768">
        <v>0.17823956810710864</v>
      </c>
      <c r="O5768">
        <v>0.25881554692259828</v>
      </c>
      <c r="P5768">
        <v>0.25688344673868052</v>
      </c>
    </row>
    <row r="5769" spans="13:16">
      <c r="M5769">
        <v>0.2879500456678129</v>
      </c>
      <c r="N5769">
        <v>0.21108275949288585</v>
      </c>
      <c r="O5769">
        <v>0.234843260476745</v>
      </c>
      <c r="P5769">
        <v>0.26612393436255627</v>
      </c>
    </row>
    <row r="5770" spans="13:16">
      <c r="M5770">
        <v>0.28850099177952465</v>
      </c>
      <c r="N5770">
        <v>0.18430473843080289</v>
      </c>
      <c r="O5770">
        <v>0.25789935162762212</v>
      </c>
      <c r="P5770">
        <v>0.26929491816205037</v>
      </c>
    </row>
    <row r="5771" spans="13:16">
      <c r="M5771">
        <v>0.27813055763122591</v>
      </c>
      <c r="N5771">
        <v>0.19793770342114353</v>
      </c>
      <c r="O5771">
        <v>0.25896972701177412</v>
      </c>
      <c r="P5771">
        <v>0.26496201193585645</v>
      </c>
    </row>
    <row r="5772" spans="13:16">
      <c r="M5772">
        <v>0.29162299129431013</v>
      </c>
      <c r="N5772">
        <v>0.18297030987214227</v>
      </c>
      <c r="O5772">
        <v>0.24567212792811413</v>
      </c>
      <c r="P5772">
        <v>0.27973457090543352</v>
      </c>
    </row>
    <row r="5773" spans="13:16">
      <c r="M5773">
        <v>0.32100559392341815</v>
      </c>
      <c r="N5773">
        <v>0.17436532452325004</v>
      </c>
      <c r="O5773">
        <v>0.26135848521580674</v>
      </c>
      <c r="P5773">
        <v>0.2432705963375251</v>
      </c>
    </row>
    <row r="5774" spans="13:16">
      <c r="M5774">
        <v>0.28458948252824845</v>
      </c>
      <c r="N5774">
        <v>0.17132816801387221</v>
      </c>
      <c r="O5774">
        <v>0.29607103604647261</v>
      </c>
      <c r="P5774">
        <v>0.2480113134114067</v>
      </c>
    </row>
    <row r="5775" spans="13:16">
      <c r="M5775">
        <v>0.26873844417865062</v>
      </c>
      <c r="N5775">
        <v>0.1835485062754407</v>
      </c>
      <c r="O5775">
        <v>0.28038636236230524</v>
      </c>
      <c r="P5775">
        <v>0.26732668718360336</v>
      </c>
    </row>
    <row r="5776" spans="13:16">
      <c r="M5776">
        <v>0.26349573789430292</v>
      </c>
      <c r="N5776">
        <v>0.18738329016177885</v>
      </c>
      <c r="O5776">
        <v>0.28010673342871589</v>
      </c>
      <c r="P5776">
        <v>0.26901423851520229</v>
      </c>
    </row>
    <row r="5777" spans="13:16">
      <c r="M5777">
        <v>0.31096302183106067</v>
      </c>
      <c r="N5777">
        <v>0.18242257572360218</v>
      </c>
      <c r="O5777">
        <v>0.2445675504082209</v>
      </c>
      <c r="P5777">
        <v>0.26204685203711614</v>
      </c>
    </row>
    <row r="5778" spans="13:16">
      <c r="M5778">
        <v>0.27818027326082106</v>
      </c>
      <c r="N5778">
        <v>0.18047132165873353</v>
      </c>
      <c r="O5778">
        <v>0.28843155998892378</v>
      </c>
      <c r="P5778">
        <v>0.25291684509152157</v>
      </c>
    </row>
    <row r="5779" spans="13:16">
      <c r="M5779">
        <v>0.28139891079840945</v>
      </c>
      <c r="N5779">
        <v>0.19545951039454756</v>
      </c>
      <c r="O5779">
        <v>0.23531244588482986</v>
      </c>
      <c r="P5779">
        <v>0.28782913292221318</v>
      </c>
    </row>
    <row r="5780" spans="13:16">
      <c r="M5780">
        <v>0.30986612060769764</v>
      </c>
      <c r="N5780">
        <v>0.1684984848284766</v>
      </c>
      <c r="O5780">
        <v>0.26208589953365174</v>
      </c>
      <c r="P5780">
        <v>0.25954949503017405</v>
      </c>
    </row>
    <row r="5781" spans="13:16">
      <c r="M5781">
        <v>0.32394231295830461</v>
      </c>
      <c r="N5781">
        <v>0.17315718552161721</v>
      </c>
      <c r="O5781">
        <v>0.23687718023782459</v>
      </c>
      <c r="P5781">
        <v>0.2660233212822537</v>
      </c>
    </row>
    <row r="5782" spans="13:16">
      <c r="M5782">
        <v>0.26511912961784434</v>
      </c>
      <c r="N5782">
        <v>0.19027636880716697</v>
      </c>
      <c r="O5782">
        <v>0.27605798129950199</v>
      </c>
      <c r="P5782">
        <v>0.26854652027548664</v>
      </c>
    </row>
    <row r="5783" spans="13:16">
      <c r="M5783">
        <v>0.28888071845408875</v>
      </c>
      <c r="N5783">
        <v>0.1799834551517818</v>
      </c>
      <c r="O5783">
        <v>0.27895918352048621</v>
      </c>
      <c r="P5783">
        <v>0.25217664287364322</v>
      </c>
    </row>
    <row r="5784" spans="13:16">
      <c r="M5784">
        <v>0.30991733138666666</v>
      </c>
      <c r="N5784">
        <v>0.17659840765520862</v>
      </c>
      <c r="O5784">
        <v>0.26629018772232038</v>
      </c>
      <c r="P5784">
        <v>0.24719407323580422</v>
      </c>
    </row>
    <row r="5785" spans="13:16">
      <c r="M5785">
        <v>0.27797404533900405</v>
      </c>
      <c r="N5785">
        <v>0.17978335126457373</v>
      </c>
      <c r="O5785">
        <v>0.27897692206862229</v>
      </c>
      <c r="P5785">
        <v>0.26326568132779998</v>
      </c>
    </row>
    <row r="5786" spans="13:16">
      <c r="M5786">
        <v>0.28461802791176866</v>
      </c>
      <c r="N5786">
        <v>0.18971747471119535</v>
      </c>
      <c r="O5786">
        <v>0.2543960649901017</v>
      </c>
      <c r="P5786">
        <v>0.27126843238693432</v>
      </c>
    </row>
    <row r="5787" spans="13:16">
      <c r="M5787">
        <v>0.29033500321185751</v>
      </c>
      <c r="N5787">
        <v>0.18377809558842068</v>
      </c>
      <c r="O5787">
        <v>0.25737796554873293</v>
      </c>
      <c r="P5787">
        <v>0.26850893565098893</v>
      </c>
    </row>
    <row r="5788" spans="13:16">
      <c r="M5788">
        <v>0.30340141424905903</v>
      </c>
      <c r="N5788">
        <v>0.187528787557523</v>
      </c>
      <c r="O5788">
        <v>0.26044590179381183</v>
      </c>
      <c r="P5788">
        <v>0.24862389639960616</v>
      </c>
    </row>
    <row r="5789" spans="13:16">
      <c r="M5789">
        <v>0.2960555536797006</v>
      </c>
      <c r="N5789">
        <v>0.20412916676156584</v>
      </c>
      <c r="O5789">
        <v>0.22837366957788943</v>
      </c>
      <c r="P5789">
        <v>0.27144160998084416</v>
      </c>
    </row>
    <row r="5790" spans="13:16">
      <c r="M5790">
        <v>0.28977093379715468</v>
      </c>
      <c r="N5790">
        <v>0.18074365350059632</v>
      </c>
      <c r="O5790">
        <v>0.2854399898350517</v>
      </c>
      <c r="P5790">
        <v>0.24404542286719727</v>
      </c>
    </row>
    <row r="5791" spans="13:16">
      <c r="M5791">
        <v>0.30302511301205654</v>
      </c>
      <c r="N5791">
        <v>0.19237020621066442</v>
      </c>
      <c r="O5791">
        <v>0.23128766133222431</v>
      </c>
      <c r="P5791">
        <v>0.27331701944505488</v>
      </c>
    </row>
    <row r="5792" spans="13:16">
      <c r="M5792">
        <v>0.33594049083446731</v>
      </c>
      <c r="N5792">
        <v>0.18815883335300929</v>
      </c>
      <c r="O5792">
        <v>0.21934733453791602</v>
      </c>
      <c r="P5792">
        <v>0.25655334127460733</v>
      </c>
    </row>
    <row r="5793" spans="13:16">
      <c r="M5793">
        <v>0.29858674339111052</v>
      </c>
      <c r="N5793">
        <v>0.17559200742098252</v>
      </c>
      <c r="O5793">
        <v>0.25025598682923261</v>
      </c>
      <c r="P5793">
        <v>0.27556526235867435</v>
      </c>
    </row>
    <row r="5794" spans="13:16">
      <c r="M5794">
        <v>0.27216101446249108</v>
      </c>
      <c r="N5794">
        <v>0.20280770939555573</v>
      </c>
      <c r="O5794">
        <v>0.26167560811091767</v>
      </c>
      <c r="P5794">
        <v>0.26335566803103555</v>
      </c>
    </row>
    <row r="5795" spans="13:16">
      <c r="M5795">
        <v>0.28922513117238507</v>
      </c>
      <c r="N5795">
        <v>0.17718338897744815</v>
      </c>
      <c r="O5795">
        <v>0.29420637858988735</v>
      </c>
      <c r="P5795">
        <v>0.2393851012602794</v>
      </c>
    </row>
    <row r="5796" spans="13:16">
      <c r="M5796">
        <v>0.29127329965843385</v>
      </c>
      <c r="N5796">
        <v>0.17943621909803198</v>
      </c>
      <c r="O5796">
        <v>0.28125062785337368</v>
      </c>
      <c r="P5796">
        <v>0.24803985339016038</v>
      </c>
    </row>
    <row r="5797" spans="13:16">
      <c r="M5797">
        <v>0.29984476902864199</v>
      </c>
      <c r="N5797">
        <v>0.18004733818404994</v>
      </c>
      <c r="O5797">
        <v>0.25040605620439887</v>
      </c>
      <c r="P5797">
        <v>0.26970183658290919</v>
      </c>
    </row>
    <row r="5798" spans="13:16">
      <c r="M5798">
        <v>0.26448183785867529</v>
      </c>
      <c r="N5798">
        <v>0.18607182042808892</v>
      </c>
      <c r="O5798">
        <v>0.27942372092143758</v>
      </c>
      <c r="P5798">
        <v>0.27002262079179834</v>
      </c>
    </row>
    <row r="5799" spans="13:16">
      <c r="M5799">
        <v>0.28755035075806729</v>
      </c>
      <c r="N5799">
        <v>0.17632718614010209</v>
      </c>
      <c r="O5799">
        <v>0.27204966136094738</v>
      </c>
      <c r="P5799">
        <v>0.26407280174088332</v>
      </c>
    </row>
    <row r="5800" spans="13:16">
      <c r="M5800">
        <v>0.3219694628362777</v>
      </c>
      <c r="N5800">
        <v>0.16994505341990887</v>
      </c>
      <c r="O5800">
        <v>0.25065307190146097</v>
      </c>
      <c r="P5800">
        <v>0.25743241184235244</v>
      </c>
    </row>
    <row r="5801" spans="13:16">
      <c r="M5801">
        <v>0.30871175186235555</v>
      </c>
      <c r="N5801">
        <v>0.17576403749016059</v>
      </c>
      <c r="O5801">
        <v>0.26817026368473756</v>
      </c>
      <c r="P5801">
        <v>0.24735394696274626</v>
      </c>
    </row>
    <row r="5802" spans="13:16">
      <c r="M5802">
        <v>0.31518329519309296</v>
      </c>
      <c r="N5802">
        <v>0.16912763075193338</v>
      </c>
      <c r="O5802">
        <v>0.25800391883365065</v>
      </c>
      <c r="P5802">
        <v>0.25768515522132301</v>
      </c>
    </row>
    <row r="5803" spans="13:16">
      <c r="M5803">
        <v>0.30476183456496608</v>
      </c>
      <c r="N5803">
        <v>0.1956900472283338</v>
      </c>
      <c r="O5803">
        <v>0.23245112826259737</v>
      </c>
      <c r="P5803">
        <v>0.26709698994410269</v>
      </c>
    </row>
    <row r="5804" spans="13:16">
      <c r="M5804">
        <v>0.29143301453191556</v>
      </c>
      <c r="N5804">
        <v>0.19029414781993012</v>
      </c>
      <c r="O5804">
        <v>0.24728210543443616</v>
      </c>
      <c r="P5804">
        <v>0.27099073221371828</v>
      </c>
    </row>
    <row r="5805" spans="13:16">
      <c r="M5805">
        <v>0.30384287024399015</v>
      </c>
      <c r="N5805">
        <v>0.19321020312029064</v>
      </c>
      <c r="O5805">
        <v>0.23825305655446083</v>
      </c>
      <c r="P5805">
        <v>0.26469387008125833</v>
      </c>
    </row>
    <row r="5806" spans="13:16">
      <c r="M5806">
        <v>0.27872904375899682</v>
      </c>
      <c r="N5806">
        <v>0.19060957112451665</v>
      </c>
      <c r="O5806">
        <v>0.25972286587103871</v>
      </c>
      <c r="P5806">
        <v>0.27093851924544793</v>
      </c>
    </row>
    <row r="5807" spans="13:16">
      <c r="M5807">
        <v>0.28542797130852743</v>
      </c>
      <c r="N5807">
        <v>0.16913209974904919</v>
      </c>
      <c r="O5807">
        <v>0.29451157328091054</v>
      </c>
      <c r="P5807">
        <v>0.25092835566151289</v>
      </c>
    </row>
    <row r="5808" spans="13:16">
      <c r="M5808">
        <v>0.28713654538287831</v>
      </c>
      <c r="N5808">
        <v>0.18419480852432846</v>
      </c>
      <c r="O5808">
        <v>0.26952135959263984</v>
      </c>
      <c r="P5808">
        <v>0.25914728650015345</v>
      </c>
    </row>
    <row r="5809" spans="13:16">
      <c r="M5809">
        <v>0.28293387407444714</v>
      </c>
      <c r="N5809">
        <v>0.19031040309360778</v>
      </c>
      <c r="O5809">
        <v>0.29169443588622762</v>
      </c>
      <c r="P5809">
        <v>0.23506128694571743</v>
      </c>
    </row>
    <row r="5810" spans="13:16">
      <c r="M5810">
        <v>0.28034620109164721</v>
      </c>
      <c r="N5810">
        <v>0.18866828597604576</v>
      </c>
      <c r="O5810">
        <v>0.27171912581181312</v>
      </c>
      <c r="P5810">
        <v>0.25926638712049394</v>
      </c>
    </row>
    <row r="5811" spans="13:16">
      <c r="M5811">
        <v>0.29147889010548933</v>
      </c>
      <c r="N5811">
        <v>0.19397259773043135</v>
      </c>
      <c r="O5811">
        <v>0.23051070305915333</v>
      </c>
      <c r="P5811">
        <v>0.28403780910492599</v>
      </c>
    </row>
    <row r="5812" spans="13:16">
      <c r="M5812">
        <v>0.30365494153721101</v>
      </c>
      <c r="N5812">
        <v>0.1828366191679931</v>
      </c>
      <c r="O5812">
        <v>0.25751426307676761</v>
      </c>
      <c r="P5812">
        <v>0.25599417621802834</v>
      </c>
    </row>
    <row r="5813" spans="13:16">
      <c r="M5813">
        <v>0.31175013322353856</v>
      </c>
      <c r="N5813">
        <v>0.1813017122260776</v>
      </c>
      <c r="O5813">
        <v>0.23057400633666231</v>
      </c>
      <c r="P5813">
        <v>0.27637414821372153</v>
      </c>
    </row>
    <row r="5814" spans="13:16">
      <c r="M5814">
        <v>0.30313216973264084</v>
      </c>
      <c r="N5814">
        <v>0.18761091708734523</v>
      </c>
      <c r="O5814">
        <v>0.23544600076055286</v>
      </c>
      <c r="P5814">
        <v>0.27381091241946115</v>
      </c>
    </row>
    <row r="5815" spans="13:16">
      <c r="M5815">
        <v>0.31656312958147548</v>
      </c>
      <c r="N5815">
        <v>0.18310441077505871</v>
      </c>
      <c r="O5815">
        <v>0.24282409276269509</v>
      </c>
      <c r="P5815">
        <v>0.25750836688077061</v>
      </c>
    </row>
    <row r="5816" spans="13:16">
      <c r="M5816">
        <v>0.29745455479907534</v>
      </c>
      <c r="N5816">
        <v>0.19422003035279986</v>
      </c>
      <c r="O5816">
        <v>0.22919290808035184</v>
      </c>
      <c r="P5816">
        <v>0.27913250676777285</v>
      </c>
    </row>
    <row r="5817" spans="13:16">
      <c r="M5817">
        <v>0.29270805337084294</v>
      </c>
      <c r="N5817">
        <v>0.17949237894333095</v>
      </c>
      <c r="O5817">
        <v>0.26004088326651542</v>
      </c>
      <c r="P5817">
        <v>0.26775868441931072</v>
      </c>
    </row>
    <row r="5818" spans="13:16">
      <c r="M5818">
        <v>0.27816566219163352</v>
      </c>
      <c r="N5818">
        <v>0.18370281051083057</v>
      </c>
      <c r="O5818">
        <v>0.27302681196684597</v>
      </c>
      <c r="P5818">
        <v>0.26510471533068991</v>
      </c>
    </row>
    <row r="5819" spans="13:16">
      <c r="M5819">
        <v>0.2865352114877639</v>
      </c>
      <c r="N5819">
        <v>0.18198711073222859</v>
      </c>
      <c r="O5819">
        <v>0.24816282372182658</v>
      </c>
      <c r="P5819">
        <v>0.28331485405818102</v>
      </c>
    </row>
    <row r="5820" spans="13:16">
      <c r="M5820">
        <v>0.27091330949444448</v>
      </c>
      <c r="N5820">
        <v>0.20742051319325439</v>
      </c>
      <c r="O5820">
        <v>0.25696630184160568</v>
      </c>
      <c r="P5820">
        <v>0.26469987547069534</v>
      </c>
    </row>
    <row r="5821" spans="13:16">
      <c r="M5821">
        <v>0.28006326599679343</v>
      </c>
      <c r="N5821">
        <v>0.1868731930928666</v>
      </c>
      <c r="O5821">
        <v>0.26602679243652982</v>
      </c>
      <c r="P5821">
        <v>0.2670367484738102</v>
      </c>
    </row>
    <row r="5822" spans="13:16">
      <c r="M5822">
        <v>0.30196738667975226</v>
      </c>
      <c r="N5822">
        <v>0.17695502990425219</v>
      </c>
      <c r="O5822">
        <v>0.23592240863745662</v>
      </c>
      <c r="P5822">
        <v>0.28515517477853886</v>
      </c>
    </row>
    <row r="5823" spans="13:16">
      <c r="M5823">
        <v>0.29390008142721369</v>
      </c>
      <c r="N5823">
        <v>0.16784097591922531</v>
      </c>
      <c r="O5823">
        <v>0.29693812600194835</v>
      </c>
      <c r="P5823">
        <v>0.24132081665161262</v>
      </c>
    </row>
    <row r="5824" spans="13:16">
      <c r="M5824">
        <v>0.30363247730530329</v>
      </c>
      <c r="N5824">
        <v>0.17358759828325396</v>
      </c>
      <c r="O5824">
        <v>0.27462897438058959</v>
      </c>
      <c r="P5824">
        <v>0.24815095003085325</v>
      </c>
    </row>
    <row r="5825" spans="13:16">
      <c r="M5825">
        <v>0.30207025821290973</v>
      </c>
      <c r="N5825">
        <v>0.20191763678010247</v>
      </c>
      <c r="O5825">
        <v>0.22559256760360888</v>
      </c>
      <c r="P5825">
        <v>0.27041953740337893</v>
      </c>
    </row>
    <row r="5826" spans="13:16">
      <c r="M5826">
        <v>0.27591448474590813</v>
      </c>
      <c r="N5826">
        <v>0.20308687091821392</v>
      </c>
      <c r="O5826">
        <v>0.25464797866725875</v>
      </c>
      <c r="P5826">
        <v>0.26635066566861915</v>
      </c>
    </row>
    <row r="5827" spans="13:16">
      <c r="M5827">
        <v>0.29787975759669266</v>
      </c>
      <c r="N5827">
        <v>0.18991047615426002</v>
      </c>
      <c r="O5827">
        <v>0.24822972788802503</v>
      </c>
      <c r="P5827">
        <v>0.26398003836102218</v>
      </c>
    </row>
    <row r="5828" spans="13:16">
      <c r="M5828">
        <v>0.26725429014295288</v>
      </c>
      <c r="N5828">
        <v>0.18594027528946652</v>
      </c>
      <c r="O5828">
        <v>0.2993482316299475</v>
      </c>
      <c r="P5828">
        <v>0.24745720293763326</v>
      </c>
    </row>
    <row r="5829" spans="13:16">
      <c r="M5829">
        <v>0.3034965444840651</v>
      </c>
      <c r="N5829">
        <v>0.16634678810758874</v>
      </c>
      <c r="O5829">
        <v>0.283967518069698</v>
      </c>
      <c r="P5829">
        <v>0.24618914933864819</v>
      </c>
    </row>
    <row r="5830" spans="13:16">
      <c r="M5830">
        <v>0.28689954680625657</v>
      </c>
      <c r="N5830">
        <v>0.18338922263052287</v>
      </c>
      <c r="O5830">
        <v>0.25052245824972064</v>
      </c>
      <c r="P5830">
        <v>0.27918877231349987</v>
      </c>
    </row>
    <row r="5831" spans="13:16">
      <c r="M5831">
        <v>0.32026063593909382</v>
      </c>
      <c r="N5831">
        <v>0.1777548941833105</v>
      </c>
      <c r="O5831">
        <v>0.24517011167607242</v>
      </c>
      <c r="P5831">
        <v>0.25681435820152343</v>
      </c>
    </row>
    <row r="5832" spans="13:16">
      <c r="M5832">
        <v>0.29717716972587699</v>
      </c>
      <c r="N5832">
        <v>0.19706789079399348</v>
      </c>
      <c r="O5832">
        <v>0.23702049283136351</v>
      </c>
      <c r="P5832">
        <v>0.26873444664876595</v>
      </c>
    </row>
    <row r="5833" spans="13:16">
      <c r="M5833">
        <v>0.26964406875541724</v>
      </c>
      <c r="N5833">
        <v>0.18809749990675118</v>
      </c>
      <c r="O5833">
        <v>0.29061923010898633</v>
      </c>
      <c r="P5833">
        <v>0.25163920122884514</v>
      </c>
    </row>
    <row r="5834" spans="13:16">
      <c r="M5834">
        <v>0.31368719720936361</v>
      </c>
      <c r="N5834">
        <v>0.18680932392615948</v>
      </c>
      <c r="O5834">
        <v>0.23102251229323464</v>
      </c>
      <c r="P5834">
        <v>0.26848096657124221</v>
      </c>
    </row>
    <row r="5835" spans="13:16">
      <c r="M5835">
        <v>0.29347155554486892</v>
      </c>
      <c r="N5835">
        <v>0.18817776792320387</v>
      </c>
      <c r="O5835">
        <v>0.26624584328817835</v>
      </c>
      <c r="P5835">
        <v>0.25210483324374888</v>
      </c>
    </row>
    <row r="5836" spans="13:16">
      <c r="M5836">
        <v>0.27640679106668986</v>
      </c>
      <c r="N5836">
        <v>0.18780776466426008</v>
      </c>
      <c r="O5836">
        <v>0.27902246386053364</v>
      </c>
      <c r="P5836">
        <v>0.25676298040851647</v>
      </c>
    </row>
    <row r="5837" spans="13:16">
      <c r="M5837">
        <v>0.26797266673190051</v>
      </c>
      <c r="N5837">
        <v>0.17686441687576987</v>
      </c>
      <c r="O5837">
        <v>0.29430202467236766</v>
      </c>
      <c r="P5837">
        <v>0.26086089171996202</v>
      </c>
    </row>
    <row r="5838" spans="13:16">
      <c r="M5838">
        <v>0.28154232224812747</v>
      </c>
      <c r="N5838">
        <v>0.18498522150368735</v>
      </c>
      <c r="O5838">
        <v>0.26841473670997229</v>
      </c>
      <c r="P5838">
        <v>0.26505771953821294</v>
      </c>
    </row>
    <row r="5839" spans="13:16">
      <c r="M5839">
        <v>0.30734306855534482</v>
      </c>
      <c r="N5839">
        <v>0.18413066857227464</v>
      </c>
      <c r="O5839">
        <v>0.26143115620707419</v>
      </c>
      <c r="P5839">
        <v>0.24709510666530629</v>
      </c>
    </row>
    <row r="5840" spans="13:16">
      <c r="M5840">
        <v>0.27649250412314397</v>
      </c>
      <c r="N5840">
        <v>0.18741399170299888</v>
      </c>
      <c r="O5840">
        <v>0.27133629090268591</v>
      </c>
      <c r="P5840">
        <v>0.26475721327117113</v>
      </c>
    </row>
    <row r="5841" spans="13:16">
      <c r="M5841">
        <v>0.27288964334534549</v>
      </c>
      <c r="N5841">
        <v>0.18858773213368929</v>
      </c>
      <c r="O5841">
        <v>0.28121575178756908</v>
      </c>
      <c r="P5841">
        <v>0.25730687273339614</v>
      </c>
    </row>
    <row r="5842" spans="13:16">
      <c r="M5842">
        <v>0.310667857338631</v>
      </c>
      <c r="N5842">
        <v>0.17651299069802534</v>
      </c>
      <c r="O5842">
        <v>0.26077960515504894</v>
      </c>
      <c r="P5842">
        <v>0.25203954680829477</v>
      </c>
    </row>
    <row r="5843" spans="13:16">
      <c r="M5843">
        <v>0.31118596482589816</v>
      </c>
      <c r="N5843">
        <v>0.17389971067933507</v>
      </c>
      <c r="O5843">
        <v>0.24468518542869686</v>
      </c>
      <c r="P5843">
        <v>0.27022913906606999</v>
      </c>
    </row>
    <row r="5844" spans="13:16">
      <c r="M5844">
        <v>0.29384672090368052</v>
      </c>
      <c r="N5844">
        <v>0.20616233027735831</v>
      </c>
      <c r="O5844">
        <v>0.23841557965108659</v>
      </c>
      <c r="P5844">
        <v>0.26157536916787461</v>
      </c>
    </row>
    <row r="5845" spans="13:16">
      <c r="M5845">
        <v>0.30191944533451182</v>
      </c>
      <c r="N5845">
        <v>0.17716991050502501</v>
      </c>
      <c r="O5845">
        <v>0.2689411645335455</v>
      </c>
      <c r="P5845">
        <v>0.25196947962691763</v>
      </c>
    </row>
    <row r="5846" spans="13:16">
      <c r="M5846">
        <v>0.29908609105505224</v>
      </c>
      <c r="N5846">
        <v>0.17739746722460101</v>
      </c>
      <c r="O5846">
        <v>0.25284518754262436</v>
      </c>
      <c r="P5846">
        <v>0.27067125417772236</v>
      </c>
    </row>
    <row r="5847" spans="13:16">
      <c r="M5847">
        <v>0.27302879523514662</v>
      </c>
      <c r="N5847">
        <v>0.19435423057407114</v>
      </c>
      <c r="O5847">
        <v>0.25914667263286278</v>
      </c>
      <c r="P5847">
        <v>0.2734703015579194</v>
      </c>
    </row>
    <row r="5848" spans="13:16">
      <c r="M5848">
        <v>0.28017422168847644</v>
      </c>
      <c r="N5848">
        <v>0.16718133060267518</v>
      </c>
      <c r="O5848">
        <v>0.29664092616822252</v>
      </c>
      <c r="P5848">
        <v>0.25600352154062594</v>
      </c>
    </row>
    <row r="5849" spans="13:16">
      <c r="M5849">
        <v>0.26801974996551203</v>
      </c>
      <c r="N5849">
        <v>0.1976018186009714</v>
      </c>
      <c r="O5849">
        <v>0.2595930093069963</v>
      </c>
      <c r="P5849">
        <v>0.2747854221265203</v>
      </c>
    </row>
    <row r="5850" spans="13:16">
      <c r="M5850">
        <v>0.27803106181262144</v>
      </c>
      <c r="N5850">
        <v>0.20176655805815646</v>
      </c>
      <c r="O5850">
        <v>0.25227048371112559</v>
      </c>
      <c r="P5850">
        <v>0.2679318964180965</v>
      </c>
    </row>
    <row r="5851" spans="13:16">
      <c r="M5851">
        <v>0.28914820735339902</v>
      </c>
      <c r="N5851">
        <v>0.18595039617848352</v>
      </c>
      <c r="O5851">
        <v>0.27130722533848456</v>
      </c>
      <c r="P5851">
        <v>0.25359417112963278</v>
      </c>
    </row>
    <row r="5852" spans="13:16">
      <c r="M5852">
        <v>0.30481418655204628</v>
      </c>
      <c r="N5852">
        <v>0.19855802185785842</v>
      </c>
      <c r="O5852">
        <v>0.24764081874363011</v>
      </c>
      <c r="P5852">
        <v>0.24898697284646529</v>
      </c>
    </row>
    <row r="5853" spans="13:16">
      <c r="M5853">
        <v>0.29739995371796407</v>
      </c>
      <c r="N5853">
        <v>0.17365072797357092</v>
      </c>
      <c r="O5853">
        <v>0.27077458001154808</v>
      </c>
      <c r="P5853">
        <v>0.25817473829691689</v>
      </c>
    </row>
    <row r="5854" spans="13:16">
      <c r="M5854">
        <v>0.30726358176159446</v>
      </c>
      <c r="N5854">
        <v>0.16562184432320678</v>
      </c>
      <c r="O5854">
        <v>0.28041305973681108</v>
      </c>
      <c r="P5854">
        <v>0.2467015141783877</v>
      </c>
    </row>
    <row r="5855" spans="13:16">
      <c r="M5855">
        <v>0.27906284278640769</v>
      </c>
      <c r="N5855">
        <v>0.19235242390438609</v>
      </c>
      <c r="O5855">
        <v>0.27014205292659044</v>
      </c>
      <c r="P5855">
        <v>0.2584426803826157</v>
      </c>
    </row>
    <row r="5856" spans="13:16">
      <c r="M5856">
        <v>0.29823672385712374</v>
      </c>
      <c r="N5856">
        <v>0.2078809457335124</v>
      </c>
      <c r="O5856">
        <v>0.21100950081606118</v>
      </c>
      <c r="P5856">
        <v>0.28287282959330262</v>
      </c>
    </row>
    <row r="5857" spans="13:16">
      <c r="M5857">
        <v>0.2733538648808902</v>
      </c>
      <c r="N5857">
        <v>0.18677436348125928</v>
      </c>
      <c r="O5857">
        <v>0.2789929001060884</v>
      </c>
      <c r="P5857">
        <v>0.26087887153176209</v>
      </c>
    </row>
    <row r="5858" spans="13:16">
      <c r="M5858">
        <v>0.27682704289049936</v>
      </c>
      <c r="N5858">
        <v>0.17748244365228835</v>
      </c>
      <c r="O5858">
        <v>0.28245596682641494</v>
      </c>
      <c r="P5858">
        <v>0.26323454663079743</v>
      </c>
    </row>
    <row r="5859" spans="13:16">
      <c r="M5859">
        <v>0.29474821612729185</v>
      </c>
      <c r="N5859">
        <v>0.17787439532295954</v>
      </c>
      <c r="O5859">
        <v>0.24536413998693993</v>
      </c>
      <c r="P5859">
        <v>0.28201324856280879</v>
      </c>
    </row>
    <row r="5860" spans="13:16">
      <c r="M5860">
        <v>0.29943100081530527</v>
      </c>
      <c r="N5860">
        <v>0.18037534045514964</v>
      </c>
      <c r="O5860">
        <v>0.2520880396308387</v>
      </c>
      <c r="P5860">
        <v>0.2681056190987065</v>
      </c>
    </row>
    <row r="5861" spans="13:16">
      <c r="M5861">
        <v>0.29917255338567533</v>
      </c>
      <c r="N5861">
        <v>0.18011967226827263</v>
      </c>
      <c r="O5861">
        <v>0.26900830320410957</v>
      </c>
      <c r="P5861">
        <v>0.25169947114194252</v>
      </c>
    </row>
    <row r="5862" spans="13:16">
      <c r="M5862">
        <v>0.28853380381498495</v>
      </c>
      <c r="N5862">
        <v>0.19294499614805471</v>
      </c>
      <c r="O5862">
        <v>0.23859034731627757</v>
      </c>
      <c r="P5862">
        <v>0.2799308527206828</v>
      </c>
    </row>
    <row r="5863" spans="13:16">
      <c r="M5863">
        <v>0.25988160190589066</v>
      </c>
      <c r="N5863">
        <v>0.20122985012426153</v>
      </c>
      <c r="O5863">
        <v>0.28654271323180291</v>
      </c>
      <c r="P5863">
        <v>0.25234583473804489</v>
      </c>
    </row>
    <row r="5864" spans="13:16">
      <c r="M5864">
        <v>0.29066884288631312</v>
      </c>
      <c r="N5864">
        <v>0.18247448739251088</v>
      </c>
      <c r="O5864">
        <v>0.25433391484994078</v>
      </c>
      <c r="P5864">
        <v>0.27252275487123501</v>
      </c>
    </row>
    <row r="5865" spans="13:16">
      <c r="M5865">
        <v>0.27526653740162438</v>
      </c>
      <c r="N5865">
        <v>0.18016056767054545</v>
      </c>
      <c r="O5865">
        <v>0.27570665639987896</v>
      </c>
      <c r="P5865">
        <v>0.26886623852795116</v>
      </c>
    </row>
    <row r="5866" spans="13:16">
      <c r="M5866">
        <v>0.31177683889623076</v>
      </c>
      <c r="N5866">
        <v>0.1912273519674732</v>
      </c>
      <c r="O5866">
        <v>0.22618091492174838</v>
      </c>
      <c r="P5866">
        <v>0.27081489421454774</v>
      </c>
    </row>
    <row r="5867" spans="13:16">
      <c r="M5867">
        <v>0.28040913963892289</v>
      </c>
      <c r="N5867">
        <v>0.18541726487813531</v>
      </c>
      <c r="O5867">
        <v>0.25443991757466766</v>
      </c>
      <c r="P5867">
        <v>0.27973367790827408</v>
      </c>
    </row>
    <row r="5868" spans="13:16">
      <c r="M5868">
        <v>0.3132591642721051</v>
      </c>
      <c r="N5868">
        <v>0.17129875007903095</v>
      </c>
      <c r="O5868">
        <v>0.26888742509966124</v>
      </c>
      <c r="P5868">
        <v>0.24655466054920286</v>
      </c>
    </row>
    <row r="5869" spans="13:16">
      <c r="M5869">
        <v>0.30286493716870516</v>
      </c>
      <c r="N5869">
        <v>0.17630830174722278</v>
      </c>
      <c r="O5869">
        <v>0.24715272873229863</v>
      </c>
      <c r="P5869">
        <v>0.27367403235177334</v>
      </c>
    </row>
    <row r="5870" spans="13:16">
      <c r="M5870">
        <v>0.29600195833908688</v>
      </c>
      <c r="N5870">
        <v>0.17933053158085949</v>
      </c>
      <c r="O5870">
        <v>0.25172197569149102</v>
      </c>
      <c r="P5870">
        <v>0.27294553438856256</v>
      </c>
    </row>
    <row r="5871" spans="13:16">
      <c r="M5871">
        <v>0.29689228331271861</v>
      </c>
      <c r="N5871">
        <v>0.197950956380233</v>
      </c>
      <c r="O5871">
        <v>0.23491677042976417</v>
      </c>
      <c r="P5871">
        <v>0.27023998987728431</v>
      </c>
    </row>
    <row r="5872" spans="13:16">
      <c r="M5872">
        <v>0.30783108104251145</v>
      </c>
      <c r="N5872">
        <v>0.18894711529712471</v>
      </c>
      <c r="O5872">
        <v>0.25049860402291446</v>
      </c>
      <c r="P5872">
        <v>0.25272319963744938</v>
      </c>
    </row>
    <row r="5873" spans="13:16">
      <c r="M5873">
        <v>0.30565124417162509</v>
      </c>
      <c r="N5873">
        <v>0.19649059671150618</v>
      </c>
      <c r="O5873">
        <v>0.24544334589482675</v>
      </c>
      <c r="P5873">
        <v>0.25241481322204207</v>
      </c>
    </row>
    <row r="5874" spans="13:16">
      <c r="M5874">
        <v>0.29250305835943069</v>
      </c>
      <c r="N5874">
        <v>0.18432004550610534</v>
      </c>
      <c r="O5874">
        <v>0.24066859620168135</v>
      </c>
      <c r="P5874">
        <v>0.28250829993278259</v>
      </c>
    </row>
    <row r="5875" spans="13:16">
      <c r="M5875">
        <v>0.29932682242230912</v>
      </c>
      <c r="N5875">
        <v>0.18317903159062451</v>
      </c>
      <c r="O5875">
        <v>0.24173123589715395</v>
      </c>
      <c r="P5875">
        <v>0.27576291008991238</v>
      </c>
    </row>
    <row r="5876" spans="13:16">
      <c r="M5876">
        <v>0.32725332421532782</v>
      </c>
      <c r="N5876">
        <v>0.16550561172660991</v>
      </c>
      <c r="O5876">
        <v>0.23981770273563863</v>
      </c>
      <c r="P5876">
        <v>0.26742336132242361</v>
      </c>
    </row>
    <row r="5877" spans="13:16">
      <c r="M5877">
        <v>0.31948785001124036</v>
      </c>
      <c r="N5877">
        <v>0.17163224651237244</v>
      </c>
      <c r="O5877">
        <v>0.24606023587679293</v>
      </c>
      <c r="P5877">
        <v>0.2628196675995943</v>
      </c>
    </row>
    <row r="5878" spans="13:16">
      <c r="M5878">
        <v>0.28847392879772643</v>
      </c>
      <c r="N5878">
        <v>0.2040997531026236</v>
      </c>
      <c r="O5878">
        <v>0.23459257044814508</v>
      </c>
      <c r="P5878">
        <v>0.27283374765150481</v>
      </c>
    </row>
    <row r="5879" spans="13:16">
      <c r="M5879">
        <v>0.27940723507849585</v>
      </c>
      <c r="N5879">
        <v>0.19163958767823824</v>
      </c>
      <c r="O5879">
        <v>0.24722642315065782</v>
      </c>
      <c r="P5879">
        <v>0.28172675409260806</v>
      </c>
    </row>
    <row r="5880" spans="13:16">
      <c r="M5880">
        <v>0.28416823298199989</v>
      </c>
      <c r="N5880">
        <v>0.17935792843243448</v>
      </c>
      <c r="O5880">
        <v>0.25993920294377409</v>
      </c>
      <c r="P5880">
        <v>0.27653463564179154</v>
      </c>
    </row>
    <row r="5881" spans="13:16">
      <c r="M5881">
        <v>0.29431785929493198</v>
      </c>
      <c r="N5881">
        <v>0.18490523684525767</v>
      </c>
      <c r="O5881">
        <v>0.25985944832387481</v>
      </c>
      <c r="P5881">
        <v>0.26091745553593559</v>
      </c>
    </row>
    <row r="5882" spans="13:16">
      <c r="M5882">
        <v>0.29784092449503319</v>
      </c>
      <c r="N5882">
        <v>0.19176313314228069</v>
      </c>
      <c r="O5882">
        <v>0.23278091619917796</v>
      </c>
      <c r="P5882">
        <v>0.27761502616350819</v>
      </c>
    </row>
    <row r="5883" spans="13:16">
      <c r="M5883">
        <v>0.31478820062007612</v>
      </c>
      <c r="N5883">
        <v>0.17871843053390143</v>
      </c>
      <c r="O5883">
        <v>0.24513738592982912</v>
      </c>
      <c r="P5883">
        <v>0.26135598291619322</v>
      </c>
    </row>
    <row r="5884" spans="13:16">
      <c r="M5884">
        <v>0.305864245822278</v>
      </c>
      <c r="N5884">
        <v>0.17134508504824278</v>
      </c>
      <c r="O5884">
        <v>0.26497965322171491</v>
      </c>
      <c r="P5884">
        <v>0.25781101590776428</v>
      </c>
    </row>
    <row r="5885" spans="13:16">
      <c r="M5885">
        <v>0.29983820186930943</v>
      </c>
      <c r="N5885">
        <v>0.17227671108320117</v>
      </c>
      <c r="O5885">
        <v>0.25365103037772629</v>
      </c>
      <c r="P5885">
        <v>0.27423405666976308</v>
      </c>
    </row>
    <row r="5886" spans="13:16">
      <c r="M5886">
        <v>0.27638921080775342</v>
      </c>
      <c r="N5886">
        <v>0.17558028704566098</v>
      </c>
      <c r="O5886">
        <v>0.27442217194819868</v>
      </c>
      <c r="P5886">
        <v>0.27360833019838698</v>
      </c>
    </row>
    <row r="5887" spans="13:16">
      <c r="M5887">
        <v>0.29924882589264651</v>
      </c>
      <c r="N5887">
        <v>0.19475045174081063</v>
      </c>
      <c r="O5887">
        <v>0.24564549320621101</v>
      </c>
      <c r="P5887">
        <v>0.26035522916033177</v>
      </c>
    </row>
    <row r="5888" spans="13:16">
      <c r="M5888">
        <v>0.30577737517346704</v>
      </c>
      <c r="N5888">
        <v>0.1930445134120499</v>
      </c>
      <c r="O5888">
        <v>0.23476165620760603</v>
      </c>
      <c r="P5888">
        <v>0.26641645520687712</v>
      </c>
    </row>
    <row r="5889" spans="13:16">
      <c r="M5889">
        <v>0.29561069236647836</v>
      </c>
      <c r="N5889">
        <v>0.16628417683227523</v>
      </c>
      <c r="O5889">
        <v>0.28635796806025815</v>
      </c>
      <c r="P5889">
        <v>0.25174716274098824</v>
      </c>
    </row>
    <row r="5890" spans="13:16">
      <c r="M5890">
        <v>0.29094548506039164</v>
      </c>
      <c r="N5890">
        <v>0.1863868079670338</v>
      </c>
      <c r="O5890">
        <v>0.26650085201849505</v>
      </c>
      <c r="P5890">
        <v>0.25616685495407943</v>
      </c>
    </row>
    <row r="5891" spans="13:16">
      <c r="M5891">
        <v>0.28099906164915722</v>
      </c>
      <c r="N5891">
        <v>0.18599408000828993</v>
      </c>
      <c r="O5891">
        <v>0.27048145963962095</v>
      </c>
      <c r="P5891">
        <v>0.2625253987029319</v>
      </c>
    </row>
    <row r="5892" spans="13:16">
      <c r="M5892">
        <v>0.27340281750177292</v>
      </c>
      <c r="N5892">
        <v>0.17833450954478081</v>
      </c>
      <c r="O5892">
        <v>0.29216516556195554</v>
      </c>
      <c r="P5892">
        <v>0.25609750739149079</v>
      </c>
    </row>
    <row r="5893" spans="13:16">
      <c r="M5893">
        <v>0.29214810276988956</v>
      </c>
      <c r="N5893">
        <v>0.18602717281885509</v>
      </c>
      <c r="O5893">
        <v>0.24750011469122193</v>
      </c>
      <c r="P5893">
        <v>0.27432460972003331</v>
      </c>
    </row>
    <row r="5894" spans="13:16">
      <c r="M5894">
        <v>0.28759455379137938</v>
      </c>
      <c r="N5894">
        <v>0.20106802834308307</v>
      </c>
      <c r="O5894">
        <v>0.24927183446450329</v>
      </c>
      <c r="P5894">
        <v>0.2620655834010342</v>
      </c>
    </row>
    <row r="5895" spans="13:16">
      <c r="M5895">
        <v>0.29975568488408355</v>
      </c>
      <c r="N5895">
        <v>0.19372485633049802</v>
      </c>
      <c r="O5895">
        <v>0.24024923673087481</v>
      </c>
      <c r="P5895">
        <v>0.26627022205454359</v>
      </c>
    </row>
    <row r="5896" spans="13:16">
      <c r="M5896">
        <v>0.27491643019878786</v>
      </c>
      <c r="N5896">
        <v>0.18884715545292091</v>
      </c>
      <c r="O5896">
        <v>0.26649611884065316</v>
      </c>
      <c r="P5896">
        <v>0.26974029550763801</v>
      </c>
    </row>
    <row r="5897" spans="13:16">
      <c r="M5897">
        <v>0.33513105815179084</v>
      </c>
      <c r="N5897">
        <v>0.16592969651207534</v>
      </c>
      <c r="O5897">
        <v>0.25667020032687327</v>
      </c>
      <c r="P5897">
        <v>0.24226904500926044</v>
      </c>
    </row>
    <row r="5898" spans="13:16">
      <c r="M5898">
        <v>0.3091054088176669</v>
      </c>
      <c r="N5898">
        <v>0.17274216911913939</v>
      </c>
      <c r="O5898">
        <v>0.25747232729803299</v>
      </c>
      <c r="P5898">
        <v>0.26068009476516063</v>
      </c>
    </row>
    <row r="5899" spans="13:16">
      <c r="M5899">
        <v>0.29028172913155337</v>
      </c>
      <c r="N5899">
        <v>0.19435007413112992</v>
      </c>
      <c r="O5899">
        <v>0.25949923199150443</v>
      </c>
      <c r="P5899">
        <v>0.25586896474581233</v>
      </c>
    </row>
    <row r="5900" spans="13:16">
      <c r="M5900">
        <v>0.29835534468546654</v>
      </c>
      <c r="N5900">
        <v>0.19224895005881665</v>
      </c>
      <c r="O5900">
        <v>0.24051513346220732</v>
      </c>
      <c r="P5900">
        <v>0.26888057179350949</v>
      </c>
    </row>
    <row r="5901" spans="13:16">
      <c r="M5901">
        <v>0.31322771702666968</v>
      </c>
      <c r="N5901">
        <v>0.17761875355947965</v>
      </c>
      <c r="O5901">
        <v>0.27456885896196276</v>
      </c>
      <c r="P5901">
        <v>0.23458467045188783</v>
      </c>
    </row>
    <row r="5902" spans="13:16">
      <c r="M5902">
        <v>0.31081437446593563</v>
      </c>
      <c r="N5902">
        <v>0.18846633017538439</v>
      </c>
      <c r="O5902">
        <v>0.22195194202023522</v>
      </c>
      <c r="P5902">
        <v>0.27876735333844482</v>
      </c>
    </row>
    <row r="5903" spans="13:16">
      <c r="M5903">
        <v>0.27140016208667828</v>
      </c>
      <c r="N5903">
        <v>0.20125842086039877</v>
      </c>
      <c r="O5903">
        <v>0.2487893245172178</v>
      </c>
      <c r="P5903">
        <v>0.27855209253570523</v>
      </c>
    </row>
    <row r="5904" spans="13:16">
      <c r="M5904">
        <v>0.29031685518430633</v>
      </c>
      <c r="N5904">
        <v>0.19087694217996073</v>
      </c>
      <c r="O5904">
        <v>0.25501168978896666</v>
      </c>
      <c r="P5904">
        <v>0.2637945128467663</v>
      </c>
    </row>
    <row r="5905" spans="13:16">
      <c r="M5905">
        <v>0.31679034312368221</v>
      </c>
      <c r="N5905">
        <v>0.16585094718469973</v>
      </c>
      <c r="O5905">
        <v>0.27507356398960686</v>
      </c>
      <c r="P5905">
        <v>0.24228514570201123</v>
      </c>
    </row>
    <row r="5906" spans="13:16">
      <c r="M5906">
        <v>0.29915257219549418</v>
      </c>
      <c r="N5906">
        <v>0.17900594114078197</v>
      </c>
      <c r="O5906">
        <v>0.25185381056489742</v>
      </c>
      <c r="P5906">
        <v>0.2699876760988264</v>
      </c>
    </row>
    <row r="5907" spans="13:16">
      <c r="M5907">
        <v>0.26460207874697678</v>
      </c>
      <c r="N5907">
        <v>0.19346281929907666</v>
      </c>
      <c r="O5907">
        <v>0.28658367815553071</v>
      </c>
      <c r="P5907">
        <v>0.2553514237984158</v>
      </c>
    </row>
    <row r="5908" spans="13:16">
      <c r="M5908">
        <v>0.25863382505941335</v>
      </c>
      <c r="N5908">
        <v>0.2076854817781621</v>
      </c>
      <c r="O5908">
        <v>0.26692064495050472</v>
      </c>
      <c r="P5908">
        <v>0.26676004821191995</v>
      </c>
    </row>
    <row r="5909" spans="13:16">
      <c r="M5909">
        <v>0.28660048397484383</v>
      </c>
      <c r="N5909">
        <v>0.21256696344195322</v>
      </c>
      <c r="O5909">
        <v>0.22981407980007967</v>
      </c>
      <c r="P5909">
        <v>0.27101847278312319</v>
      </c>
    </row>
    <row r="5910" spans="13:16">
      <c r="M5910">
        <v>0.29994372434250116</v>
      </c>
      <c r="N5910">
        <v>0.16782914211372779</v>
      </c>
      <c r="O5910">
        <v>0.27837622783592281</v>
      </c>
      <c r="P5910">
        <v>0.25385090570784824</v>
      </c>
    </row>
    <row r="5911" spans="13:16">
      <c r="M5911">
        <v>0.2929207416266148</v>
      </c>
      <c r="N5911">
        <v>0.18497654600228342</v>
      </c>
      <c r="O5911">
        <v>0.25931478095025573</v>
      </c>
      <c r="P5911">
        <v>0.262787931420846</v>
      </c>
    </row>
    <row r="5912" spans="13:16">
      <c r="M5912">
        <v>0.25948631836553521</v>
      </c>
      <c r="N5912">
        <v>0.20954924951557649</v>
      </c>
      <c r="O5912">
        <v>0.26591581852793522</v>
      </c>
      <c r="P5912">
        <v>0.26504861359095294</v>
      </c>
    </row>
    <row r="5913" spans="13:16">
      <c r="M5913">
        <v>0.31015572671685648</v>
      </c>
      <c r="N5913">
        <v>0.18353008108230068</v>
      </c>
      <c r="O5913">
        <v>0.25662940346901425</v>
      </c>
      <c r="P5913">
        <v>0.24968478873182862</v>
      </c>
    </row>
    <row r="5914" spans="13:16">
      <c r="M5914">
        <v>0.29046511129665398</v>
      </c>
      <c r="N5914">
        <v>0.17702339834307948</v>
      </c>
      <c r="O5914">
        <v>0.25758086952100218</v>
      </c>
      <c r="P5914">
        <v>0.27493062083926428</v>
      </c>
    </row>
    <row r="5915" spans="13:16">
      <c r="M5915">
        <v>0.27685091530913275</v>
      </c>
      <c r="N5915">
        <v>0.1977339651033935</v>
      </c>
      <c r="O5915">
        <v>0.26625646949725129</v>
      </c>
      <c r="P5915">
        <v>0.2591586500902226</v>
      </c>
    </row>
    <row r="5916" spans="13:16">
      <c r="M5916">
        <v>0.27917335714012359</v>
      </c>
      <c r="N5916">
        <v>0.17753821288693045</v>
      </c>
      <c r="O5916">
        <v>0.27252437234809918</v>
      </c>
      <c r="P5916">
        <v>0.27076405762484668</v>
      </c>
    </row>
    <row r="5917" spans="13:16">
      <c r="M5917">
        <v>0.31703471713942427</v>
      </c>
      <c r="N5917">
        <v>0.18728785384700666</v>
      </c>
      <c r="O5917">
        <v>0.21572443563077029</v>
      </c>
      <c r="P5917">
        <v>0.27995299338279883</v>
      </c>
    </row>
    <row r="5918" spans="13:16">
      <c r="M5918">
        <v>0.2854537284372074</v>
      </c>
      <c r="N5918">
        <v>0.19885333078513859</v>
      </c>
      <c r="O5918">
        <v>0.25198460897395708</v>
      </c>
      <c r="P5918">
        <v>0.26370833180369696</v>
      </c>
    </row>
    <row r="5919" spans="13:16">
      <c r="M5919">
        <v>0.30610974931342283</v>
      </c>
      <c r="N5919">
        <v>0.18255573312902965</v>
      </c>
      <c r="O5919">
        <v>0.25076035432176619</v>
      </c>
      <c r="P5919">
        <v>0.26057416323578142</v>
      </c>
    </row>
    <row r="5920" spans="13:16">
      <c r="M5920">
        <v>0.26412588092172967</v>
      </c>
      <c r="N5920">
        <v>0.19028651837580091</v>
      </c>
      <c r="O5920">
        <v>0.26211944820974947</v>
      </c>
      <c r="P5920">
        <v>0.28346815249272006</v>
      </c>
    </row>
    <row r="5921" spans="13:16">
      <c r="M5921">
        <v>0.28640498440589934</v>
      </c>
      <c r="N5921">
        <v>0.18761818152366669</v>
      </c>
      <c r="O5921">
        <v>0.27680274088030171</v>
      </c>
      <c r="P5921">
        <v>0.2491740931901322</v>
      </c>
    </row>
    <row r="5922" spans="13:16">
      <c r="M5922">
        <v>0.31454563908098809</v>
      </c>
      <c r="N5922">
        <v>0.19189905994765669</v>
      </c>
      <c r="O5922">
        <v>0.22782130048191959</v>
      </c>
      <c r="P5922">
        <v>0.26573400048943563</v>
      </c>
    </row>
    <row r="5923" spans="13:16">
      <c r="M5923">
        <v>0.28184199441180957</v>
      </c>
      <c r="N5923">
        <v>0.20757176834386687</v>
      </c>
      <c r="O5923">
        <v>0.22846257928298083</v>
      </c>
      <c r="P5923">
        <v>0.2821236579613427</v>
      </c>
    </row>
    <row r="5924" spans="13:16">
      <c r="M5924">
        <v>0.25666984921191693</v>
      </c>
      <c r="N5924">
        <v>0.18557116018690922</v>
      </c>
      <c r="O5924">
        <v>0.29991077848366615</v>
      </c>
      <c r="P5924">
        <v>0.25784821211750758</v>
      </c>
    </row>
    <row r="5925" spans="13:16">
      <c r="M5925">
        <v>0.31397025135612516</v>
      </c>
      <c r="N5925">
        <v>0.17129011572790051</v>
      </c>
      <c r="O5925">
        <v>0.24983468756929506</v>
      </c>
      <c r="P5925">
        <v>0.26490494534667935</v>
      </c>
    </row>
    <row r="5926" spans="13:16">
      <c r="M5926">
        <v>0.300453975969039</v>
      </c>
      <c r="N5926">
        <v>0.16840289027568636</v>
      </c>
      <c r="O5926">
        <v>0.26748656776247609</v>
      </c>
      <c r="P5926">
        <v>0.26365656599279852</v>
      </c>
    </row>
    <row r="5927" spans="13:16">
      <c r="M5927">
        <v>0.26992271171953347</v>
      </c>
      <c r="N5927">
        <v>0.20996311900183715</v>
      </c>
      <c r="O5927">
        <v>0.25102537056762786</v>
      </c>
      <c r="P5927">
        <v>0.26908879871100144</v>
      </c>
    </row>
    <row r="5928" spans="13:16">
      <c r="M5928">
        <v>0.28240070678871321</v>
      </c>
      <c r="N5928">
        <v>0.17980357979777092</v>
      </c>
      <c r="O5928">
        <v>0.27808455821683192</v>
      </c>
      <c r="P5928">
        <v>0.25971115519668381</v>
      </c>
    </row>
    <row r="5929" spans="13:16">
      <c r="M5929">
        <v>0.26591005331062306</v>
      </c>
      <c r="N5929">
        <v>0.19086165740707287</v>
      </c>
      <c r="O5929">
        <v>0.27954177530716295</v>
      </c>
      <c r="P5929">
        <v>0.26368651397514109</v>
      </c>
    </row>
    <row r="5930" spans="13:16">
      <c r="M5930">
        <v>0.29800789921807502</v>
      </c>
      <c r="N5930">
        <v>0.20664364808333419</v>
      </c>
      <c r="O5930">
        <v>0.21415505740655488</v>
      </c>
      <c r="P5930">
        <v>0.28119339529203607</v>
      </c>
    </row>
    <row r="5931" spans="13:16">
      <c r="M5931">
        <v>0.28474504698199921</v>
      </c>
      <c r="N5931">
        <v>0.18853137382343099</v>
      </c>
      <c r="O5931">
        <v>0.24850343536160094</v>
      </c>
      <c r="P5931">
        <v>0.27822014383296884</v>
      </c>
    </row>
    <row r="5932" spans="13:16">
      <c r="M5932">
        <v>0.32939143889280625</v>
      </c>
      <c r="N5932">
        <v>0.17608894794874438</v>
      </c>
      <c r="O5932">
        <v>0.22939753159645462</v>
      </c>
      <c r="P5932">
        <v>0.26512208156199479</v>
      </c>
    </row>
    <row r="5933" spans="13:16">
      <c r="M5933">
        <v>0.29472100380502658</v>
      </c>
      <c r="N5933">
        <v>0.19301781700169296</v>
      </c>
      <c r="O5933">
        <v>0.24219102184238389</v>
      </c>
      <c r="P5933">
        <v>0.27007015735089651</v>
      </c>
    </row>
    <row r="5934" spans="13:16">
      <c r="M5934">
        <v>0.35029572870030184</v>
      </c>
      <c r="N5934">
        <v>0.16469356361680249</v>
      </c>
      <c r="O5934">
        <v>0.22178462567069684</v>
      </c>
      <c r="P5934">
        <v>0.26322608201219871</v>
      </c>
    </row>
    <row r="5935" spans="13:16">
      <c r="M5935">
        <v>0.32428039902532624</v>
      </c>
      <c r="N5935">
        <v>0.16831504723710575</v>
      </c>
      <c r="O5935">
        <v>0.24819076048727762</v>
      </c>
      <c r="P5935">
        <v>0.25921379325029037</v>
      </c>
    </row>
    <row r="5936" spans="13:16">
      <c r="M5936">
        <v>0.31098155876636979</v>
      </c>
      <c r="N5936">
        <v>0.18389456446475255</v>
      </c>
      <c r="O5936">
        <v>0.25602669221358632</v>
      </c>
      <c r="P5936">
        <v>0.24909718455529126</v>
      </c>
    </row>
    <row r="5937" spans="13:16">
      <c r="M5937">
        <v>0.3054534314238701</v>
      </c>
      <c r="N5937">
        <v>0.19000970098571796</v>
      </c>
      <c r="O5937">
        <v>0.23043698022589262</v>
      </c>
      <c r="P5937">
        <v>0.27409988736451923</v>
      </c>
    </row>
    <row r="5938" spans="13:16">
      <c r="M5938">
        <v>0.28404129241158732</v>
      </c>
      <c r="N5938">
        <v>0.19490737074846443</v>
      </c>
      <c r="O5938">
        <v>0.25210046511166539</v>
      </c>
      <c r="P5938">
        <v>0.26895087172828286</v>
      </c>
    </row>
    <row r="5939" spans="13:16">
      <c r="M5939">
        <v>0.30796943488251882</v>
      </c>
      <c r="N5939">
        <v>0.1704308223490329</v>
      </c>
      <c r="O5939">
        <v>0.27198068192654762</v>
      </c>
      <c r="P5939">
        <v>0.24961906084190069</v>
      </c>
    </row>
    <row r="5940" spans="13:16">
      <c r="M5940">
        <v>0.29649107104469091</v>
      </c>
      <c r="N5940">
        <v>0.17032542487720834</v>
      </c>
      <c r="O5940">
        <v>0.27680044576586188</v>
      </c>
      <c r="P5940">
        <v>0.25638305831223879</v>
      </c>
    </row>
    <row r="5941" spans="13:16">
      <c r="M5941">
        <v>0.30582503331188882</v>
      </c>
      <c r="N5941">
        <v>0.18673631965159501</v>
      </c>
      <c r="O5941">
        <v>0.23351252794924909</v>
      </c>
      <c r="P5941">
        <v>0.27392611908726716</v>
      </c>
    </row>
    <row r="5942" spans="13:16">
      <c r="M5942">
        <v>0.27112280630533664</v>
      </c>
      <c r="N5942">
        <v>0.1879897491163697</v>
      </c>
      <c r="O5942">
        <v>0.27179601293332734</v>
      </c>
      <c r="P5942">
        <v>0.26909143164496635</v>
      </c>
    </row>
    <row r="5943" spans="13:16">
      <c r="M5943">
        <v>0.28062487968278232</v>
      </c>
      <c r="N5943">
        <v>0.17957767462755123</v>
      </c>
      <c r="O5943">
        <v>0.2590500724031698</v>
      </c>
      <c r="P5943">
        <v>0.28074737328649657</v>
      </c>
    </row>
    <row r="5944" spans="13:16">
      <c r="M5944">
        <v>0.28700736058963611</v>
      </c>
      <c r="N5944">
        <v>0.18738210548212272</v>
      </c>
      <c r="O5944">
        <v>0.26976288346534261</v>
      </c>
      <c r="P5944">
        <v>0.25584765046289853</v>
      </c>
    </row>
    <row r="5945" spans="13:16">
      <c r="M5945">
        <v>0.30776831901134016</v>
      </c>
      <c r="N5945">
        <v>0.18928630110847175</v>
      </c>
      <c r="O5945">
        <v>0.2420534777142074</v>
      </c>
      <c r="P5945">
        <v>0.26089190216598074</v>
      </c>
    </row>
    <row r="5946" spans="13:16">
      <c r="M5946">
        <v>0.31816632976590786</v>
      </c>
      <c r="N5946">
        <v>0.19553655597017477</v>
      </c>
      <c r="O5946">
        <v>0.23142321725984466</v>
      </c>
      <c r="P5946">
        <v>0.25487389700407265</v>
      </c>
    </row>
    <row r="5947" spans="13:16">
      <c r="M5947">
        <v>0.28462282800652439</v>
      </c>
      <c r="N5947">
        <v>0.1852746705181148</v>
      </c>
      <c r="O5947">
        <v>0.26122277836865726</v>
      </c>
      <c r="P5947">
        <v>0.26887972310670361</v>
      </c>
    </row>
    <row r="5948" spans="13:16">
      <c r="M5948">
        <v>0.31462294874937063</v>
      </c>
      <c r="N5948">
        <v>0.18542199803341344</v>
      </c>
      <c r="O5948">
        <v>0.24792711941389248</v>
      </c>
      <c r="P5948">
        <v>0.25202793380332345</v>
      </c>
    </row>
    <row r="5949" spans="13:16">
      <c r="M5949">
        <v>0.29614062713425288</v>
      </c>
      <c r="N5949">
        <v>0.19302678726536771</v>
      </c>
      <c r="O5949">
        <v>0.2544183884989405</v>
      </c>
      <c r="P5949">
        <v>0.25641419710143898</v>
      </c>
    </row>
    <row r="5950" spans="13:16">
      <c r="M5950">
        <v>0.29808235615317247</v>
      </c>
      <c r="N5950">
        <v>0.19170234206032694</v>
      </c>
      <c r="O5950">
        <v>0.26343404484620747</v>
      </c>
      <c r="P5950">
        <v>0.24678125694029321</v>
      </c>
    </row>
    <row r="5951" spans="13:16">
      <c r="M5951">
        <v>0.26883619566789246</v>
      </c>
      <c r="N5951">
        <v>0.18461635370360874</v>
      </c>
      <c r="O5951">
        <v>0.29135501129762348</v>
      </c>
      <c r="P5951">
        <v>0.25519243933087538</v>
      </c>
    </row>
    <row r="5952" spans="13:16">
      <c r="M5952">
        <v>0.29586243729777895</v>
      </c>
      <c r="N5952">
        <v>0.16781111148763408</v>
      </c>
      <c r="O5952">
        <v>0.26406002158532849</v>
      </c>
      <c r="P5952">
        <v>0.2722664296292584</v>
      </c>
    </row>
    <row r="5953" spans="13:16">
      <c r="M5953">
        <v>0.31138763700782152</v>
      </c>
      <c r="N5953">
        <v>0.19222768046509817</v>
      </c>
      <c r="O5953">
        <v>0.24185026162383821</v>
      </c>
      <c r="P5953">
        <v>0.25453442090324219</v>
      </c>
    </row>
    <row r="5954" spans="13:16">
      <c r="M5954">
        <v>0.28553998706725281</v>
      </c>
      <c r="N5954">
        <v>0.19738758666664777</v>
      </c>
      <c r="O5954">
        <v>0.22125131507967352</v>
      </c>
      <c r="P5954">
        <v>0.29582111118642596</v>
      </c>
    </row>
    <row r="5955" spans="13:16">
      <c r="M5955">
        <v>0.31076493738499456</v>
      </c>
      <c r="N5955">
        <v>0.19070499789453582</v>
      </c>
      <c r="O5955">
        <v>0.23873875542064055</v>
      </c>
      <c r="P5955">
        <v>0.25979130929982913</v>
      </c>
    </row>
    <row r="5956" spans="13:16">
      <c r="M5956">
        <v>0.26581692318835615</v>
      </c>
      <c r="N5956">
        <v>0.19386465026153388</v>
      </c>
      <c r="O5956">
        <v>0.28037626432323026</v>
      </c>
      <c r="P5956">
        <v>0.25994216222687982</v>
      </c>
    </row>
    <row r="5957" spans="13:16">
      <c r="M5957">
        <v>0.27963175820961667</v>
      </c>
      <c r="N5957">
        <v>0.21478682784829373</v>
      </c>
      <c r="O5957">
        <v>0.23007464081607745</v>
      </c>
      <c r="P5957">
        <v>0.27550677312601218</v>
      </c>
    </row>
    <row r="5958" spans="13:16">
      <c r="M5958">
        <v>0.27269811033648306</v>
      </c>
      <c r="N5958">
        <v>0.19466083313810895</v>
      </c>
      <c r="O5958">
        <v>0.26074610751914867</v>
      </c>
      <c r="P5958">
        <v>0.27189494900625921</v>
      </c>
    </row>
    <row r="5959" spans="13:16">
      <c r="M5959">
        <v>0.30837419665061866</v>
      </c>
      <c r="N5959">
        <v>0.1664515976304804</v>
      </c>
      <c r="O5959">
        <v>0.28535798176632271</v>
      </c>
      <c r="P5959">
        <v>0.23981622395257821</v>
      </c>
    </row>
    <row r="5960" spans="13:16">
      <c r="M5960">
        <v>0.27576726258095791</v>
      </c>
      <c r="N5960">
        <v>0.20183274878861837</v>
      </c>
      <c r="O5960">
        <v>0.26289549990581085</v>
      </c>
      <c r="P5960">
        <v>0.25950448872461296</v>
      </c>
    </row>
    <row r="5961" spans="13:16">
      <c r="M5961">
        <v>0.29556372181869822</v>
      </c>
      <c r="N5961">
        <v>0.1903624221140808</v>
      </c>
      <c r="O5961">
        <v>0.23198187402595866</v>
      </c>
      <c r="P5961">
        <v>0.2820919820412624</v>
      </c>
    </row>
    <row r="5962" spans="13:16">
      <c r="M5962">
        <v>0.2702960807310783</v>
      </c>
      <c r="N5962">
        <v>0.19049867643808738</v>
      </c>
      <c r="O5962">
        <v>0.27139529010783436</v>
      </c>
      <c r="P5962">
        <v>0.26780995272299996</v>
      </c>
    </row>
    <row r="5963" spans="13:16">
      <c r="M5963">
        <v>0.31027106397361626</v>
      </c>
      <c r="N5963">
        <v>0.17930594115895754</v>
      </c>
      <c r="O5963">
        <v>0.23828101602215662</v>
      </c>
      <c r="P5963">
        <v>0.27214197884526958</v>
      </c>
    </row>
    <row r="5964" spans="13:16">
      <c r="M5964">
        <v>0.26985093171461683</v>
      </c>
      <c r="N5964">
        <v>0.18805979716154289</v>
      </c>
      <c r="O5964">
        <v>0.27388149494791497</v>
      </c>
      <c r="P5964">
        <v>0.26820777617592517</v>
      </c>
    </row>
    <row r="5965" spans="13:16">
      <c r="M5965">
        <v>0.29903469063908161</v>
      </c>
      <c r="N5965">
        <v>0.17226567873663612</v>
      </c>
      <c r="O5965">
        <v>0.26076667699952022</v>
      </c>
      <c r="P5965">
        <v>0.2679329536247621</v>
      </c>
    </row>
    <row r="5966" spans="13:16">
      <c r="M5966">
        <v>0.2599538609417586</v>
      </c>
      <c r="N5966">
        <v>0.19380659928132613</v>
      </c>
      <c r="O5966">
        <v>0.29515066129967554</v>
      </c>
      <c r="P5966">
        <v>0.25108887847723971</v>
      </c>
    </row>
    <row r="5967" spans="13:16">
      <c r="M5967">
        <v>0.29093080268708321</v>
      </c>
      <c r="N5967">
        <v>0.17354502615080955</v>
      </c>
      <c r="O5967">
        <v>0.28083205133524702</v>
      </c>
      <c r="P5967">
        <v>0.25469211982686024</v>
      </c>
    </row>
    <row r="5968" spans="13:16">
      <c r="M5968">
        <v>0.30028997503947163</v>
      </c>
      <c r="N5968">
        <v>0.18413157375845274</v>
      </c>
      <c r="O5968">
        <v>0.26004696308164171</v>
      </c>
      <c r="P5968">
        <v>0.2555314881204338</v>
      </c>
    </row>
    <row r="5969" spans="13:16">
      <c r="M5969">
        <v>0.26528623224693243</v>
      </c>
      <c r="N5969">
        <v>0.18672210672171488</v>
      </c>
      <c r="O5969">
        <v>0.28063579481731532</v>
      </c>
      <c r="P5969">
        <v>0.26735586621403745</v>
      </c>
    </row>
    <row r="5970" spans="13:16">
      <c r="M5970">
        <v>0.28442169465995365</v>
      </c>
      <c r="N5970">
        <v>0.18467450439989333</v>
      </c>
      <c r="O5970">
        <v>0.25007610768958588</v>
      </c>
      <c r="P5970">
        <v>0.28082769325056717</v>
      </c>
    </row>
    <row r="5971" spans="13:16">
      <c r="M5971">
        <v>0.27467609773703117</v>
      </c>
      <c r="N5971">
        <v>0.19043750384212874</v>
      </c>
      <c r="O5971">
        <v>0.26741105464184972</v>
      </c>
      <c r="P5971">
        <v>0.26747534377899029</v>
      </c>
    </row>
    <row r="5972" spans="13:16">
      <c r="M5972">
        <v>0.30278512966142446</v>
      </c>
      <c r="N5972">
        <v>0.17702777773025075</v>
      </c>
      <c r="O5972">
        <v>0.26584161735793566</v>
      </c>
      <c r="P5972">
        <v>0.25434547525038914</v>
      </c>
    </row>
    <row r="5973" spans="13:16">
      <c r="M5973">
        <v>0.28632769686195575</v>
      </c>
      <c r="N5973">
        <v>0.19138117468318669</v>
      </c>
      <c r="O5973">
        <v>0.2380429471335205</v>
      </c>
      <c r="P5973">
        <v>0.28424818132133711</v>
      </c>
    </row>
    <row r="5974" spans="13:16">
      <c r="M5974">
        <v>0.29104938393527618</v>
      </c>
      <c r="N5974">
        <v>0.17518122009383524</v>
      </c>
      <c r="O5974">
        <v>0.26067063977831767</v>
      </c>
      <c r="P5974">
        <v>0.27309875619257096</v>
      </c>
    </row>
    <row r="5975" spans="13:16">
      <c r="M5975">
        <v>0.27858550138999189</v>
      </c>
      <c r="N5975">
        <v>0.19593416230110669</v>
      </c>
      <c r="O5975">
        <v>0.23605958345250841</v>
      </c>
      <c r="P5975">
        <v>0.28942075285639296</v>
      </c>
    </row>
    <row r="5976" spans="13:16">
      <c r="M5976">
        <v>0.28791006263477709</v>
      </c>
      <c r="N5976">
        <v>0.1705463924368085</v>
      </c>
      <c r="O5976">
        <v>0.27687441274962848</v>
      </c>
      <c r="P5976">
        <v>0.26466913217878602</v>
      </c>
    </row>
    <row r="5977" spans="13:16">
      <c r="M5977">
        <v>0.30017383312375723</v>
      </c>
      <c r="N5977">
        <v>0.18864374965542374</v>
      </c>
      <c r="O5977">
        <v>0.24156168479463902</v>
      </c>
      <c r="P5977">
        <v>0.26962073242617995</v>
      </c>
    </row>
    <row r="5978" spans="13:16">
      <c r="M5978">
        <v>0.26924411143668786</v>
      </c>
      <c r="N5978">
        <v>0.20655677099551253</v>
      </c>
      <c r="O5978">
        <v>0.25465072297973124</v>
      </c>
      <c r="P5978">
        <v>0.2695483945880684</v>
      </c>
    </row>
    <row r="5979" spans="13:16">
      <c r="M5979">
        <v>0.2697333869251427</v>
      </c>
      <c r="N5979">
        <v>0.18017584166353692</v>
      </c>
      <c r="O5979">
        <v>0.28922402662514191</v>
      </c>
      <c r="P5979">
        <v>0.26086674478617827</v>
      </c>
    </row>
    <row r="5980" spans="13:16">
      <c r="M5980">
        <v>0.30785158930395079</v>
      </c>
      <c r="N5980">
        <v>0.1668410838037096</v>
      </c>
      <c r="O5980">
        <v>0.26515077664101311</v>
      </c>
      <c r="P5980">
        <v>0.26015655025132639</v>
      </c>
    </row>
    <row r="5981" spans="13:16">
      <c r="M5981">
        <v>0.28997669611232829</v>
      </c>
      <c r="N5981">
        <v>0.19002370439088898</v>
      </c>
      <c r="O5981">
        <v>0.24609750883400472</v>
      </c>
      <c r="P5981">
        <v>0.27390209066277799</v>
      </c>
    </row>
    <row r="5982" spans="13:16">
      <c r="M5982">
        <v>0.28856963718133111</v>
      </c>
      <c r="N5982">
        <v>0.18846951764218059</v>
      </c>
      <c r="O5982">
        <v>0.25770967551949997</v>
      </c>
      <c r="P5982">
        <v>0.26525116965698842</v>
      </c>
    </row>
    <row r="5983" spans="13:16">
      <c r="M5983">
        <v>0.29362397890127606</v>
      </c>
      <c r="N5983">
        <v>0.20626347368420128</v>
      </c>
      <c r="O5983">
        <v>0.23609879021758856</v>
      </c>
      <c r="P5983">
        <v>0.2640137571969341</v>
      </c>
    </row>
    <row r="5984" spans="13:16">
      <c r="M5984">
        <v>0.27385367903853003</v>
      </c>
      <c r="N5984">
        <v>0.19310523211876279</v>
      </c>
      <c r="O5984">
        <v>0.26988263745444191</v>
      </c>
      <c r="P5984">
        <v>0.26315845138826527</v>
      </c>
    </row>
    <row r="5985" spans="13:16">
      <c r="M5985">
        <v>0.28512934653055283</v>
      </c>
      <c r="N5985">
        <v>0.19202106429547924</v>
      </c>
      <c r="O5985">
        <v>0.25522407647779788</v>
      </c>
      <c r="P5985">
        <v>0.26762551269617002</v>
      </c>
    </row>
    <row r="5986" spans="13:16">
      <c r="M5986">
        <v>0.32026344993494194</v>
      </c>
      <c r="N5986">
        <v>0.19984667651691315</v>
      </c>
      <c r="O5986">
        <v>0.21260398368053859</v>
      </c>
      <c r="P5986">
        <v>0.26728588986760626</v>
      </c>
    </row>
    <row r="5987" spans="13:16">
      <c r="M5987">
        <v>0.28591348558212548</v>
      </c>
      <c r="N5987">
        <v>0.1669520284015685</v>
      </c>
      <c r="O5987">
        <v>0.30122845416805405</v>
      </c>
      <c r="P5987">
        <v>0.24590603184825194</v>
      </c>
    </row>
    <row r="5988" spans="13:16">
      <c r="M5988">
        <v>0.26752771859925983</v>
      </c>
      <c r="N5988">
        <v>0.19148524509923362</v>
      </c>
      <c r="O5988">
        <v>0.2829389820796101</v>
      </c>
      <c r="P5988">
        <v>0.25804805422189653</v>
      </c>
    </row>
    <row r="5989" spans="13:16">
      <c r="M5989">
        <v>0.30191925274628101</v>
      </c>
      <c r="N5989">
        <v>0.17019026505218213</v>
      </c>
      <c r="O5989">
        <v>0.26924332928030009</v>
      </c>
      <c r="P5989">
        <v>0.25864715292123669</v>
      </c>
    </row>
    <row r="5990" spans="13:16">
      <c r="M5990">
        <v>0.30885008983880169</v>
      </c>
      <c r="N5990">
        <v>0.17772469399787322</v>
      </c>
      <c r="O5990">
        <v>0.25048451216865802</v>
      </c>
      <c r="P5990">
        <v>0.26294070399466707</v>
      </c>
    </row>
    <row r="5991" spans="13:16">
      <c r="M5991">
        <v>0.30564825041981697</v>
      </c>
      <c r="N5991">
        <v>0.19105058327713378</v>
      </c>
      <c r="O5991">
        <v>0.24326961091858793</v>
      </c>
      <c r="P5991">
        <v>0.26003155538446115</v>
      </c>
    </row>
    <row r="5992" spans="13:16">
      <c r="M5992">
        <v>0.30308282779147866</v>
      </c>
      <c r="N5992">
        <v>0.17560508371419287</v>
      </c>
      <c r="O5992">
        <v>0.25658623105292439</v>
      </c>
      <c r="P5992">
        <v>0.26472585744140392</v>
      </c>
    </row>
    <row r="5993" spans="13:16">
      <c r="M5993">
        <v>0.28611900866680184</v>
      </c>
      <c r="N5993">
        <v>0.19068394901666827</v>
      </c>
      <c r="O5993">
        <v>0.27489792741551167</v>
      </c>
      <c r="P5993">
        <v>0.24829911490101822</v>
      </c>
    </row>
    <row r="5994" spans="13:16">
      <c r="M5994">
        <v>0.26179226012396117</v>
      </c>
      <c r="N5994">
        <v>0.20247701482880809</v>
      </c>
      <c r="O5994">
        <v>0.26855226547900041</v>
      </c>
      <c r="P5994">
        <v>0.26717845956823033</v>
      </c>
    </row>
    <row r="5995" spans="13:16">
      <c r="M5995">
        <v>0.27276067399378973</v>
      </c>
      <c r="N5995">
        <v>0.2007033342325357</v>
      </c>
      <c r="O5995">
        <v>0.26096782786444156</v>
      </c>
      <c r="P5995">
        <v>0.26556816390923299</v>
      </c>
    </row>
    <row r="5996" spans="13:16">
      <c r="M5996">
        <v>0.29762195719538531</v>
      </c>
      <c r="N5996">
        <v>0.17185954027744871</v>
      </c>
      <c r="O5996">
        <v>0.28947808496103833</v>
      </c>
      <c r="P5996">
        <v>0.24104041756612765</v>
      </c>
    </row>
    <row r="5997" spans="13:16">
      <c r="M5997">
        <v>0.28458699659392012</v>
      </c>
      <c r="N5997">
        <v>0.1852250682678234</v>
      </c>
      <c r="O5997">
        <v>0.273864185148737</v>
      </c>
      <c r="P5997">
        <v>0.25632374998951946</v>
      </c>
    </row>
    <row r="5998" spans="13:16">
      <c r="M5998">
        <v>0.28344911834667152</v>
      </c>
      <c r="N5998">
        <v>0.18428547090037786</v>
      </c>
      <c r="O5998">
        <v>0.2708427268510743</v>
      </c>
      <c r="P5998">
        <v>0.26142268390187634</v>
      </c>
    </row>
    <row r="5999" spans="13:16">
      <c r="M5999">
        <v>0.30179638689767907</v>
      </c>
      <c r="N5999">
        <v>0.18742545874134836</v>
      </c>
      <c r="O5999">
        <v>0.26170387205055468</v>
      </c>
      <c r="P5999">
        <v>0.24907428231041787</v>
      </c>
    </row>
    <row r="6000" spans="13:16">
      <c r="M6000">
        <v>0.30704280777168608</v>
      </c>
      <c r="N6000">
        <v>0.18685715532406022</v>
      </c>
      <c r="O6000">
        <v>0.23118611665284505</v>
      </c>
      <c r="P6000">
        <v>0.27491392025140871</v>
      </c>
    </row>
    <row r="6001" spans="13:16">
      <c r="M6001">
        <v>0.3228294367233232</v>
      </c>
      <c r="N6001">
        <v>0.18040441039577346</v>
      </c>
      <c r="O6001">
        <v>0.22386551736395216</v>
      </c>
      <c r="P6001">
        <v>0.27290063551695115</v>
      </c>
    </row>
    <row r="6002" spans="13:16">
      <c r="M6002">
        <v>0.29110151829912451</v>
      </c>
      <c r="N6002">
        <v>0.21362677830616422</v>
      </c>
      <c r="O6002">
        <v>0.22661990690625264</v>
      </c>
      <c r="P6002">
        <v>0.26865179648845861</v>
      </c>
    </row>
    <row r="6003" spans="13:16">
      <c r="M6003">
        <v>0.30729150982036735</v>
      </c>
      <c r="N6003">
        <v>0.17616182187584498</v>
      </c>
      <c r="O6003">
        <v>0.27008751105621792</v>
      </c>
      <c r="P6003">
        <v>0.24645915724756989</v>
      </c>
    </row>
    <row r="6004" spans="13:16">
      <c r="M6004">
        <v>0.28222142348238516</v>
      </c>
      <c r="N6004">
        <v>0.20468738403645251</v>
      </c>
      <c r="O6004">
        <v>0.23099474490665894</v>
      </c>
      <c r="P6004">
        <v>0.28209644757450342</v>
      </c>
    </row>
    <row r="6005" spans="13:16">
      <c r="M6005">
        <v>0.31648138191342623</v>
      </c>
      <c r="N6005">
        <v>0.17573148059702723</v>
      </c>
      <c r="O6005">
        <v>0.25737540489904459</v>
      </c>
      <c r="P6005">
        <v>0.25041173259050198</v>
      </c>
    </row>
    <row r="6006" spans="13:16">
      <c r="M6006">
        <v>0.30556277134414828</v>
      </c>
      <c r="N6006">
        <v>0.20253685114428616</v>
      </c>
      <c r="O6006">
        <v>0.20911036857834764</v>
      </c>
      <c r="P6006">
        <v>0.28279000893321793</v>
      </c>
    </row>
    <row r="6007" spans="13:16">
      <c r="M6007">
        <v>0.28930457731503978</v>
      </c>
      <c r="N6007">
        <v>0.17528060137333376</v>
      </c>
      <c r="O6007">
        <v>0.28220814556866447</v>
      </c>
      <c r="P6007">
        <v>0.25320667574296196</v>
      </c>
    </row>
    <row r="6008" spans="13:16">
      <c r="M6008">
        <v>0.31020104390909475</v>
      </c>
      <c r="N6008">
        <v>0.19792926665200983</v>
      </c>
      <c r="O6008">
        <v>0.2159501875603759</v>
      </c>
      <c r="P6008">
        <v>0.2759195018785196</v>
      </c>
    </row>
    <row r="6009" spans="13:16">
      <c r="M6009">
        <v>0.33585633630528661</v>
      </c>
      <c r="N6009">
        <v>0.17844928510239075</v>
      </c>
      <c r="O6009">
        <v>0.24025308346983135</v>
      </c>
      <c r="P6009">
        <v>0.24544129512249127</v>
      </c>
    </row>
    <row r="6010" spans="13:16">
      <c r="M6010">
        <v>0.28519747727504002</v>
      </c>
      <c r="N6010">
        <v>0.18170033012242054</v>
      </c>
      <c r="O6010">
        <v>0.27940160176617618</v>
      </c>
      <c r="P6010">
        <v>0.25370059083636326</v>
      </c>
    </row>
    <row r="6011" spans="13:16">
      <c r="M6011">
        <v>0.29059100830371554</v>
      </c>
      <c r="N6011">
        <v>0.1672613103428483</v>
      </c>
      <c r="O6011">
        <v>0.29372302848415166</v>
      </c>
      <c r="P6011">
        <v>0.24842465286928453</v>
      </c>
    </row>
    <row r="6012" spans="13:16">
      <c r="M6012">
        <v>0.31384759192277145</v>
      </c>
      <c r="N6012">
        <v>0.18086995906356751</v>
      </c>
      <c r="O6012">
        <v>0.24652891781524933</v>
      </c>
      <c r="P6012">
        <v>0.25875353119841188</v>
      </c>
    </row>
    <row r="6013" spans="13:16">
      <c r="M6013">
        <v>0.31550298692232742</v>
      </c>
      <c r="N6013">
        <v>0.19103681207368728</v>
      </c>
      <c r="O6013">
        <v>0.23136108485600618</v>
      </c>
      <c r="P6013">
        <v>0.26209911614797904</v>
      </c>
    </row>
    <row r="6014" spans="13:16">
      <c r="M6014">
        <v>0.26261588485027876</v>
      </c>
      <c r="N6014">
        <v>0.19283096473002059</v>
      </c>
      <c r="O6014">
        <v>0.2918508972933187</v>
      </c>
      <c r="P6014">
        <v>0.25270225312638195</v>
      </c>
    </row>
    <row r="6015" spans="13:16">
      <c r="M6015">
        <v>0.28626180824480901</v>
      </c>
      <c r="N6015">
        <v>0.17673769098663741</v>
      </c>
      <c r="O6015">
        <v>0.26300304212777464</v>
      </c>
      <c r="P6015">
        <v>0.2739974586407789</v>
      </c>
    </row>
    <row r="6016" spans="13:16">
      <c r="M6016">
        <v>0.28715499276955592</v>
      </c>
      <c r="N6016">
        <v>0.18119049028745846</v>
      </c>
      <c r="O6016">
        <v>0.28117465649697682</v>
      </c>
      <c r="P6016">
        <v>0.25047986044600873</v>
      </c>
    </row>
    <row r="6017" spans="13:16">
      <c r="M6017">
        <v>0.33001343649908393</v>
      </c>
      <c r="N6017">
        <v>0.16454814506330145</v>
      </c>
      <c r="O6017">
        <v>0.24985321468016253</v>
      </c>
      <c r="P6017">
        <v>0.2555852037574522</v>
      </c>
    </row>
    <row r="6018" spans="13:16">
      <c r="M6018">
        <v>0.30609329867686519</v>
      </c>
      <c r="N6018">
        <v>0.16161077439952609</v>
      </c>
      <c r="O6018">
        <v>0.28588555048940101</v>
      </c>
      <c r="P6018">
        <v>0.24641037643420774</v>
      </c>
    </row>
    <row r="6019" spans="13:16">
      <c r="M6019">
        <v>0.28481709191507038</v>
      </c>
      <c r="N6019">
        <v>0.18737411203930546</v>
      </c>
      <c r="O6019">
        <v>0.24657599710706582</v>
      </c>
      <c r="P6019">
        <v>0.28123279893855846</v>
      </c>
    </row>
    <row r="6020" spans="13:16">
      <c r="M6020">
        <v>0.27042125193712624</v>
      </c>
      <c r="N6020">
        <v>0.18969827237423983</v>
      </c>
      <c r="O6020">
        <v>0.27362139147147618</v>
      </c>
      <c r="P6020">
        <v>0.26625908421715783</v>
      </c>
    </row>
    <row r="6021" spans="13:16">
      <c r="M6021">
        <v>0.28245546148667339</v>
      </c>
      <c r="N6021">
        <v>0.16951829686776804</v>
      </c>
      <c r="O6021">
        <v>0.28795929978500628</v>
      </c>
      <c r="P6021">
        <v>0.26006694186055224</v>
      </c>
    </row>
    <row r="6022" spans="13:16">
      <c r="M6022">
        <v>0.31393793971797523</v>
      </c>
      <c r="N6022">
        <v>0.17454314880975499</v>
      </c>
      <c r="O6022">
        <v>0.24232233616900881</v>
      </c>
      <c r="P6022">
        <v>0.26919657530326091</v>
      </c>
    </row>
    <row r="6023" spans="13:16">
      <c r="M6023">
        <v>0.28934206298755638</v>
      </c>
      <c r="N6023">
        <v>0.18390503106743264</v>
      </c>
      <c r="O6023">
        <v>0.26569940752194005</v>
      </c>
      <c r="P6023">
        <v>0.26105349842307091</v>
      </c>
    </row>
    <row r="6024" spans="13:16">
      <c r="M6024">
        <v>0.26838203734304295</v>
      </c>
      <c r="N6024">
        <v>0.17720239548031763</v>
      </c>
      <c r="O6024">
        <v>0.29326644343002661</v>
      </c>
      <c r="P6024">
        <v>0.26114912374661292</v>
      </c>
    </row>
    <row r="6025" spans="13:16">
      <c r="M6025">
        <v>0.27319098623003529</v>
      </c>
      <c r="N6025">
        <v>0.19436620473225466</v>
      </c>
      <c r="O6025">
        <v>0.26569921289753023</v>
      </c>
      <c r="P6025">
        <v>0.26674359614017989</v>
      </c>
    </row>
    <row r="6026" spans="13:16">
      <c r="M6026">
        <v>0.31541276949039793</v>
      </c>
      <c r="N6026">
        <v>0.18768794059607474</v>
      </c>
      <c r="O6026">
        <v>0.24222879770512859</v>
      </c>
      <c r="P6026">
        <v>0.25467049220839877</v>
      </c>
    </row>
    <row r="6027" spans="13:16">
      <c r="M6027">
        <v>0.30235102313013512</v>
      </c>
      <c r="N6027">
        <v>0.19734724642127188</v>
      </c>
      <c r="O6027">
        <v>0.25014573138509305</v>
      </c>
      <c r="P6027">
        <v>0.25015599906350006</v>
      </c>
    </row>
    <row r="6028" spans="13:16">
      <c r="M6028">
        <v>0.31047900676476459</v>
      </c>
      <c r="N6028">
        <v>0.17274120809721732</v>
      </c>
      <c r="O6028">
        <v>0.25511933262164693</v>
      </c>
      <c r="P6028">
        <v>0.26166045251637121</v>
      </c>
    </row>
    <row r="6029" spans="13:16">
      <c r="M6029">
        <v>0.28054528830031644</v>
      </c>
      <c r="N6029">
        <v>0.19677587644717637</v>
      </c>
      <c r="O6029">
        <v>0.23309860791141773</v>
      </c>
      <c r="P6029">
        <v>0.28958022734108951</v>
      </c>
    </row>
    <row r="6030" spans="13:16">
      <c r="M6030">
        <v>0.29546496136941558</v>
      </c>
      <c r="N6030">
        <v>0.19267084202361318</v>
      </c>
      <c r="O6030">
        <v>0.23078806758817322</v>
      </c>
      <c r="P6030">
        <v>0.28107612901879803</v>
      </c>
    </row>
    <row r="6031" spans="13:16">
      <c r="M6031">
        <v>0.30422117146116984</v>
      </c>
      <c r="N6031">
        <v>0.17393626906108342</v>
      </c>
      <c r="O6031">
        <v>0.28041405554334559</v>
      </c>
      <c r="P6031">
        <v>0.24142850393440099</v>
      </c>
    </row>
    <row r="6032" spans="13:16">
      <c r="M6032">
        <v>0.25581997452391997</v>
      </c>
      <c r="N6032">
        <v>0.1861301390400795</v>
      </c>
      <c r="O6032">
        <v>0.30317384048857982</v>
      </c>
      <c r="P6032">
        <v>0.25487604594742058</v>
      </c>
    </row>
    <row r="6033" spans="13:16">
      <c r="M6033">
        <v>0.28850111993762501</v>
      </c>
      <c r="N6033">
        <v>0.18566643506382086</v>
      </c>
      <c r="O6033">
        <v>0.26408884615753747</v>
      </c>
      <c r="P6033">
        <v>0.26174359884101678</v>
      </c>
    </row>
    <row r="6034" spans="13:16">
      <c r="M6034">
        <v>0.2622200266329161</v>
      </c>
      <c r="N6034">
        <v>0.18716008669921216</v>
      </c>
      <c r="O6034">
        <v>0.29096822047261262</v>
      </c>
      <c r="P6034">
        <v>0.25965166619525909</v>
      </c>
    </row>
    <row r="6035" spans="13:16">
      <c r="M6035">
        <v>0.31483682523456757</v>
      </c>
      <c r="N6035">
        <v>0.18160230792154111</v>
      </c>
      <c r="O6035">
        <v>0.24122605856740717</v>
      </c>
      <c r="P6035">
        <v>0.26233480827648409</v>
      </c>
    </row>
    <row r="6036" spans="13:16">
      <c r="M6036">
        <v>0.28738285671559616</v>
      </c>
      <c r="N6036">
        <v>0.1818896772480664</v>
      </c>
      <c r="O6036">
        <v>0.27268293554417017</v>
      </c>
      <c r="P6036">
        <v>0.25804453049216713</v>
      </c>
    </row>
    <row r="6037" spans="13:16">
      <c r="M6037">
        <v>0.28013436302627837</v>
      </c>
      <c r="N6037">
        <v>0.19989500771668631</v>
      </c>
      <c r="O6037">
        <v>0.2586412329988021</v>
      </c>
      <c r="P6037">
        <v>0.26132939625823315</v>
      </c>
    </row>
    <row r="6038" spans="13:16">
      <c r="M6038">
        <v>0.29274626671247339</v>
      </c>
      <c r="N6038">
        <v>0.2027797313207417</v>
      </c>
      <c r="O6038">
        <v>0.23985922356460876</v>
      </c>
      <c r="P6038">
        <v>0.26461477840217618</v>
      </c>
    </row>
    <row r="6039" spans="13:16">
      <c r="M6039">
        <v>0.29813250772639555</v>
      </c>
      <c r="N6039">
        <v>0.17347371281025581</v>
      </c>
      <c r="O6039">
        <v>0.27010461781739648</v>
      </c>
      <c r="P6039">
        <v>0.25828916164595223</v>
      </c>
    </row>
    <row r="6040" spans="13:16">
      <c r="M6040">
        <v>0.30528198196033884</v>
      </c>
      <c r="N6040">
        <v>0.17309707968954255</v>
      </c>
      <c r="O6040">
        <v>0.25246099492350826</v>
      </c>
      <c r="P6040">
        <v>0.26915994342661032</v>
      </c>
    </row>
    <row r="6041" spans="13:16">
      <c r="M6041">
        <v>0.30994048211132669</v>
      </c>
      <c r="N6041">
        <v>0.18075163369832553</v>
      </c>
      <c r="O6041">
        <v>0.26824600976802659</v>
      </c>
      <c r="P6041">
        <v>0.24106187442232113</v>
      </c>
    </row>
    <row r="6042" spans="13:16">
      <c r="M6042">
        <v>0.28166785226442109</v>
      </c>
      <c r="N6042">
        <v>0.19184049658901248</v>
      </c>
      <c r="O6042">
        <v>0.25325574316560173</v>
      </c>
      <c r="P6042">
        <v>0.2732359079809647</v>
      </c>
    </row>
    <row r="6043" spans="13:16">
      <c r="M6043">
        <v>0.29662471719460259</v>
      </c>
      <c r="N6043">
        <v>0.19883357405685045</v>
      </c>
      <c r="O6043">
        <v>0.23552534528828009</v>
      </c>
      <c r="P6043">
        <v>0.26901636346026686</v>
      </c>
    </row>
    <row r="6044" spans="13:16">
      <c r="M6044">
        <v>0.28419722583305873</v>
      </c>
      <c r="N6044">
        <v>0.19707536677710408</v>
      </c>
      <c r="O6044">
        <v>0.23660635893117388</v>
      </c>
      <c r="P6044">
        <v>0.28212104845866343</v>
      </c>
    </row>
    <row r="6045" spans="13:16">
      <c r="M6045">
        <v>0.29220452264899271</v>
      </c>
      <c r="N6045">
        <v>0.18015531384112865</v>
      </c>
      <c r="O6045">
        <v>0.26402740214924114</v>
      </c>
      <c r="P6045">
        <v>0.26361276136063749</v>
      </c>
    </row>
    <row r="6046" spans="13:16">
      <c r="M6046">
        <v>0.29584163825121068</v>
      </c>
      <c r="N6046">
        <v>0.1804319243197553</v>
      </c>
      <c r="O6046">
        <v>0.24458501549284001</v>
      </c>
      <c r="P6046">
        <v>0.27914142193619396</v>
      </c>
    </row>
    <row r="6047" spans="13:16">
      <c r="M6047">
        <v>0.31210469191975027</v>
      </c>
      <c r="N6047">
        <v>0.16240149318000871</v>
      </c>
      <c r="O6047">
        <v>0.28211017067212951</v>
      </c>
      <c r="P6047">
        <v>0.24338364422811148</v>
      </c>
    </row>
    <row r="6048" spans="13:16">
      <c r="M6048">
        <v>0.29924728143382812</v>
      </c>
      <c r="N6048">
        <v>0.17946684041625147</v>
      </c>
      <c r="O6048">
        <v>0.27344115828593707</v>
      </c>
      <c r="P6048">
        <v>0.24784471986398338</v>
      </c>
    </row>
    <row r="6049" spans="13:16">
      <c r="M6049">
        <v>0.2877439402533355</v>
      </c>
      <c r="N6049">
        <v>0.18433208726631709</v>
      </c>
      <c r="O6049">
        <v>0.27865496701584447</v>
      </c>
      <c r="P6049">
        <v>0.24926900546450298</v>
      </c>
    </row>
    <row r="6050" spans="13:16">
      <c r="M6050">
        <v>0.2898920051558217</v>
      </c>
      <c r="N6050">
        <v>0.17955366895272504</v>
      </c>
      <c r="O6050">
        <v>0.27373825091684933</v>
      </c>
      <c r="P6050">
        <v>0.25681607497460401</v>
      </c>
    </row>
    <row r="6051" spans="13:16">
      <c r="M6051">
        <v>0.31313550388825123</v>
      </c>
      <c r="N6051">
        <v>0.16446642223795893</v>
      </c>
      <c r="O6051">
        <v>0.26941229091340646</v>
      </c>
      <c r="P6051">
        <v>0.25298578296038327</v>
      </c>
    </row>
    <row r="6052" spans="13:16">
      <c r="M6052">
        <v>0.26893020287506653</v>
      </c>
      <c r="N6052">
        <v>0.20092707919102309</v>
      </c>
      <c r="O6052">
        <v>0.25173762337683792</v>
      </c>
      <c r="P6052">
        <v>0.27840509455707246</v>
      </c>
    </row>
    <row r="6053" spans="13:16">
      <c r="M6053">
        <v>0.29649971544280523</v>
      </c>
      <c r="N6053">
        <v>0.1872260054995315</v>
      </c>
      <c r="O6053">
        <v>0.22487701844820096</v>
      </c>
      <c r="P6053">
        <v>0.29139726060946219</v>
      </c>
    </row>
    <row r="6054" spans="13:16">
      <c r="M6054">
        <v>0.28813308907443219</v>
      </c>
      <c r="N6054">
        <v>0.16401680247974584</v>
      </c>
      <c r="O6054">
        <v>0.30289126710981185</v>
      </c>
      <c r="P6054">
        <v>0.24495884133601015</v>
      </c>
    </row>
    <row r="6055" spans="13:16">
      <c r="M6055">
        <v>0.30757952554804346</v>
      </c>
      <c r="N6055">
        <v>0.2048934464881588</v>
      </c>
      <c r="O6055">
        <v>0.21158478507107428</v>
      </c>
      <c r="P6055">
        <v>0.27594224289272345</v>
      </c>
    </row>
    <row r="6056" spans="13:16">
      <c r="M6056">
        <v>0.30681484586784552</v>
      </c>
      <c r="N6056">
        <v>0.20629279317642635</v>
      </c>
      <c r="O6056">
        <v>0.22391612850998549</v>
      </c>
      <c r="P6056">
        <v>0.26297623244574264</v>
      </c>
    </row>
    <row r="6057" spans="13:16">
      <c r="M6057">
        <v>0.29060961073603236</v>
      </c>
      <c r="N6057">
        <v>0.19010940959166411</v>
      </c>
      <c r="O6057">
        <v>0.25615368218867379</v>
      </c>
      <c r="P6057">
        <v>0.26312729748362973</v>
      </c>
    </row>
    <row r="6058" spans="13:16">
      <c r="M6058">
        <v>0.29389707084782718</v>
      </c>
      <c r="N6058">
        <v>0.19800535005801695</v>
      </c>
      <c r="O6058">
        <v>0.23377790860719813</v>
      </c>
      <c r="P6058">
        <v>0.27431967048695771</v>
      </c>
    </row>
    <row r="6059" spans="13:16">
      <c r="M6059">
        <v>0.28971818454265019</v>
      </c>
      <c r="N6059">
        <v>0.17724537465945248</v>
      </c>
      <c r="O6059">
        <v>0.27702352024038535</v>
      </c>
      <c r="P6059">
        <v>0.25601292055751218</v>
      </c>
    </row>
    <row r="6060" spans="13:16">
      <c r="M6060">
        <v>0.29247191822460233</v>
      </c>
      <c r="N6060">
        <v>0.18363110048947992</v>
      </c>
      <c r="O6060">
        <v>0.25356710858988657</v>
      </c>
      <c r="P6060">
        <v>0.27032987269603115</v>
      </c>
    </row>
    <row r="6061" spans="13:16">
      <c r="M6061">
        <v>0.26458199450220071</v>
      </c>
      <c r="N6061">
        <v>0.18801127564265346</v>
      </c>
      <c r="O6061">
        <v>0.27823421233875256</v>
      </c>
      <c r="P6061">
        <v>0.26917251751639321</v>
      </c>
    </row>
    <row r="6062" spans="13:16">
      <c r="M6062">
        <v>0.29446064771268482</v>
      </c>
      <c r="N6062">
        <v>0.18582666535236289</v>
      </c>
      <c r="O6062">
        <v>0.23780938323802692</v>
      </c>
      <c r="P6062">
        <v>0.28190330369692534</v>
      </c>
    </row>
    <row r="6063" spans="13:16">
      <c r="M6063">
        <v>0.29912386531204582</v>
      </c>
      <c r="N6063">
        <v>0.20762369865266003</v>
      </c>
      <c r="O6063">
        <v>0.2320654145491739</v>
      </c>
      <c r="P6063">
        <v>0.26118702148612022</v>
      </c>
    </row>
    <row r="6064" spans="13:16">
      <c r="M6064">
        <v>0.27624193806154884</v>
      </c>
      <c r="N6064">
        <v>0.18577756685736399</v>
      </c>
      <c r="O6064">
        <v>0.26917190571890715</v>
      </c>
      <c r="P6064">
        <v>0.26880858936218005</v>
      </c>
    </row>
    <row r="6065" spans="13:16">
      <c r="M6065">
        <v>0.2698114562644654</v>
      </c>
      <c r="N6065">
        <v>0.19910951644176811</v>
      </c>
      <c r="O6065">
        <v>0.26041432395048608</v>
      </c>
      <c r="P6065">
        <v>0.27066470334328047</v>
      </c>
    </row>
    <row r="6066" spans="13:16">
      <c r="M6066">
        <v>0.27791081834489401</v>
      </c>
      <c r="N6066">
        <v>0.16615566343350366</v>
      </c>
      <c r="O6066">
        <v>0.29839524984938115</v>
      </c>
      <c r="P6066">
        <v>0.25753826837222127</v>
      </c>
    </row>
    <row r="6067" spans="13:16">
      <c r="M6067">
        <v>0.30125542565511104</v>
      </c>
      <c r="N6067">
        <v>0.20216600503234833</v>
      </c>
      <c r="O6067">
        <v>0.24096324505926134</v>
      </c>
      <c r="P6067">
        <v>0.25561532425327921</v>
      </c>
    </row>
    <row r="6068" spans="13:16">
      <c r="M6068">
        <v>0.27987369893339448</v>
      </c>
      <c r="N6068">
        <v>0.18285889125693711</v>
      </c>
      <c r="O6068">
        <v>0.26847567345918821</v>
      </c>
      <c r="P6068">
        <v>0.26879173635048015</v>
      </c>
    </row>
    <row r="6069" spans="13:16">
      <c r="M6069">
        <v>0.30211367863588712</v>
      </c>
      <c r="N6069">
        <v>0.18055649015027819</v>
      </c>
      <c r="O6069">
        <v>0.26723180312829026</v>
      </c>
      <c r="P6069">
        <v>0.25009802808554438</v>
      </c>
    </row>
    <row r="6070" spans="13:16">
      <c r="M6070">
        <v>0.29372268251487599</v>
      </c>
      <c r="N6070">
        <v>0.20236324663753921</v>
      </c>
      <c r="O6070">
        <v>0.21731642428924203</v>
      </c>
      <c r="P6070">
        <v>0.28659764655834269</v>
      </c>
    </row>
    <row r="6071" spans="13:16">
      <c r="M6071">
        <v>0.32096921094197012</v>
      </c>
      <c r="N6071">
        <v>0.16952450695475313</v>
      </c>
      <c r="O6071">
        <v>0.2536062285927646</v>
      </c>
      <c r="P6071">
        <v>0.25590005351051209</v>
      </c>
    </row>
    <row r="6072" spans="13:16">
      <c r="M6072">
        <v>0.2807463324135957</v>
      </c>
      <c r="N6072">
        <v>0.18815874689994794</v>
      </c>
      <c r="O6072">
        <v>0.25741751135822583</v>
      </c>
      <c r="P6072">
        <v>0.27367740932823054</v>
      </c>
    </row>
    <row r="6073" spans="13:16">
      <c r="M6073">
        <v>0.29108862810334024</v>
      </c>
      <c r="N6073">
        <v>0.1832059444656646</v>
      </c>
      <c r="O6073">
        <v>0.25975820629486968</v>
      </c>
      <c r="P6073">
        <v>0.26594722113612551</v>
      </c>
    </row>
    <row r="6074" spans="13:16">
      <c r="M6074">
        <v>0.32568830294684975</v>
      </c>
      <c r="N6074">
        <v>0.18506157209968951</v>
      </c>
      <c r="O6074">
        <v>0.22925882596199779</v>
      </c>
      <c r="P6074">
        <v>0.25999129899146295</v>
      </c>
    </row>
    <row r="6075" spans="13:16">
      <c r="M6075">
        <v>0.28511977873995209</v>
      </c>
      <c r="N6075">
        <v>0.19364896032823128</v>
      </c>
      <c r="O6075">
        <v>0.25206142384589586</v>
      </c>
      <c r="P6075">
        <v>0.26916983708592079</v>
      </c>
    </row>
    <row r="6076" spans="13:16">
      <c r="M6076">
        <v>0.28937117044885841</v>
      </c>
      <c r="N6076">
        <v>0.17765353011569851</v>
      </c>
      <c r="O6076">
        <v>0.27559327519756932</v>
      </c>
      <c r="P6076">
        <v>0.25738202423787376</v>
      </c>
    </row>
    <row r="6077" spans="13:16">
      <c r="M6077">
        <v>0.28956656704941192</v>
      </c>
      <c r="N6077">
        <v>0.21595890612511612</v>
      </c>
      <c r="O6077">
        <v>0.21868027178791605</v>
      </c>
      <c r="P6077">
        <v>0.27579425503755589</v>
      </c>
    </row>
    <row r="6078" spans="13:16">
      <c r="M6078">
        <v>0.30557683215649939</v>
      </c>
      <c r="N6078">
        <v>0.18005165056506062</v>
      </c>
      <c r="O6078">
        <v>0.25794499163576934</v>
      </c>
      <c r="P6078">
        <v>0.25642652564267066</v>
      </c>
    </row>
    <row r="6079" spans="13:16">
      <c r="M6079">
        <v>0.29909631103062284</v>
      </c>
      <c r="N6079">
        <v>0.18408560742201549</v>
      </c>
      <c r="O6079">
        <v>0.24610651758034724</v>
      </c>
      <c r="P6079">
        <v>0.27071156396701446</v>
      </c>
    </row>
    <row r="6080" spans="13:16">
      <c r="M6080">
        <v>0.26483766338821552</v>
      </c>
      <c r="N6080">
        <v>0.19085290230426774</v>
      </c>
      <c r="O6080">
        <v>0.28019416880891096</v>
      </c>
      <c r="P6080">
        <v>0.2641152654986057</v>
      </c>
    </row>
    <row r="6081" spans="13:16">
      <c r="M6081">
        <v>0.28432654000027058</v>
      </c>
      <c r="N6081">
        <v>0.18618642988100334</v>
      </c>
      <c r="O6081">
        <v>0.26505642808290536</v>
      </c>
      <c r="P6081">
        <v>0.26443060203582069</v>
      </c>
    </row>
    <row r="6082" spans="13:16">
      <c r="M6082">
        <v>0.33333761395808748</v>
      </c>
      <c r="N6082">
        <v>0.1858254734234055</v>
      </c>
      <c r="O6082">
        <v>0.20821113627241514</v>
      </c>
      <c r="P6082">
        <v>0.27262577634609192</v>
      </c>
    </row>
    <row r="6083" spans="13:16">
      <c r="M6083">
        <v>0.30049973578321476</v>
      </c>
      <c r="N6083">
        <v>0.18373269504106529</v>
      </c>
      <c r="O6083">
        <v>0.25621913740322061</v>
      </c>
      <c r="P6083">
        <v>0.25954843177249948</v>
      </c>
    </row>
    <row r="6084" spans="13:16">
      <c r="M6084">
        <v>0.28042302652279782</v>
      </c>
      <c r="N6084">
        <v>0.21131717734107514</v>
      </c>
      <c r="O6084">
        <v>0.21499702637044843</v>
      </c>
      <c r="P6084">
        <v>0.29326276976567861</v>
      </c>
    </row>
    <row r="6085" spans="13:16">
      <c r="M6085">
        <v>0.26274398322728648</v>
      </c>
      <c r="N6085">
        <v>0.18708561528147635</v>
      </c>
      <c r="O6085">
        <v>0.28685163108628797</v>
      </c>
      <c r="P6085">
        <v>0.26331877040494917</v>
      </c>
    </row>
    <row r="6086" spans="13:16">
      <c r="M6086">
        <v>0.27122463578960615</v>
      </c>
      <c r="N6086">
        <v>0.20101774474825299</v>
      </c>
      <c r="O6086">
        <v>0.25606489933381554</v>
      </c>
      <c r="P6086">
        <v>0.27169272012832535</v>
      </c>
    </row>
    <row r="6087" spans="13:16">
      <c r="M6087">
        <v>0.28554925768215123</v>
      </c>
      <c r="N6087">
        <v>0.18072511871518271</v>
      </c>
      <c r="O6087">
        <v>0.25438173366954786</v>
      </c>
      <c r="P6087">
        <v>0.27934388993311809</v>
      </c>
    </row>
    <row r="6088" spans="13:16">
      <c r="M6088">
        <v>0.30667361030482171</v>
      </c>
      <c r="N6088">
        <v>0.17739054920074809</v>
      </c>
      <c r="O6088">
        <v>0.2563084709040605</v>
      </c>
      <c r="P6088">
        <v>0.25962736959036975</v>
      </c>
    </row>
    <row r="6089" spans="13:16">
      <c r="M6089">
        <v>0.27191531001994734</v>
      </c>
      <c r="N6089">
        <v>0.18835799659209657</v>
      </c>
      <c r="O6089">
        <v>0.27432470939533687</v>
      </c>
      <c r="P6089">
        <v>0.26540198399261916</v>
      </c>
    </row>
    <row r="6090" spans="13:16">
      <c r="M6090">
        <v>0.28495878210405046</v>
      </c>
      <c r="N6090">
        <v>0.18399708380746307</v>
      </c>
      <c r="O6090">
        <v>0.2538011761882909</v>
      </c>
      <c r="P6090">
        <v>0.27724295790019554</v>
      </c>
    </row>
    <row r="6091" spans="13:16">
      <c r="M6091">
        <v>0.30211803592258957</v>
      </c>
      <c r="N6091">
        <v>0.18701953494559126</v>
      </c>
      <c r="O6091">
        <v>0.2435553764225</v>
      </c>
      <c r="P6091">
        <v>0.26730705270931915</v>
      </c>
    </row>
    <row r="6092" spans="13:16">
      <c r="M6092">
        <v>0.34438179749609454</v>
      </c>
      <c r="N6092">
        <v>0.16615802623097489</v>
      </c>
      <c r="O6092">
        <v>0.23148382698576078</v>
      </c>
      <c r="P6092">
        <v>0.25797634928716984</v>
      </c>
    </row>
    <row r="6093" spans="13:16">
      <c r="M6093">
        <v>0.30452651185779095</v>
      </c>
      <c r="N6093">
        <v>0.17341140493659124</v>
      </c>
      <c r="O6093">
        <v>0.27763830364356512</v>
      </c>
      <c r="P6093">
        <v>0.24442377956205261</v>
      </c>
    </row>
    <row r="6094" spans="13:16">
      <c r="M6094">
        <v>0.29526290768719088</v>
      </c>
      <c r="N6094">
        <v>0.1708141786796217</v>
      </c>
      <c r="O6094">
        <v>0.28228589313642677</v>
      </c>
      <c r="P6094">
        <v>0.25163702049676057</v>
      </c>
    </row>
    <row r="6095" spans="13:16">
      <c r="M6095">
        <v>0.28823390433456342</v>
      </c>
      <c r="N6095">
        <v>0.17563980651306305</v>
      </c>
      <c r="O6095">
        <v>0.30033265602829112</v>
      </c>
      <c r="P6095">
        <v>0.23579363312408252</v>
      </c>
    </row>
    <row r="6096" spans="13:16">
      <c r="M6096">
        <v>0.29065060794131353</v>
      </c>
      <c r="N6096">
        <v>0.17765514487282463</v>
      </c>
      <c r="O6096">
        <v>0.26408825763924104</v>
      </c>
      <c r="P6096">
        <v>0.26760598954662079</v>
      </c>
    </row>
    <row r="6097" spans="13:16">
      <c r="M6097">
        <v>0.26803608392846034</v>
      </c>
      <c r="N6097">
        <v>0.2013689421745968</v>
      </c>
      <c r="O6097">
        <v>0.26019713931113175</v>
      </c>
      <c r="P6097">
        <v>0.27039783458581101</v>
      </c>
    </row>
    <row r="6098" spans="13:16">
      <c r="M6098">
        <v>0.27701073796958431</v>
      </c>
      <c r="N6098">
        <v>0.18625264466838046</v>
      </c>
      <c r="O6098">
        <v>0.28194678482862262</v>
      </c>
      <c r="P6098">
        <v>0.25478983253341253</v>
      </c>
    </row>
    <row r="6099" spans="13:16">
      <c r="M6099">
        <v>0.28264258285343574</v>
      </c>
      <c r="N6099">
        <v>0.18834169030180295</v>
      </c>
      <c r="O6099">
        <v>0.27154772643701774</v>
      </c>
      <c r="P6099">
        <v>0.25746800040774365</v>
      </c>
    </row>
    <row r="6100" spans="13:16">
      <c r="M6100">
        <v>0.29405074064150122</v>
      </c>
      <c r="N6100">
        <v>0.18362819081890422</v>
      </c>
      <c r="O6100">
        <v>0.22953886026582968</v>
      </c>
      <c r="P6100">
        <v>0.29278220827376478</v>
      </c>
    </row>
    <row r="6101" spans="13:16">
      <c r="M6101">
        <v>0.28516398201453741</v>
      </c>
      <c r="N6101">
        <v>0.18324629667123776</v>
      </c>
      <c r="O6101">
        <v>0.25233784272424498</v>
      </c>
      <c r="P6101">
        <v>0.27925187858997985</v>
      </c>
    </row>
    <row r="6102" spans="13:16">
      <c r="M6102">
        <v>0.30039234600878245</v>
      </c>
      <c r="N6102">
        <v>0.18567483361383333</v>
      </c>
      <c r="O6102">
        <v>0.23929760892221946</v>
      </c>
      <c r="P6102">
        <v>0.27463521145516467</v>
      </c>
    </row>
    <row r="6103" spans="13:16">
      <c r="M6103">
        <v>0.27939092744577854</v>
      </c>
      <c r="N6103">
        <v>0.2049595708879873</v>
      </c>
      <c r="O6103">
        <v>0.25432432877530931</v>
      </c>
      <c r="P6103">
        <v>0.26132517289092488</v>
      </c>
    </row>
    <row r="6104" spans="13:16">
      <c r="M6104">
        <v>0.31520962273176661</v>
      </c>
      <c r="N6104">
        <v>0.17385672944442832</v>
      </c>
      <c r="O6104">
        <v>0.24437986541809742</v>
      </c>
      <c r="P6104">
        <v>0.26655378240570771</v>
      </c>
    </row>
    <row r="6105" spans="13:16">
      <c r="M6105">
        <v>0.30594525896900487</v>
      </c>
      <c r="N6105">
        <v>0.17604000309800011</v>
      </c>
      <c r="O6105">
        <v>0.27242608342030722</v>
      </c>
      <c r="P6105">
        <v>0.24558865451268783</v>
      </c>
    </row>
    <row r="6106" spans="13:16">
      <c r="M6106">
        <v>0.29770772263915629</v>
      </c>
      <c r="N6106">
        <v>0.1831797936290907</v>
      </c>
      <c r="O6106">
        <v>0.23811828074771185</v>
      </c>
      <c r="P6106">
        <v>0.2809942029840411</v>
      </c>
    </row>
    <row r="6107" spans="13:16">
      <c r="M6107">
        <v>0.31601344297903244</v>
      </c>
      <c r="N6107">
        <v>0.16045766160474748</v>
      </c>
      <c r="O6107">
        <v>0.27390244833231986</v>
      </c>
      <c r="P6107">
        <v>0.24962644708390025</v>
      </c>
    </row>
    <row r="6108" spans="13:16">
      <c r="M6108">
        <v>0.29104834167341342</v>
      </c>
      <c r="N6108">
        <v>0.1646855814545756</v>
      </c>
      <c r="O6108">
        <v>0.28648867910484066</v>
      </c>
      <c r="P6108">
        <v>0.25777739776717035</v>
      </c>
    </row>
    <row r="6109" spans="13:16">
      <c r="M6109">
        <v>0.32112821814359377</v>
      </c>
      <c r="N6109">
        <v>0.18901968479803241</v>
      </c>
      <c r="O6109">
        <v>0.2282351798914927</v>
      </c>
      <c r="P6109">
        <v>0.26161691716688118</v>
      </c>
    </row>
    <row r="6110" spans="13:16">
      <c r="M6110">
        <v>0.30394286457070024</v>
      </c>
      <c r="N6110">
        <v>0.19934008004104969</v>
      </c>
      <c r="O6110">
        <v>0.22855914759981422</v>
      </c>
      <c r="P6110">
        <v>0.26815790778843585</v>
      </c>
    </row>
    <row r="6111" spans="13:16">
      <c r="M6111">
        <v>0.28320280724349162</v>
      </c>
      <c r="N6111">
        <v>0.17007495195071332</v>
      </c>
      <c r="O6111">
        <v>0.27946380906675855</v>
      </c>
      <c r="P6111">
        <v>0.26725843173903663</v>
      </c>
    </row>
    <row r="6112" spans="13:16">
      <c r="M6112">
        <v>0.27745419526810589</v>
      </c>
      <c r="N6112">
        <v>0.1776556080861719</v>
      </c>
      <c r="O6112">
        <v>0.29623907668960553</v>
      </c>
      <c r="P6112">
        <v>0.24865111995611669</v>
      </c>
    </row>
    <row r="6113" spans="13:16">
      <c r="M6113">
        <v>0.29793012714811323</v>
      </c>
      <c r="N6113">
        <v>0.17846923752979324</v>
      </c>
      <c r="O6113">
        <v>0.24978866042900583</v>
      </c>
      <c r="P6113">
        <v>0.27381197489308762</v>
      </c>
    </row>
    <row r="6114" spans="13:16">
      <c r="M6114">
        <v>0.27388981067216922</v>
      </c>
      <c r="N6114">
        <v>0.18546701462052811</v>
      </c>
      <c r="O6114">
        <v>0.27672731319967414</v>
      </c>
      <c r="P6114">
        <v>0.26391586150762847</v>
      </c>
    </row>
    <row r="6115" spans="13:16">
      <c r="M6115">
        <v>0.29145371146571852</v>
      </c>
      <c r="N6115">
        <v>0.18449917029255281</v>
      </c>
      <c r="O6115">
        <v>0.25303180875008552</v>
      </c>
      <c r="P6115">
        <v>0.27101530949164326</v>
      </c>
    </row>
    <row r="6116" spans="13:16">
      <c r="M6116">
        <v>0.28801376007394724</v>
      </c>
      <c r="N6116">
        <v>0.18228553335866871</v>
      </c>
      <c r="O6116">
        <v>0.25264185118774091</v>
      </c>
      <c r="P6116">
        <v>0.27705885537964309</v>
      </c>
    </row>
    <row r="6117" spans="13:16">
      <c r="M6117">
        <v>0.28508503488078607</v>
      </c>
      <c r="N6117">
        <v>0.19152785471910377</v>
      </c>
      <c r="O6117">
        <v>0.27575220895449298</v>
      </c>
      <c r="P6117">
        <v>0.2476349014456172</v>
      </c>
    </row>
    <row r="6118" spans="13:16">
      <c r="M6118">
        <v>0.27514721267953518</v>
      </c>
      <c r="N6118">
        <v>0.17873433595320443</v>
      </c>
      <c r="O6118">
        <v>0.27444176897301192</v>
      </c>
      <c r="P6118">
        <v>0.27167668239424841</v>
      </c>
    </row>
    <row r="6119" spans="13:16">
      <c r="M6119">
        <v>0.276091853511513</v>
      </c>
      <c r="N6119">
        <v>0.19091930679492763</v>
      </c>
      <c r="O6119">
        <v>0.26851715252868513</v>
      </c>
      <c r="P6119">
        <v>0.26447168716487424</v>
      </c>
    </row>
    <row r="6120" spans="13:16">
      <c r="M6120">
        <v>0.30780449371468072</v>
      </c>
      <c r="N6120">
        <v>0.17055480982601218</v>
      </c>
      <c r="O6120">
        <v>0.28314452549170016</v>
      </c>
      <c r="P6120">
        <v>0.23849617096760689</v>
      </c>
    </row>
    <row r="6121" spans="13:16">
      <c r="M6121">
        <v>0.29126059631884577</v>
      </c>
      <c r="N6121">
        <v>0.17715555253462836</v>
      </c>
      <c r="O6121">
        <v>0.28017252353064481</v>
      </c>
      <c r="P6121">
        <v>0.25141132761588098</v>
      </c>
    </row>
    <row r="6122" spans="13:16">
      <c r="M6122">
        <v>0.27858362401774905</v>
      </c>
      <c r="N6122">
        <v>0.19025046853653632</v>
      </c>
      <c r="O6122">
        <v>0.26180494049016417</v>
      </c>
      <c r="P6122">
        <v>0.26936096695555051</v>
      </c>
    </row>
    <row r="6123" spans="13:16">
      <c r="M6123">
        <v>0.31555942761241212</v>
      </c>
      <c r="N6123">
        <v>0.18844706345702295</v>
      </c>
      <c r="O6123">
        <v>0.22858437008690213</v>
      </c>
      <c r="P6123">
        <v>0.26740913884366291</v>
      </c>
    </row>
    <row r="6124" spans="13:16">
      <c r="M6124">
        <v>0.30730689126166311</v>
      </c>
      <c r="N6124">
        <v>0.18370053756008253</v>
      </c>
      <c r="O6124">
        <v>0.25570014036024302</v>
      </c>
      <c r="P6124">
        <v>0.25329243081801134</v>
      </c>
    </row>
    <row r="6125" spans="13:16">
      <c r="M6125">
        <v>0.30570219959793654</v>
      </c>
      <c r="N6125">
        <v>0.1832335612366075</v>
      </c>
      <c r="O6125">
        <v>0.26424651715491992</v>
      </c>
      <c r="P6125">
        <v>0.24681772201053614</v>
      </c>
    </row>
    <row r="6126" spans="13:16">
      <c r="M6126">
        <v>0.32166129893192347</v>
      </c>
      <c r="N6126">
        <v>0.16095332870141818</v>
      </c>
      <c r="O6126">
        <v>0.27322592280921965</v>
      </c>
      <c r="P6126">
        <v>0.24415944955743871</v>
      </c>
    </row>
    <row r="6127" spans="13:16">
      <c r="M6127">
        <v>0.27455563485372242</v>
      </c>
      <c r="N6127">
        <v>0.18265662810010511</v>
      </c>
      <c r="O6127">
        <v>0.28070539462959576</v>
      </c>
      <c r="P6127">
        <v>0.26208234241657663</v>
      </c>
    </row>
    <row r="6128" spans="13:16">
      <c r="M6128">
        <v>0.2749835314058513</v>
      </c>
      <c r="N6128">
        <v>0.19549073853559579</v>
      </c>
      <c r="O6128">
        <v>0.26162358552900183</v>
      </c>
      <c r="P6128">
        <v>0.26790214452955113</v>
      </c>
    </row>
    <row r="6129" spans="13:16">
      <c r="M6129">
        <v>0.32011829051227614</v>
      </c>
      <c r="N6129">
        <v>0.16017836169257002</v>
      </c>
      <c r="O6129">
        <v>0.27951284642344743</v>
      </c>
      <c r="P6129">
        <v>0.24019050137170633</v>
      </c>
    </row>
    <row r="6130" spans="13:16">
      <c r="M6130">
        <v>0.27656379120530522</v>
      </c>
      <c r="N6130">
        <v>0.18590009399970639</v>
      </c>
      <c r="O6130">
        <v>0.27187468132627785</v>
      </c>
      <c r="P6130">
        <v>0.26566143346871052</v>
      </c>
    </row>
    <row r="6131" spans="13:16">
      <c r="M6131">
        <v>0.28870296946456236</v>
      </c>
      <c r="N6131">
        <v>0.16825379047342146</v>
      </c>
      <c r="O6131">
        <v>0.28920195132341242</v>
      </c>
      <c r="P6131">
        <v>0.25384128873860368</v>
      </c>
    </row>
    <row r="6132" spans="13:16">
      <c r="M6132">
        <v>0.29325260515941171</v>
      </c>
      <c r="N6132">
        <v>0.17341652527226772</v>
      </c>
      <c r="O6132">
        <v>0.28469761947410616</v>
      </c>
      <c r="P6132">
        <v>0.24863325009421441</v>
      </c>
    </row>
    <row r="6133" spans="13:16">
      <c r="M6133">
        <v>0.31200221974571529</v>
      </c>
      <c r="N6133">
        <v>0.1699913422477427</v>
      </c>
      <c r="O6133">
        <v>0.25406221397274659</v>
      </c>
      <c r="P6133">
        <v>0.26394422403379547</v>
      </c>
    </row>
    <row r="6134" spans="13:16">
      <c r="M6134">
        <v>0.27699572511732889</v>
      </c>
      <c r="N6134">
        <v>0.1968658905332121</v>
      </c>
      <c r="O6134">
        <v>0.25436235534181156</v>
      </c>
      <c r="P6134">
        <v>0.27177602900764736</v>
      </c>
    </row>
    <row r="6135" spans="13:16">
      <c r="M6135">
        <v>0.33010665663146027</v>
      </c>
      <c r="N6135">
        <v>0.16741571305771935</v>
      </c>
      <c r="O6135">
        <v>0.24516058703729829</v>
      </c>
      <c r="P6135">
        <v>0.25731704327352206</v>
      </c>
    </row>
    <row r="6136" spans="13:16">
      <c r="M6136">
        <v>0.28687877126771533</v>
      </c>
      <c r="N6136">
        <v>0.18760940369882681</v>
      </c>
      <c r="O6136">
        <v>0.26345973353094093</v>
      </c>
      <c r="P6136">
        <v>0.26205209150251701</v>
      </c>
    </row>
    <row r="6137" spans="13:16">
      <c r="M6137">
        <v>0.2725691345427198</v>
      </c>
      <c r="N6137">
        <v>0.18786408631949961</v>
      </c>
      <c r="O6137">
        <v>0.27485659984781313</v>
      </c>
      <c r="P6137">
        <v>0.26471017928996737</v>
      </c>
    </row>
    <row r="6138" spans="13:16">
      <c r="M6138">
        <v>0.27333280021575751</v>
      </c>
      <c r="N6138">
        <v>0.19476971400380072</v>
      </c>
      <c r="O6138">
        <v>0.24911173583488452</v>
      </c>
      <c r="P6138">
        <v>0.28278574994555716</v>
      </c>
    </row>
    <row r="6139" spans="13:16">
      <c r="M6139">
        <v>0.28870815487952523</v>
      </c>
      <c r="N6139">
        <v>0.16563683067347837</v>
      </c>
      <c r="O6139">
        <v>0.29224699996459891</v>
      </c>
      <c r="P6139">
        <v>0.25340801448239753</v>
      </c>
    </row>
    <row r="6140" spans="13:16">
      <c r="M6140">
        <v>0.28269614061985876</v>
      </c>
      <c r="N6140">
        <v>0.1768393215105846</v>
      </c>
      <c r="O6140">
        <v>0.27324001399066372</v>
      </c>
      <c r="P6140">
        <v>0.26722452387889295</v>
      </c>
    </row>
    <row r="6141" spans="13:16">
      <c r="M6141">
        <v>0.27466363977854252</v>
      </c>
      <c r="N6141">
        <v>0.18864804915765768</v>
      </c>
      <c r="O6141">
        <v>0.27673763564193216</v>
      </c>
      <c r="P6141">
        <v>0.25995067542186756</v>
      </c>
    </row>
    <row r="6142" spans="13:16">
      <c r="M6142">
        <v>0.27113896453277381</v>
      </c>
      <c r="N6142">
        <v>0.17672112562042375</v>
      </c>
      <c r="O6142">
        <v>0.28349691347237976</v>
      </c>
      <c r="P6142">
        <v>0.26864299637442274</v>
      </c>
    </row>
    <row r="6143" spans="13:16">
      <c r="M6143">
        <v>0.32046654136183605</v>
      </c>
      <c r="N6143">
        <v>0.17440541757800285</v>
      </c>
      <c r="O6143">
        <v>0.25421285997252019</v>
      </c>
      <c r="P6143">
        <v>0.25091518108764083</v>
      </c>
    </row>
    <row r="6144" spans="13:16">
      <c r="M6144">
        <v>0.29859518916810507</v>
      </c>
      <c r="N6144">
        <v>0.19654865891773715</v>
      </c>
      <c r="O6144">
        <v>0.22961654592684594</v>
      </c>
      <c r="P6144">
        <v>0.27523960598731184</v>
      </c>
    </row>
    <row r="6145" spans="13:16">
      <c r="M6145">
        <v>0.30702129466988493</v>
      </c>
      <c r="N6145">
        <v>0.18006550615514871</v>
      </c>
      <c r="O6145">
        <v>0.25648580254237957</v>
      </c>
      <c r="P6145">
        <v>0.25642739663258668</v>
      </c>
    </row>
    <row r="6146" spans="13:16">
      <c r="M6146">
        <v>0.27913202603075615</v>
      </c>
      <c r="N6146">
        <v>0.18125251281525825</v>
      </c>
      <c r="O6146">
        <v>0.2770605470140281</v>
      </c>
      <c r="P6146">
        <v>0.26255491413995757</v>
      </c>
    </row>
    <row r="6147" spans="13:16">
      <c r="M6147">
        <v>0.2913973480807876</v>
      </c>
      <c r="N6147">
        <v>0.16789104880523822</v>
      </c>
      <c r="O6147">
        <v>0.26756695021652438</v>
      </c>
      <c r="P6147">
        <v>0.27314465289744988</v>
      </c>
    </row>
    <row r="6148" spans="13:16">
      <c r="M6148">
        <v>0.25940680179058906</v>
      </c>
      <c r="N6148">
        <v>0.19651643387736634</v>
      </c>
      <c r="O6148">
        <v>0.2756101694357338</v>
      </c>
      <c r="P6148">
        <v>0.26846659489631097</v>
      </c>
    </row>
    <row r="6149" spans="13:16">
      <c r="M6149">
        <v>0.30930857125432176</v>
      </c>
      <c r="N6149">
        <v>0.17479992386326906</v>
      </c>
      <c r="O6149">
        <v>0.26841272382370918</v>
      </c>
      <c r="P6149">
        <v>0.24747878105869991</v>
      </c>
    </row>
    <row r="6150" spans="13:16">
      <c r="M6150">
        <v>0.28504256505797981</v>
      </c>
      <c r="N6150">
        <v>0.18653051368501375</v>
      </c>
      <c r="O6150">
        <v>0.27177128432278541</v>
      </c>
      <c r="P6150">
        <v>0.25665563693422117</v>
      </c>
    </row>
    <row r="6151" spans="13:16">
      <c r="M6151">
        <v>0.28360111583354414</v>
      </c>
      <c r="N6151">
        <v>0.17184154775150531</v>
      </c>
      <c r="O6151">
        <v>0.29019516419609542</v>
      </c>
      <c r="P6151">
        <v>0.25436217221885526</v>
      </c>
    </row>
    <row r="6152" spans="13:16">
      <c r="M6152">
        <v>0.3137693744862538</v>
      </c>
      <c r="N6152">
        <v>0.19584256314942888</v>
      </c>
      <c r="O6152">
        <v>0.2166273053299031</v>
      </c>
      <c r="P6152">
        <v>0.27376075703441416</v>
      </c>
    </row>
    <row r="6153" spans="13:16">
      <c r="M6153">
        <v>0.28464073652119881</v>
      </c>
      <c r="N6153">
        <v>0.1816853579448198</v>
      </c>
      <c r="O6153">
        <v>0.26899205473010762</v>
      </c>
      <c r="P6153">
        <v>0.26468185080387374</v>
      </c>
    </row>
    <row r="6154" spans="13:16">
      <c r="M6154">
        <v>0.30834959527883837</v>
      </c>
      <c r="N6154">
        <v>0.16331290614494556</v>
      </c>
      <c r="O6154">
        <v>0.28176840486362059</v>
      </c>
      <c r="P6154">
        <v>0.24656909371259547</v>
      </c>
    </row>
    <row r="6155" spans="13:16">
      <c r="M6155">
        <v>0.27566682138475607</v>
      </c>
      <c r="N6155">
        <v>0.18618622910539806</v>
      </c>
      <c r="O6155">
        <v>0.26965949772048986</v>
      </c>
      <c r="P6155">
        <v>0.26848745178935596</v>
      </c>
    </row>
    <row r="6156" spans="13:16">
      <c r="M6156">
        <v>0.30906536193412087</v>
      </c>
      <c r="N6156">
        <v>0.17330168422739414</v>
      </c>
      <c r="O6156">
        <v>0.26715934173839634</v>
      </c>
      <c r="P6156">
        <v>0.25047361210008878</v>
      </c>
    </row>
    <row r="6157" spans="13:16">
      <c r="M6157">
        <v>0.27030536759959739</v>
      </c>
      <c r="N6157">
        <v>0.18406683046113992</v>
      </c>
      <c r="O6157">
        <v>0.29056043456842406</v>
      </c>
      <c r="P6157">
        <v>0.25506736737083852</v>
      </c>
    </row>
    <row r="6158" spans="13:16">
      <c r="M6158">
        <v>0.28580935105241001</v>
      </c>
      <c r="N6158">
        <v>0.18876645079918042</v>
      </c>
      <c r="O6158">
        <v>0.26044068319245745</v>
      </c>
      <c r="P6158">
        <v>0.26498351495595218</v>
      </c>
    </row>
    <row r="6159" spans="13:16">
      <c r="M6159">
        <v>0.30230970775100996</v>
      </c>
      <c r="N6159">
        <v>0.16646416141747591</v>
      </c>
      <c r="O6159">
        <v>0.28576338345574692</v>
      </c>
      <c r="P6159">
        <v>0.2454627473757672</v>
      </c>
    </row>
    <row r="6160" spans="13:16">
      <c r="M6160">
        <v>0.27781723967415989</v>
      </c>
      <c r="N6160">
        <v>0.19951736661646879</v>
      </c>
      <c r="O6160">
        <v>0.25694657942589072</v>
      </c>
      <c r="P6160">
        <v>0.26571881428348054</v>
      </c>
    </row>
    <row r="6161" spans="13:16">
      <c r="M6161">
        <v>0.2898927552268783</v>
      </c>
      <c r="N6161">
        <v>0.18067197362559453</v>
      </c>
      <c r="O6161">
        <v>0.26675536269578548</v>
      </c>
      <c r="P6161">
        <v>0.26267990845174166</v>
      </c>
    </row>
    <row r="6162" spans="13:16">
      <c r="M6162">
        <v>0.31080695454874707</v>
      </c>
      <c r="N6162">
        <v>0.17581057869943995</v>
      </c>
      <c r="O6162">
        <v>0.24460367711595832</v>
      </c>
      <c r="P6162">
        <v>0.26877878963585466</v>
      </c>
    </row>
    <row r="6163" spans="13:16">
      <c r="M6163">
        <v>0.28136839947443426</v>
      </c>
      <c r="N6163">
        <v>0.18681383333320953</v>
      </c>
      <c r="O6163">
        <v>0.27152964643430283</v>
      </c>
      <c r="P6163">
        <v>0.26028812075805352</v>
      </c>
    </row>
    <row r="6164" spans="13:16">
      <c r="M6164">
        <v>0.2762698468814353</v>
      </c>
      <c r="N6164">
        <v>0.18718151286650381</v>
      </c>
      <c r="O6164">
        <v>0.28220604154189355</v>
      </c>
      <c r="P6164">
        <v>0.25434259871016729</v>
      </c>
    </row>
    <row r="6165" spans="13:16">
      <c r="M6165">
        <v>0.29345792757847289</v>
      </c>
      <c r="N6165">
        <v>0.19531406979011445</v>
      </c>
      <c r="O6165">
        <v>0.26130401462403802</v>
      </c>
      <c r="P6165">
        <v>0.24992398800737467</v>
      </c>
    </row>
    <row r="6166" spans="13:16">
      <c r="M6166">
        <v>0.30525661690687644</v>
      </c>
      <c r="N6166">
        <v>0.18160413125643701</v>
      </c>
      <c r="O6166">
        <v>0.22499207552062792</v>
      </c>
      <c r="P6166">
        <v>0.2881471763160588</v>
      </c>
    </row>
    <row r="6167" spans="13:16">
      <c r="M6167">
        <v>0.30296817311868529</v>
      </c>
      <c r="N6167">
        <v>0.19763256356125405</v>
      </c>
      <c r="O6167">
        <v>0.22042010626695102</v>
      </c>
      <c r="P6167">
        <v>0.27897915705310944</v>
      </c>
    </row>
    <row r="6168" spans="13:16">
      <c r="M6168">
        <v>0.29959999464090065</v>
      </c>
      <c r="N6168">
        <v>0.17948347910155169</v>
      </c>
      <c r="O6168">
        <v>0.24271104053460923</v>
      </c>
      <c r="P6168">
        <v>0.27820548572293835</v>
      </c>
    </row>
    <row r="6169" spans="13:16">
      <c r="M6169">
        <v>0.29986426787491821</v>
      </c>
      <c r="N6169">
        <v>0.1758521251628001</v>
      </c>
      <c r="O6169">
        <v>0.25349551659026259</v>
      </c>
      <c r="P6169">
        <v>0.27078809037201906</v>
      </c>
    </row>
    <row r="6170" spans="13:16">
      <c r="M6170">
        <v>0.32595127849736011</v>
      </c>
      <c r="N6170">
        <v>0.1685948093661197</v>
      </c>
      <c r="O6170">
        <v>0.24537233974904074</v>
      </c>
      <c r="P6170">
        <v>0.26008157238747937</v>
      </c>
    </row>
    <row r="6171" spans="13:16">
      <c r="M6171">
        <v>0.26903465218720762</v>
      </c>
      <c r="N6171">
        <v>0.19651265514083088</v>
      </c>
      <c r="O6171">
        <v>0.26939161670487433</v>
      </c>
      <c r="P6171">
        <v>0.26506107596708722</v>
      </c>
    </row>
    <row r="6172" spans="13:16">
      <c r="M6172">
        <v>0.29548330506998377</v>
      </c>
      <c r="N6172">
        <v>0.19806085597584078</v>
      </c>
      <c r="O6172">
        <v>0.2347369718703668</v>
      </c>
      <c r="P6172">
        <v>0.27171886708380877</v>
      </c>
    </row>
    <row r="6173" spans="13:16">
      <c r="M6173">
        <v>0.28896734716970607</v>
      </c>
      <c r="N6173">
        <v>0.19438333747650938</v>
      </c>
      <c r="O6173">
        <v>0.24616261965815331</v>
      </c>
      <c r="P6173">
        <v>0.27048669569563127</v>
      </c>
    </row>
    <row r="6174" spans="13:16">
      <c r="M6174">
        <v>0.31459189245180741</v>
      </c>
      <c r="N6174">
        <v>0.1882793833882975</v>
      </c>
      <c r="O6174">
        <v>0.219767585229419</v>
      </c>
      <c r="P6174">
        <v>0.27736113893047604</v>
      </c>
    </row>
    <row r="6175" spans="13:16">
      <c r="M6175">
        <v>0.30716405070503233</v>
      </c>
      <c r="N6175">
        <v>0.17510400370197335</v>
      </c>
      <c r="O6175">
        <v>0.24034075962191501</v>
      </c>
      <c r="P6175">
        <v>0.27739118597107942</v>
      </c>
    </row>
    <row r="6176" spans="13:16">
      <c r="M6176">
        <v>0.28455204179132626</v>
      </c>
      <c r="N6176">
        <v>0.18519369821422171</v>
      </c>
      <c r="O6176">
        <v>0.29155514732275545</v>
      </c>
      <c r="P6176">
        <v>0.23869911267169661</v>
      </c>
    </row>
    <row r="6177" spans="13:16">
      <c r="M6177">
        <v>0.27253722862582963</v>
      </c>
      <c r="N6177">
        <v>0.20113038211273329</v>
      </c>
      <c r="O6177">
        <v>0.26250651830730293</v>
      </c>
      <c r="P6177">
        <v>0.26382587095413418</v>
      </c>
    </row>
    <row r="6178" spans="13:16">
      <c r="M6178">
        <v>0.31084856997902477</v>
      </c>
      <c r="N6178">
        <v>0.18416339836233958</v>
      </c>
      <c r="O6178">
        <v>0.23651195500684066</v>
      </c>
      <c r="P6178">
        <v>0.26847607665179496</v>
      </c>
    </row>
    <row r="6179" spans="13:16">
      <c r="M6179">
        <v>0.29564758459972096</v>
      </c>
      <c r="N6179">
        <v>0.20888670125254205</v>
      </c>
      <c r="O6179">
        <v>0.22259349527926389</v>
      </c>
      <c r="P6179">
        <v>0.27287221886847307</v>
      </c>
    </row>
    <row r="6180" spans="13:16">
      <c r="M6180">
        <v>0.30365573177942218</v>
      </c>
      <c r="N6180">
        <v>0.18467551370943053</v>
      </c>
      <c r="O6180">
        <v>0.22146995232972388</v>
      </c>
      <c r="P6180">
        <v>0.29019880218142341</v>
      </c>
    </row>
    <row r="6181" spans="13:16">
      <c r="M6181">
        <v>0.31903036823084518</v>
      </c>
      <c r="N6181">
        <v>0.18796462001792896</v>
      </c>
      <c r="O6181">
        <v>0.22843328060595955</v>
      </c>
      <c r="P6181">
        <v>0.26457173114526616</v>
      </c>
    </row>
    <row r="6182" spans="13:16">
      <c r="M6182">
        <v>0.30091093870527141</v>
      </c>
      <c r="N6182">
        <v>0.18958041694952912</v>
      </c>
      <c r="O6182">
        <v>0.23825089728020976</v>
      </c>
      <c r="P6182">
        <v>0.27125774706498962</v>
      </c>
    </row>
    <row r="6183" spans="13:16">
      <c r="M6183">
        <v>0.29679172614549731</v>
      </c>
      <c r="N6183">
        <v>0.17337059741815994</v>
      </c>
      <c r="O6183">
        <v>0.26552938344164811</v>
      </c>
      <c r="P6183">
        <v>0.26430829299469466</v>
      </c>
    </row>
    <row r="6184" spans="13:16">
      <c r="M6184">
        <v>0.30897058766734553</v>
      </c>
      <c r="N6184">
        <v>0.18041010339415775</v>
      </c>
      <c r="O6184">
        <v>0.25087962443284528</v>
      </c>
      <c r="P6184">
        <v>0.25973968450565149</v>
      </c>
    </row>
    <row r="6185" spans="13:16">
      <c r="M6185">
        <v>0.28837080795027026</v>
      </c>
      <c r="N6185">
        <v>0.19225580280679472</v>
      </c>
      <c r="O6185">
        <v>0.25989235164927266</v>
      </c>
      <c r="P6185">
        <v>0.25948103759366248</v>
      </c>
    </row>
    <row r="6186" spans="13:16">
      <c r="M6186">
        <v>0.28918123967710258</v>
      </c>
      <c r="N6186">
        <v>0.1828900130793224</v>
      </c>
      <c r="O6186">
        <v>0.26827438297191381</v>
      </c>
      <c r="P6186">
        <v>0.25965436427166128</v>
      </c>
    </row>
    <row r="6187" spans="13:16">
      <c r="M6187">
        <v>0.29869586816925348</v>
      </c>
      <c r="N6187">
        <v>0.19884545428379102</v>
      </c>
      <c r="O6187">
        <v>0.2350451351835339</v>
      </c>
      <c r="P6187">
        <v>0.26741354236342146</v>
      </c>
    </row>
    <row r="6188" spans="13:16">
      <c r="M6188">
        <v>0.31125228452163656</v>
      </c>
      <c r="N6188">
        <v>0.19418358217200721</v>
      </c>
      <c r="O6188">
        <v>0.24136024120729557</v>
      </c>
      <c r="P6188">
        <v>0.2532038920990608</v>
      </c>
    </row>
    <row r="6189" spans="13:16">
      <c r="M6189">
        <v>0.30045990987865884</v>
      </c>
      <c r="N6189">
        <v>0.18484243112923207</v>
      </c>
      <c r="O6189">
        <v>0.2472459095576528</v>
      </c>
      <c r="P6189">
        <v>0.26745174943445627</v>
      </c>
    </row>
    <row r="6190" spans="13:16">
      <c r="M6190">
        <v>0.29464016662592052</v>
      </c>
      <c r="N6190">
        <v>0.18219154228822584</v>
      </c>
      <c r="O6190">
        <v>0.26885270431871705</v>
      </c>
      <c r="P6190">
        <v>0.25431558676713667</v>
      </c>
    </row>
    <row r="6191" spans="13:16">
      <c r="M6191">
        <v>0.26382032059095151</v>
      </c>
      <c r="N6191">
        <v>0.18009624919815717</v>
      </c>
      <c r="O6191">
        <v>0.29544594951387898</v>
      </c>
      <c r="P6191">
        <v>0.26063748069701254</v>
      </c>
    </row>
    <row r="6192" spans="13:16">
      <c r="M6192">
        <v>0.28815610374406359</v>
      </c>
      <c r="N6192">
        <v>0.17463013181194675</v>
      </c>
      <c r="O6192">
        <v>0.28128241450205427</v>
      </c>
      <c r="P6192">
        <v>0.25593134994193528</v>
      </c>
    </row>
    <row r="6193" spans="13:16">
      <c r="M6193">
        <v>0.31793481746763536</v>
      </c>
      <c r="N6193">
        <v>0.1736816133517986</v>
      </c>
      <c r="O6193">
        <v>0.2426707334052452</v>
      </c>
      <c r="P6193">
        <v>0.26571283577532084</v>
      </c>
    </row>
    <row r="6194" spans="13:16">
      <c r="M6194">
        <v>0.32293826847439411</v>
      </c>
      <c r="N6194">
        <v>0.17185716592069186</v>
      </c>
      <c r="O6194">
        <v>0.24110496796850875</v>
      </c>
      <c r="P6194">
        <v>0.26409959763640523</v>
      </c>
    </row>
    <row r="6195" spans="13:16">
      <c r="M6195">
        <v>0.31126441750964989</v>
      </c>
      <c r="N6195">
        <v>0.18220743054566346</v>
      </c>
      <c r="O6195">
        <v>0.25924568283434818</v>
      </c>
      <c r="P6195">
        <v>0.24728246911033858</v>
      </c>
    </row>
    <row r="6196" spans="13:16">
      <c r="M6196">
        <v>0.27332773498882024</v>
      </c>
      <c r="N6196">
        <v>0.18150018662893511</v>
      </c>
      <c r="O6196">
        <v>0.26569564021972569</v>
      </c>
      <c r="P6196">
        <v>0.27947643816251899</v>
      </c>
    </row>
    <row r="6197" spans="13:16">
      <c r="M6197">
        <v>0.30745885584176058</v>
      </c>
      <c r="N6197">
        <v>0.17636979697549646</v>
      </c>
      <c r="O6197">
        <v>0.26330180916714307</v>
      </c>
      <c r="P6197">
        <v>0.25286953801559986</v>
      </c>
    </row>
    <row r="6198" spans="13:16">
      <c r="M6198">
        <v>0.26558573982164674</v>
      </c>
      <c r="N6198">
        <v>0.20381028342805668</v>
      </c>
      <c r="O6198">
        <v>0.26428669205724648</v>
      </c>
      <c r="P6198">
        <v>0.26631728469305022</v>
      </c>
    </row>
    <row r="6199" spans="13:16">
      <c r="M6199">
        <v>0.28165153571849599</v>
      </c>
      <c r="N6199">
        <v>0.19106465307681283</v>
      </c>
      <c r="O6199">
        <v>0.24633490509465944</v>
      </c>
      <c r="P6199">
        <v>0.28094890611003165</v>
      </c>
    </row>
    <row r="6200" spans="13:16">
      <c r="M6200">
        <v>0.30214025084937268</v>
      </c>
      <c r="N6200">
        <v>0.1737361561564599</v>
      </c>
      <c r="O6200">
        <v>0.26110116347664786</v>
      </c>
      <c r="P6200">
        <v>0.26302242951751953</v>
      </c>
    </row>
    <row r="6201" spans="13:16">
      <c r="M6201">
        <v>0.29563722324079333</v>
      </c>
      <c r="N6201">
        <v>0.18103129708048155</v>
      </c>
      <c r="O6201">
        <v>0.25192739952844545</v>
      </c>
      <c r="P6201">
        <v>0.27140408015027961</v>
      </c>
    </row>
    <row r="6202" spans="13:16">
      <c r="M6202">
        <v>0.27334791155132404</v>
      </c>
      <c r="N6202">
        <v>0.20648773093074996</v>
      </c>
      <c r="O6202">
        <v>0.23755305557070122</v>
      </c>
      <c r="P6202">
        <v>0.28261130194722472</v>
      </c>
    </row>
    <row r="6203" spans="13:16">
      <c r="M6203">
        <v>0.27959366722786033</v>
      </c>
      <c r="N6203">
        <v>0.19042772152264653</v>
      </c>
      <c r="O6203">
        <v>0.25833217165576028</v>
      </c>
      <c r="P6203">
        <v>0.2716464395937328</v>
      </c>
    </row>
    <row r="6204" spans="13:16">
      <c r="M6204">
        <v>0.33091799067210959</v>
      </c>
      <c r="N6204">
        <v>0.15986936870353596</v>
      </c>
      <c r="O6204">
        <v>0.26097310744480745</v>
      </c>
      <c r="P6204">
        <v>0.248239533179547</v>
      </c>
    </row>
    <row r="6205" spans="13:16">
      <c r="M6205">
        <v>0.29566296686781168</v>
      </c>
      <c r="N6205">
        <v>0.17987579930904893</v>
      </c>
      <c r="O6205">
        <v>0.25215117217679212</v>
      </c>
      <c r="P6205">
        <v>0.2723100616463473</v>
      </c>
    </row>
    <row r="6206" spans="13:16">
      <c r="M6206">
        <v>0.2748403362178784</v>
      </c>
      <c r="N6206">
        <v>0.18599659874687949</v>
      </c>
      <c r="O6206">
        <v>0.27583959653349882</v>
      </c>
      <c r="P6206">
        <v>0.26332346850174321</v>
      </c>
    </row>
    <row r="6207" spans="13:16">
      <c r="M6207">
        <v>0.27938613772402521</v>
      </c>
      <c r="N6207">
        <v>0.1918301021031053</v>
      </c>
      <c r="O6207">
        <v>0.28085039053687172</v>
      </c>
      <c r="P6207">
        <v>0.24793336963599782</v>
      </c>
    </row>
    <row r="6208" spans="13:16">
      <c r="M6208">
        <v>0.29049080120860632</v>
      </c>
      <c r="N6208">
        <v>0.1822548088761701</v>
      </c>
      <c r="O6208">
        <v>0.27157599043617026</v>
      </c>
      <c r="P6208">
        <v>0.25567839947905335</v>
      </c>
    </row>
    <row r="6209" spans="13:16">
      <c r="M6209">
        <v>0.32921612703105957</v>
      </c>
      <c r="N6209">
        <v>0.17380510074412436</v>
      </c>
      <c r="O6209">
        <v>0.22113070247704997</v>
      </c>
      <c r="P6209">
        <v>0.27584806974776616</v>
      </c>
    </row>
    <row r="6210" spans="13:16">
      <c r="M6210">
        <v>0.28890537658332638</v>
      </c>
      <c r="N6210">
        <v>0.19528277640010691</v>
      </c>
      <c r="O6210">
        <v>0.2243118916002958</v>
      </c>
      <c r="P6210">
        <v>0.29149995541627088</v>
      </c>
    </row>
    <row r="6211" spans="13:16">
      <c r="M6211">
        <v>0.29331773982279791</v>
      </c>
      <c r="N6211">
        <v>0.18899645354822317</v>
      </c>
      <c r="O6211">
        <v>0.26815544712361111</v>
      </c>
      <c r="P6211">
        <v>0.24953035950536764</v>
      </c>
    </row>
    <row r="6212" spans="13:16">
      <c r="M6212">
        <v>0.29170897993375172</v>
      </c>
      <c r="N6212">
        <v>0.19401597163851653</v>
      </c>
      <c r="O6212">
        <v>0.22226958845656483</v>
      </c>
      <c r="P6212">
        <v>0.29200545997116689</v>
      </c>
    </row>
    <row r="6213" spans="13:16">
      <c r="M6213">
        <v>0.26560730310172653</v>
      </c>
      <c r="N6213">
        <v>0.19616796204972925</v>
      </c>
      <c r="O6213">
        <v>0.26148954238416139</v>
      </c>
      <c r="P6213">
        <v>0.27673519246438288</v>
      </c>
    </row>
    <row r="6214" spans="13:16">
      <c r="M6214">
        <v>0.31299112903655674</v>
      </c>
      <c r="N6214">
        <v>0.18342363894210856</v>
      </c>
      <c r="O6214">
        <v>0.24514834982650566</v>
      </c>
      <c r="P6214">
        <v>0.25843688219482902</v>
      </c>
    </row>
    <row r="6215" spans="13:16">
      <c r="M6215">
        <v>0.27812774238692373</v>
      </c>
      <c r="N6215">
        <v>0.19142459184275537</v>
      </c>
      <c r="O6215">
        <v>0.24296065213744977</v>
      </c>
      <c r="P6215">
        <v>0.28748701363287127</v>
      </c>
    </row>
    <row r="6216" spans="13:16">
      <c r="M6216">
        <v>0.31349547991497401</v>
      </c>
      <c r="N6216">
        <v>0.19660056948215038</v>
      </c>
      <c r="O6216">
        <v>0.21287151637482135</v>
      </c>
      <c r="P6216">
        <v>0.27703243422805424</v>
      </c>
    </row>
    <row r="6217" spans="13:16">
      <c r="M6217">
        <v>0.28138626552900076</v>
      </c>
      <c r="N6217">
        <v>0.17529910100512983</v>
      </c>
      <c r="O6217">
        <v>0.28375948960714725</v>
      </c>
      <c r="P6217">
        <v>0.25955514385872219</v>
      </c>
    </row>
    <row r="6218" spans="13:16">
      <c r="M6218">
        <v>0.30880080633814855</v>
      </c>
      <c r="N6218">
        <v>0.17031290641546648</v>
      </c>
      <c r="O6218">
        <v>0.27803565790810475</v>
      </c>
      <c r="P6218">
        <v>0.24285062933828028</v>
      </c>
    </row>
    <row r="6219" spans="13:16">
      <c r="M6219">
        <v>0.31088049585217548</v>
      </c>
      <c r="N6219">
        <v>0.18209318127621604</v>
      </c>
      <c r="O6219">
        <v>0.25421755984327021</v>
      </c>
      <c r="P6219">
        <v>0.25280876302833827</v>
      </c>
    </row>
    <row r="6220" spans="13:16">
      <c r="M6220">
        <v>0.31050954703805822</v>
      </c>
      <c r="N6220">
        <v>0.19216171296917667</v>
      </c>
      <c r="O6220">
        <v>0.23131405917410414</v>
      </c>
      <c r="P6220">
        <v>0.26601468081866092</v>
      </c>
    </row>
    <row r="6221" spans="13:16">
      <c r="M6221">
        <v>0.2969412286384821</v>
      </c>
      <c r="N6221">
        <v>0.18153919452375381</v>
      </c>
      <c r="O6221">
        <v>0.24394708234025339</v>
      </c>
      <c r="P6221">
        <v>0.2775724944975107</v>
      </c>
    </row>
    <row r="6222" spans="13:16">
      <c r="M6222">
        <v>0.28505315943032872</v>
      </c>
      <c r="N6222">
        <v>0.18283855297921592</v>
      </c>
      <c r="O6222">
        <v>0.25207816800966265</v>
      </c>
      <c r="P6222">
        <v>0.28003011958079282</v>
      </c>
    </row>
    <row r="6223" spans="13:16">
      <c r="M6223">
        <v>0.27942574406566029</v>
      </c>
      <c r="N6223">
        <v>0.1972738666725089</v>
      </c>
      <c r="O6223">
        <v>0.25435535634756812</v>
      </c>
      <c r="P6223">
        <v>0.26894503291426264</v>
      </c>
    </row>
    <row r="6224" spans="13:16">
      <c r="M6224">
        <v>0.28395183320303263</v>
      </c>
      <c r="N6224">
        <v>0.19458204966378623</v>
      </c>
      <c r="O6224">
        <v>0.24275474948130321</v>
      </c>
      <c r="P6224">
        <v>0.27871136765187793</v>
      </c>
    </row>
    <row r="6225" spans="13:16">
      <c r="M6225">
        <v>0.31997617400868328</v>
      </c>
      <c r="N6225">
        <v>0.18304664696289594</v>
      </c>
      <c r="O6225">
        <v>0.23278105800284871</v>
      </c>
      <c r="P6225">
        <v>0.26419612102557194</v>
      </c>
    </row>
    <row r="6226" spans="13:16">
      <c r="M6226">
        <v>0.31456347760042758</v>
      </c>
      <c r="N6226">
        <v>0.17154743209126974</v>
      </c>
      <c r="O6226">
        <v>0.25578264669544998</v>
      </c>
      <c r="P6226">
        <v>0.25810644361285268</v>
      </c>
    </row>
    <row r="6227" spans="13:16">
      <c r="M6227">
        <v>0.2799844282318848</v>
      </c>
      <c r="N6227">
        <v>0.19591550163641944</v>
      </c>
      <c r="O6227">
        <v>0.25568128069110579</v>
      </c>
      <c r="P6227">
        <v>0.26841878944058989</v>
      </c>
    </row>
    <row r="6228" spans="13:16">
      <c r="M6228">
        <v>0.2833716188355721</v>
      </c>
      <c r="N6228">
        <v>0.18149774541739108</v>
      </c>
      <c r="O6228">
        <v>0.26186993718521195</v>
      </c>
      <c r="P6228">
        <v>0.27326069856182489</v>
      </c>
    </row>
    <row r="6229" spans="13:16">
      <c r="M6229">
        <v>0.32035654453450974</v>
      </c>
      <c r="N6229">
        <v>0.18797815527222092</v>
      </c>
      <c r="O6229">
        <v>0.21500186771666613</v>
      </c>
      <c r="P6229">
        <v>0.27666343247660319</v>
      </c>
    </row>
    <row r="6230" spans="13:16">
      <c r="M6230">
        <v>0.28639924836549441</v>
      </c>
      <c r="N6230">
        <v>0.17898067053318847</v>
      </c>
      <c r="O6230">
        <v>0.26783343575667157</v>
      </c>
      <c r="P6230">
        <v>0.26678664534464563</v>
      </c>
    </row>
    <row r="6231" spans="13:16">
      <c r="M6231">
        <v>0.26334758893488325</v>
      </c>
      <c r="N6231">
        <v>0.18867619090056909</v>
      </c>
      <c r="O6231">
        <v>0.28503468961685535</v>
      </c>
      <c r="P6231">
        <v>0.26294153054769237</v>
      </c>
    </row>
    <row r="6232" spans="13:16">
      <c r="M6232">
        <v>0.28633214240794974</v>
      </c>
      <c r="N6232">
        <v>0.17943202255846863</v>
      </c>
      <c r="O6232">
        <v>0.28142438096322847</v>
      </c>
      <c r="P6232">
        <v>0.25281145407035321</v>
      </c>
    </row>
    <row r="6233" spans="13:16">
      <c r="M6233">
        <v>0.28710844825751258</v>
      </c>
      <c r="N6233">
        <v>0.18832269860041481</v>
      </c>
      <c r="O6233">
        <v>0.24560694701093819</v>
      </c>
      <c r="P6233">
        <v>0.27896190613113442</v>
      </c>
    </row>
    <row r="6234" spans="13:16">
      <c r="M6234">
        <v>0.29086445635013719</v>
      </c>
      <c r="N6234">
        <v>0.17004781801682742</v>
      </c>
      <c r="O6234">
        <v>0.2978227669083216</v>
      </c>
      <c r="P6234">
        <v>0.24126495872471387</v>
      </c>
    </row>
    <row r="6235" spans="13:16">
      <c r="M6235">
        <v>0.3113870356627626</v>
      </c>
      <c r="N6235">
        <v>0.18941641666065792</v>
      </c>
      <c r="O6235">
        <v>0.23679852933043977</v>
      </c>
      <c r="P6235">
        <v>0.26239801834613957</v>
      </c>
    </row>
    <row r="6236" spans="13:16">
      <c r="M6236">
        <v>0.27538042939882168</v>
      </c>
      <c r="N6236">
        <v>0.16583058312616775</v>
      </c>
      <c r="O6236">
        <v>0.30036928006888508</v>
      </c>
      <c r="P6236">
        <v>0.25841970740612552</v>
      </c>
    </row>
    <row r="6237" spans="13:16">
      <c r="M6237">
        <v>0.31892914692884899</v>
      </c>
      <c r="N6237">
        <v>0.17635802349171059</v>
      </c>
      <c r="O6237">
        <v>0.24258195945296537</v>
      </c>
      <c r="P6237">
        <v>0.2621308701264749</v>
      </c>
    </row>
    <row r="6238" spans="13:16">
      <c r="M6238">
        <v>0.29905320856719181</v>
      </c>
      <c r="N6238">
        <v>0.17786551366134479</v>
      </c>
      <c r="O6238">
        <v>0.27615892856973623</v>
      </c>
      <c r="P6238">
        <v>0.24692234920172723</v>
      </c>
    </row>
    <row r="6239" spans="13:16">
      <c r="M6239">
        <v>0.30665888492596738</v>
      </c>
      <c r="N6239">
        <v>0.17419772730245778</v>
      </c>
      <c r="O6239">
        <v>0.25977948537136564</v>
      </c>
      <c r="P6239">
        <v>0.25936390240020912</v>
      </c>
    </row>
    <row r="6240" spans="13:16">
      <c r="M6240">
        <v>0.31291106911532934</v>
      </c>
      <c r="N6240">
        <v>0.19770016064219686</v>
      </c>
      <c r="O6240">
        <v>0.22449362189173172</v>
      </c>
      <c r="P6240">
        <v>0.26489514835074196</v>
      </c>
    </row>
    <row r="6241" spans="13:16">
      <c r="M6241">
        <v>0.29164289186121067</v>
      </c>
      <c r="N6241">
        <v>0.19109899935085781</v>
      </c>
      <c r="O6241">
        <v>0.25727583075805138</v>
      </c>
      <c r="P6241">
        <v>0.25998227802988022</v>
      </c>
    </row>
    <row r="6242" spans="13:16">
      <c r="M6242">
        <v>0.2833248401231358</v>
      </c>
      <c r="N6242">
        <v>0.20088826115963235</v>
      </c>
      <c r="O6242">
        <v>0.24314373076189685</v>
      </c>
      <c r="P6242">
        <v>0.27264316795533511</v>
      </c>
    </row>
    <row r="6243" spans="13:16">
      <c r="M6243">
        <v>0.30277140950840475</v>
      </c>
      <c r="N6243">
        <v>0.17267744553823172</v>
      </c>
      <c r="O6243">
        <v>0.26716485551455577</v>
      </c>
      <c r="P6243">
        <v>0.25738628943880781</v>
      </c>
    </row>
    <row r="6244" spans="13:16">
      <c r="M6244">
        <v>0.28242293121910689</v>
      </c>
      <c r="N6244">
        <v>0.19957636433126441</v>
      </c>
      <c r="O6244">
        <v>0.25696786512294689</v>
      </c>
      <c r="P6244">
        <v>0.2610328393266817</v>
      </c>
    </row>
    <row r="6245" spans="13:16">
      <c r="M6245">
        <v>0.31902947675835314</v>
      </c>
      <c r="N6245">
        <v>0.17905987888000663</v>
      </c>
      <c r="O6245">
        <v>0.24595997575814679</v>
      </c>
      <c r="P6245">
        <v>0.25595066860349336</v>
      </c>
    </row>
    <row r="6246" spans="13:16">
      <c r="M6246">
        <v>0.2743651666445619</v>
      </c>
      <c r="N6246">
        <v>0.18936274583385451</v>
      </c>
      <c r="O6246">
        <v>0.27174859031456194</v>
      </c>
      <c r="P6246">
        <v>0.26452349720702156</v>
      </c>
    </row>
    <row r="6247" spans="13:16">
      <c r="M6247">
        <v>0.27594703344827171</v>
      </c>
      <c r="N6247">
        <v>0.18578834933835675</v>
      </c>
      <c r="O6247">
        <v>0.27624217321473304</v>
      </c>
      <c r="P6247">
        <v>0.26202244399863861</v>
      </c>
    </row>
    <row r="6248" spans="13:16">
      <c r="M6248">
        <v>0.2973177480723011</v>
      </c>
      <c r="N6248">
        <v>0.19742429015665408</v>
      </c>
      <c r="O6248">
        <v>0.22882828936630126</v>
      </c>
      <c r="P6248">
        <v>0.27642967240474359</v>
      </c>
    </row>
    <row r="6249" spans="13:16">
      <c r="M6249">
        <v>0.29762379171051423</v>
      </c>
      <c r="N6249">
        <v>0.19195969149556458</v>
      </c>
      <c r="O6249">
        <v>0.24577592927767333</v>
      </c>
      <c r="P6249">
        <v>0.26464058751624786</v>
      </c>
    </row>
    <row r="6250" spans="13:16">
      <c r="M6250">
        <v>0.27781761791036619</v>
      </c>
      <c r="N6250">
        <v>0.20216847834028837</v>
      </c>
      <c r="O6250">
        <v>0.25022270682213749</v>
      </c>
      <c r="P6250">
        <v>0.26979119692720793</v>
      </c>
    </row>
    <row r="6251" spans="13:16">
      <c r="M6251">
        <v>0.29378467138517639</v>
      </c>
      <c r="N6251">
        <v>0.19430083517616481</v>
      </c>
      <c r="O6251">
        <v>0.2537208489876383</v>
      </c>
      <c r="P6251">
        <v>0.25819364445102039</v>
      </c>
    </row>
    <row r="6252" spans="13:16">
      <c r="M6252">
        <v>0.28545650851335197</v>
      </c>
      <c r="N6252">
        <v>0.18493207384605789</v>
      </c>
      <c r="O6252">
        <v>0.27093623875231732</v>
      </c>
      <c r="P6252">
        <v>0.25867517888827279</v>
      </c>
    </row>
    <row r="6253" spans="13:16">
      <c r="M6253">
        <v>0.28667082161006874</v>
      </c>
      <c r="N6253">
        <v>0.20456252649269804</v>
      </c>
      <c r="O6253">
        <v>0.22176425280366499</v>
      </c>
      <c r="P6253">
        <v>0.28700239909356834</v>
      </c>
    </row>
    <row r="6254" spans="13:16">
      <c r="M6254">
        <v>0.25863912848028425</v>
      </c>
      <c r="N6254">
        <v>0.20664192422445926</v>
      </c>
      <c r="O6254">
        <v>0.27349707366552356</v>
      </c>
      <c r="P6254">
        <v>0.26122187362973287</v>
      </c>
    </row>
    <row r="6255" spans="13:16">
      <c r="M6255">
        <v>0.28543297607481349</v>
      </c>
      <c r="N6255">
        <v>0.16292813740735329</v>
      </c>
      <c r="O6255">
        <v>0.31225319588611455</v>
      </c>
      <c r="P6255">
        <v>0.23938569063171861</v>
      </c>
    </row>
    <row r="6256" spans="13:16">
      <c r="M6256">
        <v>0.28368908068800874</v>
      </c>
      <c r="N6256">
        <v>0.20528286108318439</v>
      </c>
      <c r="O6256">
        <v>0.25002088468836919</v>
      </c>
      <c r="P6256">
        <v>0.26100717354043779</v>
      </c>
    </row>
    <row r="6257" spans="13:16">
      <c r="M6257">
        <v>0.28280868141111809</v>
      </c>
      <c r="N6257">
        <v>0.18480477540967424</v>
      </c>
      <c r="O6257">
        <v>0.2668447116045905</v>
      </c>
      <c r="P6257">
        <v>0.26554183157461714</v>
      </c>
    </row>
    <row r="6258" spans="13:16">
      <c r="M6258">
        <v>0.28929858239333439</v>
      </c>
      <c r="N6258">
        <v>0.17245057157691349</v>
      </c>
      <c r="O6258">
        <v>0.29880573709391212</v>
      </c>
      <c r="P6258">
        <v>0.23944510893584001</v>
      </c>
    </row>
    <row r="6259" spans="13:16">
      <c r="M6259">
        <v>0.31300321812872578</v>
      </c>
      <c r="N6259">
        <v>0.16519900687791089</v>
      </c>
      <c r="O6259">
        <v>0.26957381628319343</v>
      </c>
      <c r="P6259">
        <v>0.25222395871016995</v>
      </c>
    </row>
    <row r="6260" spans="13:16">
      <c r="M6260">
        <v>0.30028140396414466</v>
      </c>
      <c r="N6260">
        <v>0.17516619656690544</v>
      </c>
      <c r="O6260">
        <v>0.26891259901392162</v>
      </c>
      <c r="P6260">
        <v>0.25563980045502827</v>
      </c>
    </row>
    <row r="6261" spans="13:16">
      <c r="M6261">
        <v>0.27606543035427217</v>
      </c>
      <c r="N6261">
        <v>0.17751171493151205</v>
      </c>
      <c r="O6261">
        <v>0.27059784542411985</v>
      </c>
      <c r="P6261">
        <v>0.27582500929009596</v>
      </c>
    </row>
    <row r="6262" spans="13:16">
      <c r="M6262">
        <v>0.28594352583656779</v>
      </c>
      <c r="N6262">
        <v>0.18876230256964793</v>
      </c>
      <c r="O6262">
        <v>0.26683910840898467</v>
      </c>
      <c r="P6262">
        <v>0.25845506318479949</v>
      </c>
    </row>
    <row r="6263" spans="13:16">
      <c r="M6263">
        <v>0.28250218490386686</v>
      </c>
      <c r="N6263">
        <v>0.18900665812185302</v>
      </c>
      <c r="O6263">
        <v>0.26121977093681498</v>
      </c>
      <c r="P6263">
        <v>0.26727138603746509</v>
      </c>
    </row>
    <row r="6264" spans="13:16">
      <c r="M6264">
        <v>0.30249990126693677</v>
      </c>
      <c r="N6264">
        <v>0.17305514818734016</v>
      </c>
      <c r="O6264">
        <v>0.27877913615865157</v>
      </c>
      <c r="P6264">
        <v>0.24566581438707152</v>
      </c>
    </row>
    <row r="6265" spans="13:16">
      <c r="M6265">
        <v>0.28147749657147469</v>
      </c>
      <c r="N6265">
        <v>0.18051330140975924</v>
      </c>
      <c r="O6265">
        <v>0.26540331286965596</v>
      </c>
      <c r="P6265">
        <v>0.27260588914910999</v>
      </c>
    </row>
    <row r="6266" spans="13:16">
      <c r="M6266">
        <v>0.29016400757920247</v>
      </c>
      <c r="N6266">
        <v>0.16854614615767205</v>
      </c>
      <c r="O6266">
        <v>0.27867891263535027</v>
      </c>
      <c r="P6266">
        <v>0.26261093362777532</v>
      </c>
    </row>
    <row r="6267" spans="13:16">
      <c r="M6267">
        <v>0.29093702373015123</v>
      </c>
      <c r="N6267">
        <v>0.20182140570121757</v>
      </c>
      <c r="O6267">
        <v>0.2485371430157082</v>
      </c>
      <c r="P6267">
        <v>0.25870442755292294</v>
      </c>
    </row>
    <row r="6268" spans="13:16">
      <c r="M6268">
        <v>0.29247409861211554</v>
      </c>
      <c r="N6268">
        <v>0.17542952657467617</v>
      </c>
      <c r="O6268">
        <v>0.27442226092115368</v>
      </c>
      <c r="P6268">
        <v>0.25767411389205458</v>
      </c>
    </row>
    <row r="6269" spans="13:16">
      <c r="M6269">
        <v>0.30413256783991821</v>
      </c>
      <c r="N6269">
        <v>0.16335336084309277</v>
      </c>
      <c r="O6269">
        <v>0.28951087428231315</v>
      </c>
      <c r="P6269">
        <v>0.24300319703467579</v>
      </c>
    </row>
    <row r="6270" spans="13:16">
      <c r="M6270">
        <v>0.28506699441218242</v>
      </c>
      <c r="N6270">
        <v>0.18598830682880582</v>
      </c>
      <c r="O6270">
        <v>0.27200555929079534</v>
      </c>
      <c r="P6270">
        <v>0.2569391394682165</v>
      </c>
    </row>
    <row r="6271" spans="13:16">
      <c r="M6271">
        <v>0.30243245736797897</v>
      </c>
      <c r="N6271">
        <v>0.18308747852399423</v>
      </c>
      <c r="O6271">
        <v>0.25545411402218676</v>
      </c>
      <c r="P6271">
        <v>0.25902595008584006</v>
      </c>
    </row>
    <row r="6272" spans="13:16">
      <c r="M6272">
        <v>0.34205782303312338</v>
      </c>
      <c r="N6272">
        <v>0.18868251948469558</v>
      </c>
      <c r="O6272">
        <v>0.20213647977104787</v>
      </c>
      <c r="P6272">
        <v>0.2671231777111332</v>
      </c>
    </row>
    <row r="6273" spans="13:16">
      <c r="M6273">
        <v>0.30071141087931968</v>
      </c>
      <c r="N6273">
        <v>0.16646504868430964</v>
      </c>
      <c r="O6273">
        <v>0.2770775374115349</v>
      </c>
      <c r="P6273">
        <v>0.25574600302483586</v>
      </c>
    </row>
    <row r="6274" spans="13:16">
      <c r="M6274">
        <v>0.32880038672245876</v>
      </c>
      <c r="N6274">
        <v>0.18006885723186911</v>
      </c>
      <c r="O6274">
        <v>0.23107371403279775</v>
      </c>
      <c r="P6274">
        <v>0.26005704201287438</v>
      </c>
    </row>
    <row r="6275" spans="13:16">
      <c r="M6275">
        <v>0.27524500814731406</v>
      </c>
      <c r="N6275">
        <v>0.19367607893757577</v>
      </c>
      <c r="O6275">
        <v>0.26320085035008006</v>
      </c>
      <c r="P6275">
        <v>0.26787806256503</v>
      </c>
    </row>
    <row r="6276" spans="13:16">
      <c r="M6276">
        <v>0.28114067673378051</v>
      </c>
      <c r="N6276">
        <v>0.19914791048454966</v>
      </c>
      <c r="O6276">
        <v>0.24654785738162641</v>
      </c>
      <c r="P6276">
        <v>0.27316355540004328</v>
      </c>
    </row>
    <row r="6277" spans="13:16">
      <c r="M6277">
        <v>0.29240549362707302</v>
      </c>
      <c r="N6277">
        <v>0.18129213615808853</v>
      </c>
      <c r="O6277">
        <v>0.25166404832244244</v>
      </c>
      <c r="P6277">
        <v>0.27463832189239612</v>
      </c>
    </row>
    <row r="6278" spans="13:16">
      <c r="M6278">
        <v>0.32155671446746009</v>
      </c>
      <c r="N6278">
        <v>0.18671815949758847</v>
      </c>
      <c r="O6278">
        <v>0.23699460039829912</v>
      </c>
      <c r="P6278">
        <v>0.25473052563665233</v>
      </c>
    </row>
    <row r="6279" spans="13:16">
      <c r="M6279">
        <v>0.30779185297453193</v>
      </c>
      <c r="N6279">
        <v>0.18660680993370971</v>
      </c>
      <c r="O6279">
        <v>0.24163716752393893</v>
      </c>
      <c r="P6279">
        <v>0.26396416956781948</v>
      </c>
    </row>
    <row r="6280" spans="13:16">
      <c r="M6280">
        <v>0.30416498429175143</v>
      </c>
      <c r="N6280">
        <v>0.17850060821174388</v>
      </c>
      <c r="O6280">
        <v>0.27771413596385153</v>
      </c>
      <c r="P6280">
        <v>0.23962027153265322</v>
      </c>
    </row>
    <row r="6281" spans="13:16">
      <c r="M6281">
        <v>0.29513018364596666</v>
      </c>
      <c r="N6281">
        <v>0.17476701783340751</v>
      </c>
      <c r="O6281">
        <v>0.28156630296136803</v>
      </c>
      <c r="P6281">
        <v>0.24853649555925786</v>
      </c>
    </row>
    <row r="6282" spans="13:16">
      <c r="M6282">
        <v>0.27916472819235078</v>
      </c>
      <c r="N6282">
        <v>0.17606242475692332</v>
      </c>
      <c r="O6282">
        <v>0.28924745463034945</v>
      </c>
      <c r="P6282">
        <v>0.25552539242037642</v>
      </c>
    </row>
    <row r="6283" spans="13:16">
      <c r="M6283">
        <v>0.30002667687185797</v>
      </c>
      <c r="N6283">
        <v>0.17445776267801164</v>
      </c>
      <c r="O6283">
        <v>0.26670829779399174</v>
      </c>
      <c r="P6283">
        <v>0.25880726265613863</v>
      </c>
    </row>
    <row r="6284" spans="13:16">
      <c r="M6284">
        <v>0.26617290401836069</v>
      </c>
      <c r="N6284">
        <v>0.19548760392952538</v>
      </c>
      <c r="O6284">
        <v>0.26748452013863422</v>
      </c>
      <c r="P6284">
        <v>0.27085497191347963</v>
      </c>
    </row>
    <row r="6285" spans="13:16">
      <c r="M6285">
        <v>0.27243490717669627</v>
      </c>
      <c r="N6285">
        <v>0.20543949944144677</v>
      </c>
      <c r="O6285">
        <v>0.26053241337451977</v>
      </c>
      <c r="P6285">
        <v>0.26159318000733717</v>
      </c>
    </row>
    <row r="6286" spans="13:16">
      <c r="M6286">
        <v>0.29631084880488329</v>
      </c>
      <c r="N6286">
        <v>0.17535422042798135</v>
      </c>
      <c r="O6286">
        <v>0.26218097749410596</v>
      </c>
      <c r="P6286">
        <v>0.26615395327302954</v>
      </c>
    </row>
    <row r="6287" spans="13:16">
      <c r="M6287">
        <v>0.29370335877031672</v>
      </c>
      <c r="N6287">
        <v>0.20003884852893924</v>
      </c>
      <c r="O6287">
        <v>0.25067798395118357</v>
      </c>
      <c r="P6287">
        <v>0.25557980874956038</v>
      </c>
    </row>
    <row r="6288" spans="13:16">
      <c r="M6288">
        <v>0.30489106526018001</v>
      </c>
      <c r="N6288">
        <v>0.19365142556380371</v>
      </c>
      <c r="O6288">
        <v>0.22453145222431212</v>
      </c>
      <c r="P6288">
        <v>0.27692605695170408</v>
      </c>
    </row>
    <row r="6289" spans="13:16">
      <c r="M6289">
        <v>0.30364600488572957</v>
      </c>
      <c r="N6289">
        <v>0.20637434432312518</v>
      </c>
      <c r="O6289">
        <v>0.21409328328190541</v>
      </c>
      <c r="P6289">
        <v>0.27588636750923973</v>
      </c>
    </row>
    <row r="6290" spans="13:16">
      <c r="M6290">
        <v>0.31478642408641166</v>
      </c>
      <c r="N6290">
        <v>0.17747669300992186</v>
      </c>
      <c r="O6290">
        <v>0.25579862014438337</v>
      </c>
      <c r="P6290">
        <v>0.25193826275928305</v>
      </c>
    </row>
    <row r="6291" spans="13:16">
      <c r="M6291">
        <v>0.29216265362979088</v>
      </c>
      <c r="N6291">
        <v>0.18875881629789815</v>
      </c>
      <c r="O6291">
        <v>0.25739996379292729</v>
      </c>
      <c r="P6291">
        <v>0.2616785662793838</v>
      </c>
    </row>
    <row r="6292" spans="13:16">
      <c r="M6292">
        <v>0.27165020508228471</v>
      </c>
      <c r="N6292">
        <v>0.17564789317840224</v>
      </c>
      <c r="O6292">
        <v>0.27824953845573835</v>
      </c>
      <c r="P6292">
        <v>0.2744523632835747</v>
      </c>
    </row>
    <row r="6293" spans="13:16">
      <c r="M6293">
        <v>0.32886531838462146</v>
      </c>
      <c r="N6293">
        <v>0.1611619089181853</v>
      </c>
      <c r="O6293">
        <v>0.26113209514680463</v>
      </c>
      <c r="P6293">
        <v>0.24884067755038866</v>
      </c>
    </row>
    <row r="6294" spans="13:16">
      <c r="M6294">
        <v>0.27498071207134539</v>
      </c>
      <c r="N6294">
        <v>0.18775501552031418</v>
      </c>
      <c r="O6294">
        <v>0.27145434639687183</v>
      </c>
      <c r="P6294">
        <v>0.26580992601146869</v>
      </c>
    </row>
    <row r="6295" spans="13:16">
      <c r="M6295">
        <v>0.27701086316771989</v>
      </c>
      <c r="N6295">
        <v>0.21069887689834335</v>
      </c>
      <c r="O6295">
        <v>0.24724896561401671</v>
      </c>
      <c r="P6295">
        <v>0.26504129431992013</v>
      </c>
    </row>
    <row r="6296" spans="13:16">
      <c r="M6296">
        <v>0.27751901831692943</v>
      </c>
      <c r="N6296">
        <v>0.18329725081637255</v>
      </c>
      <c r="O6296">
        <v>0.28865462100060102</v>
      </c>
      <c r="P6296">
        <v>0.250529109866097</v>
      </c>
    </row>
    <row r="6297" spans="13:16">
      <c r="M6297">
        <v>0.28846715763207886</v>
      </c>
      <c r="N6297">
        <v>0.18603143520134618</v>
      </c>
      <c r="O6297">
        <v>0.24988094088202148</v>
      </c>
      <c r="P6297">
        <v>0.2756204662845535</v>
      </c>
    </row>
    <row r="6298" spans="13:16">
      <c r="M6298">
        <v>0.28093692382982965</v>
      </c>
      <c r="N6298">
        <v>0.20545635493458253</v>
      </c>
      <c r="O6298">
        <v>0.23408080679231269</v>
      </c>
      <c r="P6298">
        <v>0.27952591444327518</v>
      </c>
    </row>
    <row r="6299" spans="13:16">
      <c r="M6299">
        <v>0.32504403552659333</v>
      </c>
      <c r="N6299">
        <v>0.18695891732679115</v>
      </c>
      <c r="O6299">
        <v>0.21782730886671905</v>
      </c>
      <c r="P6299">
        <v>0.27016973827989649</v>
      </c>
    </row>
    <row r="6300" spans="13:16">
      <c r="M6300">
        <v>0.29523733448228773</v>
      </c>
      <c r="N6300">
        <v>0.165643936520806</v>
      </c>
      <c r="O6300">
        <v>0.29410449321681065</v>
      </c>
      <c r="P6300">
        <v>0.2450142357800956</v>
      </c>
    </row>
    <row r="6301" spans="13:16">
      <c r="M6301">
        <v>0.30713464008589447</v>
      </c>
      <c r="N6301">
        <v>0.18549660302630977</v>
      </c>
      <c r="O6301">
        <v>0.23642372407263426</v>
      </c>
      <c r="P6301">
        <v>0.27094503281516152</v>
      </c>
    </row>
    <row r="6302" spans="13:16">
      <c r="M6302">
        <v>0.33035560409558379</v>
      </c>
      <c r="N6302">
        <v>0.16869235102128566</v>
      </c>
      <c r="O6302">
        <v>0.23394122029663458</v>
      </c>
      <c r="P6302">
        <v>0.26701082458649589</v>
      </c>
    </row>
    <row r="6303" spans="13:16">
      <c r="M6303">
        <v>0.30274784242612446</v>
      </c>
      <c r="N6303">
        <v>0.20031903891450134</v>
      </c>
      <c r="O6303">
        <v>0.24727926292120664</v>
      </c>
      <c r="P6303">
        <v>0.24965385573816759</v>
      </c>
    </row>
    <row r="6304" spans="13:16">
      <c r="M6304">
        <v>0.28583113231452689</v>
      </c>
      <c r="N6304">
        <v>0.1797639216391354</v>
      </c>
      <c r="O6304">
        <v>0.26716036727375869</v>
      </c>
      <c r="P6304">
        <v>0.26724457877257912</v>
      </c>
    </row>
    <row r="6305" spans="13:16">
      <c r="M6305">
        <v>0.31641160674958724</v>
      </c>
      <c r="N6305">
        <v>0.16294478549823507</v>
      </c>
      <c r="O6305">
        <v>0.26208917538948423</v>
      </c>
      <c r="P6305">
        <v>0.25855443236269338</v>
      </c>
    </row>
    <row r="6306" spans="13:16">
      <c r="M6306">
        <v>0.30144019810388412</v>
      </c>
      <c r="N6306">
        <v>0.20853228609332269</v>
      </c>
      <c r="O6306">
        <v>0.22402308630821702</v>
      </c>
      <c r="P6306">
        <v>0.2660044294945762</v>
      </c>
    </row>
    <row r="6307" spans="13:16">
      <c r="M6307">
        <v>0.2948296025977879</v>
      </c>
      <c r="N6307">
        <v>0.17502371244063117</v>
      </c>
      <c r="O6307">
        <v>0.26578235749668794</v>
      </c>
      <c r="P6307">
        <v>0.26436432746489302</v>
      </c>
    </row>
    <row r="6308" spans="13:16">
      <c r="M6308">
        <v>0.2805280204208786</v>
      </c>
      <c r="N6308">
        <v>0.18609964149499345</v>
      </c>
      <c r="O6308">
        <v>0.2765531732994187</v>
      </c>
      <c r="P6308">
        <v>0.25681916478470934</v>
      </c>
    </row>
    <row r="6309" spans="13:16">
      <c r="M6309">
        <v>0.30562901193295339</v>
      </c>
      <c r="N6309">
        <v>0.17717714454150235</v>
      </c>
      <c r="O6309">
        <v>0.2547411081665038</v>
      </c>
      <c r="P6309">
        <v>0.2624527353590404</v>
      </c>
    </row>
    <row r="6310" spans="13:16">
      <c r="M6310">
        <v>0.29557580139986228</v>
      </c>
      <c r="N6310">
        <v>0.20072321075270302</v>
      </c>
      <c r="O6310">
        <v>0.22263045159823577</v>
      </c>
      <c r="P6310">
        <v>0.28107053624919892</v>
      </c>
    </row>
    <row r="6311" spans="13:16">
      <c r="M6311">
        <v>0.31123766216537996</v>
      </c>
      <c r="N6311">
        <v>0.17866191680467947</v>
      </c>
      <c r="O6311">
        <v>0.25600818391118302</v>
      </c>
      <c r="P6311">
        <v>0.25409223711875756</v>
      </c>
    </row>
    <row r="6312" spans="13:16">
      <c r="M6312">
        <v>0.29122195940285062</v>
      </c>
      <c r="N6312">
        <v>0.17483342970413798</v>
      </c>
      <c r="O6312">
        <v>0.2831278067873213</v>
      </c>
      <c r="P6312">
        <v>0.25081680410569013</v>
      </c>
    </row>
    <row r="6313" spans="13:16">
      <c r="M6313">
        <v>0.28218958610746564</v>
      </c>
      <c r="N6313">
        <v>0.17826423117845835</v>
      </c>
      <c r="O6313">
        <v>0.27625572805547988</v>
      </c>
      <c r="P6313">
        <v>0.26329045465859624</v>
      </c>
    </row>
    <row r="6314" spans="13:16">
      <c r="M6314">
        <v>0.28613554614662784</v>
      </c>
      <c r="N6314">
        <v>0.21002278744131489</v>
      </c>
      <c r="O6314">
        <v>0.23886174996056969</v>
      </c>
      <c r="P6314">
        <v>0.26497991645148761</v>
      </c>
    </row>
    <row r="6315" spans="13:16">
      <c r="M6315">
        <v>0.29662373814801951</v>
      </c>
      <c r="N6315">
        <v>0.16255858373315374</v>
      </c>
      <c r="O6315">
        <v>0.29860500219225755</v>
      </c>
      <c r="P6315">
        <v>0.24221267592656914</v>
      </c>
    </row>
    <row r="6316" spans="13:16">
      <c r="M6316">
        <v>0.28219695560157937</v>
      </c>
      <c r="N6316">
        <v>0.17818656363916346</v>
      </c>
      <c r="O6316">
        <v>0.27763390704313823</v>
      </c>
      <c r="P6316">
        <v>0.26198257371611888</v>
      </c>
    </row>
    <row r="6317" spans="13:16">
      <c r="M6317">
        <v>0.2862135929609248</v>
      </c>
      <c r="N6317">
        <v>0.17103626142473097</v>
      </c>
      <c r="O6317">
        <v>0.26928173600113853</v>
      </c>
      <c r="P6317">
        <v>0.27346840961320584</v>
      </c>
    </row>
    <row r="6318" spans="13:16">
      <c r="M6318">
        <v>0.31255659861012586</v>
      </c>
      <c r="N6318">
        <v>0.163841749109921</v>
      </c>
      <c r="O6318">
        <v>0.26726552240740403</v>
      </c>
      <c r="P6318">
        <v>0.25633612987254911</v>
      </c>
    </row>
    <row r="6319" spans="13:16">
      <c r="M6319">
        <v>0.28349734739622756</v>
      </c>
      <c r="N6319">
        <v>0.19363651119879516</v>
      </c>
      <c r="O6319">
        <v>0.27335391937060671</v>
      </c>
      <c r="P6319">
        <v>0.24951222203437062</v>
      </c>
    </row>
    <row r="6320" spans="13:16">
      <c r="M6320">
        <v>0.28644545885585315</v>
      </c>
      <c r="N6320">
        <v>0.19293316860502729</v>
      </c>
      <c r="O6320">
        <v>0.23075687271475312</v>
      </c>
      <c r="P6320">
        <v>0.28986449982436641</v>
      </c>
    </row>
    <row r="6321" spans="13:16">
      <c r="M6321">
        <v>0.29161458129882956</v>
      </c>
      <c r="N6321">
        <v>0.20165926604150056</v>
      </c>
      <c r="O6321">
        <v>0.2192280714930307</v>
      </c>
      <c r="P6321">
        <v>0.28749808116663905</v>
      </c>
    </row>
    <row r="6322" spans="13:16">
      <c r="M6322">
        <v>0.28529759575237007</v>
      </c>
      <c r="N6322">
        <v>0.18366625658748251</v>
      </c>
      <c r="O6322">
        <v>0.27105258828007134</v>
      </c>
      <c r="P6322">
        <v>0.25998355938007611</v>
      </c>
    </row>
    <row r="6323" spans="13:16">
      <c r="M6323">
        <v>0.29260692862694154</v>
      </c>
      <c r="N6323">
        <v>0.19988031941626436</v>
      </c>
      <c r="O6323">
        <v>0.2569671518809431</v>
      </c>
      <c r="P6323">
        <v>0.25054560007585086</v>
      </c>
    </row>
    <row r="6324" spans="13:16">
      <c r="M6324">
        <v>0.27421698721459287</v>
      </c>
      <c r="N6324">
        <v>0.1687064884573066</v>
      </c>
      <c r="O6324">
        <v>0.30420681770129065</v>
      </c>
      <c r="P6324">
        <v>0.25286970662680991</v>
      </c>
    </row>
    <row r="6325" spans="13:16">
      <c r="M6325">
        <v>0.27309128017494133</v>
      </c>
      <c r="N6325">
        <v>0.18772362625778535</v>
      </c>
      <c r="O6325">
        <v>0.26786083808176342</v>
      </c>
      <c r="P6325">
        <v>0.27132425548551009</v>
      </c>
    </row>
    <row r="6326" spans="13:16">
      <c r="M6326">
        <v>0.27601627785749389</v>
      </c>
      <c r="N6326">
        <v>0.18426385739270187</v>
      </c>
      <c r="O6326">
        <v>0.26762300695812785</v>
      </c>
      <c r="P6326">
        <v>0.27209685779167631</v>
      </c>
    </row>
    <row r="6327" spans="13:16">
      <c r="M6327">
        <v>0.28723626864951612</v>
      </c>
      <c r="N6327">
        <v>0.18392247321418895</v>
      </c>
      <c r="O6327">
        <v>0.27109554082523762</v>
      </c>
      <c r="P6327">
        <v>0.25774571731105722</v>
      </c>
    </row>
    <row r="6328" spans="13:16">
      <c r="M6328">
        <v>0.27987489141836863</v>
      </c>
      <c r="N6328">
        <v>0.19178254425778885</v>
      </c>
      <c r="O6328">
        <v>0.25473609759914567</v>
      </c>
      <c r="P6328">
        <v>0.27360646672469685</v>
      </c>
    </row>
    <row r="6329" spans="13:16">
      <c r="M6329">
        <v>0.28429415234567801</v>
      </c>
      <c r="N6329">
        <v>0.18724427275493938</v>
      </c>
      <c r="O6329">
        <v>0.25746563690792629</v>
      </c>
      <c r="P6329">
        <v>0.27099593799145638</v>
      </c>
    </row>
    <row r="6330" spans="13:16">
      <c r="M6330">
        <v>0.26830192965695537</v>
      </c>
      <c r="N6330">
        <v>0.18136433420106107</v>
      </c>
      <c r="O6330">
        <v>0.27522665755778369</v>
      </c>
      <c r="P6330">
        <v>0.2751070785841998</v>
      </c>
    </row>
    <row r="6331" spans="13:16">
      <c r="M6331">
        <v>0.29362641098525077</v>
      </c>
      <c r="N6331">
        <v>0.17697229908718168</v>
      </c>
      <c r="O6331">
        <v>0.26775737017468698</v>
      </c>
      <c r="P6331">
        <v>0.26164391975288054</v>
      </c>
    </row>
    <row r="6332" spans="13:16">
      <c r="M6332">
        <v>0.28607772011673821</v>
      </c>
      <c r="N6332">
        <v>0.18201680778251039</v>
      </c>
      <c r="O6332">
        <v>0.26875730216234783</v>
      </c>
      <c r="P6332">
        <v>0.26314816993840345</v>
      </c>
    </row>
    <row r="6333" spans="13:16">
      <c r="M6333">
        <v>0.28531045718628323</v>
      </c>
      <c r="N6333">
        <v>0.18963432513997569</v>
      </c>
      <c r="O6333">
        <v>0.26183927939401297</v>
      </c>
      <c r="P6333">
        <v>0.26321593827972806</v>
      </c>
    </row>
    <row r="6334" spans="13:16">
      <c r="M6334">
        <v>0.30482404427779902</v>
      </c>
      <c r="N6334">
        <v>0.19407031626014951</v>
      </c>
      <c r="O6334">
        <v>0.2109913343765018</v>
      </c>
      <c r="P6334">
        <v>0.29011430508554964</v>
      </c>
    </row>
    <row r="6335" spans="13:16">
      <c r="M6335">
        <v>0.31128265592743659</v>
      </c>
      <c r="N6335">
        <v>0.1866058827690508</v>
      </c>
      <c r="O6335">
        <v>0.24351099917956662</v>
      </c>
      <c r="P6335">
        <v>0.258600462123946</v>
      </c>
    </row>
    <row r="6336" spans="13:16">
      <c r="M6336">
        <v>0.29359580135155383</v>
      </c>
      <c r="N6336">
        <v>0.16851556563288006</v>
      </c>
      <c r="O6336">
        <v>0.2888356399737832</v>
      </c>
      <c r="P6336">
        <v>0.2490529930417828</v>
      </c>
    </row>
    <row r="6337" spans="13:16">
      <c r="M6337">
        <v>0.30557684576251709</v>
      </c>
      <c r="N6337">
        <v>0.1763972777146825</v>
      </c>
      <c r="O6337">
        <v>0.25273472496451949</v>
      </c>
      <c r="P6337">
        <v>0.26529115155828098</v>
      </c>
    </row>
    <row r="6338" spans="13:16">
      <c r="M6338">
        <v>0.29153916622034004</v>
      </c>
      <c r="N6338">
        <v>0.18587210961114783</v>
      </c>
      <c r="O6338">
        <v>0.26809679544044623</v>
      </c>
      <c r="P6338">
        <v>0.25449192872806603</v>
      </c>
    </row>
    <row r="6339" spans="13:16">
      <c r="M6339">
        <v>0.29005384283165514</v>
      </c>
      <c r="N6339">
        <v>0.18579643853881364</v>
      </c>
      <c r="O6339">
        <v>0.26727718444491277</v>
      </c>
      <c r="P6339">
        <v>0.25687253418461842</v>
      </c>
    </row>
    <row r="6340" spans="13:16">
      <c r="M6340">
        <v>0.27885229691927199</v>
      </c>
      <c r="N6340">
        <v>0.1953065378269255</v>
      </c>
      <c r="O6340">
        <v>0.27010176836400446</v>
      </c>
      <c r="P6340">
        <v>0.25573939688979791</v>
      </c>
    </row>
    <row r="6341" spans="13:16">
      <c r="M6341">
        <v>0.26714733577254945</v>
      </c>
      <c r="N6341">
        <v>0.19186646349920017</v>
      </c>
      <c r="O6341">
        <v>0.278524944593604</v>
      </c>
      <c r="P6341">
        <v>0.26246125613464633</v>
      </c>
    </row>
    <row r="6342" spans="13:16">
      <c r="M6342">
        <v>0.31417998171774458</v>
      </c>
      <c r="N6342">
        <v>0.17490754592861654</v>
      </c>
      <c r="O6342">
        <v>0.24647020122441948</v>
      </c>
      <c r="P6342">
        <v>0.26444227112921947</v>
      </c>
    </row>
    <row r="6343" spans="13:16">
      <c r="M6343">
        <v>0.29244934118633625</v>
      </c>
      <c r="N6343">
        <v>0.21279947276125841</v>
      </c>
      <c r="O6343">
        <v>0.22741987810340608</v>
      </c>
      <c r="P6343">
        <v>0.26733130794899929</v>
      </c>
    </row>
    <row r="6344" spans="13:16">
      <c r="M6344">
        <v>0.29713585587936375</v>
      </c>
      <c r="N6344">
        <v>0.1731994309777343</v>
      </c>
      <c r="O6344">
        <v>0.2670455593359386</v>
      </c>
      <c r="P6344">
        <v>0.26261915380696332</v>
      </c>
    </row>
    <row r="6345" spans="13:16">
      <c r="M6345">
        <v>0.28120656762081725</v>
      </c>
      <c r="N6345">
        <v>0.18351796310314675</v>
      </c>
      <c r="O6345">
        <v>0.2781016864952448</v>
      </c>
      <c r="P6345">
        <v>0.25717378278079123</v>
      </c>
    </row>
    <row r="6346" spans="13:16">
      <c r="M6346">
        <v>0.29440041848544485</v>
      </c>
      <c r="N6346">
        <v>0.18166177369004197</v>
      </c>
      <c r="O6346">
        <v>0.26799651379038042</v>
      </c>
      <c r="P6346">
        <v>0.25594129403413268</v>
      </c>
    </row>
    <row r="6347" spans="13:16">
      <c r="M6347">
        <v>0.28309060170919303</v>
      </c>
      <c r="N6347">
        <v>0.18289816768912776</v>
      </c>
      <c r="O6347">
        <v>0.29126510042014581</v>
      </c>
      <c r="P6347">
        <v>0.24274613018153349</v>
      </c>
    </row>
    <row r="6348" spans="13:16">
      <c r="M6348">
        <v>0.29916504781229736</v>
      </c>
      <c r="N6348">
        <v>0.18096629332038672</v>
      </c>
      <c r="O6348">
        <v>0.2519214609853907</v>
      </c>
      <c r="P6348">
        <v>0.26794719788192539</v>
      </c>
    </row>
    <row r="6349" spans="13:16">
      <c r="M6349">
        <v>0.29099274325444435</v>
      </c>
      <c r="N6349">
        <v>0.19953756379915563</v>
      </c>
      <c r="O6349">
        <v>0.24059979708024276</v>
      </c>
      <c r="P6349">
        <v>0.26886989586615728</v>
      </c>
    </row>
    <row r="6350" spans="13:16">
      <c r="M6350">
        <v>0.27380105815734157</v>
      </c>
      <c r="N6350">
        <v>0.17612157377016277</v>
      </c>
      <c r="O6350">
        <v>0.27907120826545007</v>
      </c>
      <c r="P6350">
        <v>0.27100615980704579</v>
      </c>
    </row>
    <row r="6351" spans="13:16">
      <c r="M6351">
        <v>0.30059023768968268</v>
      </c>
      <c r="N6351">
        <v>0.16941707259348207</v>
      </c>
      <c r="O6351">
        <v>0.27846931595758584</v>
      </c>
      <c r="P6351">
        <v>0.25152337375924949</v>
      </c>
    </row>
    <row r="6352" spans="13:16">
      <c r="M6352">
        <v>0.30645936935073753</v>
      </c>
      <c r="N6352">
        <v>0.16141859713017712</v>
      </c>
      <c r="O6352">
        <v>0.29137273074287756</v>
      </c>
      <c r="P6352">
        <v>0.24074930277620774</v>
      </c>
    </row>
    <row r="6353" spans="13:16">
      <c r="M6353">
        <v>0.2954635748590615</v>
      </c>
      <c r="N6353">
        <v>0.17741163753062716</v>
      </c>
      <c r="O6353">
        <v>0.26413506596151615</v>
      </c>
      <c r="P6353">
        <v>0.26298972164879514</v>
      </c>
    </row>
    <row r="6354" spans="13:16">
      <c r="M6354">
        <v>0.28845512102127646</v>
      </c>
      <c r="N6354">
        <v>0.16441678044251742</v>
      </c>
      <c r="O6354">
        <v>0.2971146365010422</v>
      </c>
      <c r="P6354">
        <v>0.25001346203516378</v>
      </c>
    </row>
    <row r="6355" spans="13:16">
      <c r="M6355">
        <v>0.30627762960948091</v>
      </c>
      <c r="N6355">
        <v>0.18250963350284294</v>
      </c>
      <c r="O6355">
        <v>0.24784598386787399</v>
      </c>
      <c r="P6355">
        <v>0.26336675301980228</v>
      </c>
    </row>
    <row r="6356" spans="13:16">
      <c r="M6356">
        <v>0.31165653334602367</v>
      </c>
      <c r="N6356">
        <v>0.18718853974796604</v>
      </c>
      <c r="O6356">
        <v>0.23065432726853574</v>
      </c>
      <c r="P6356">
        <v>0.27050059963747447</v>
      </c>
    </row>
    <row r="6357" spans="13:16">
      <c r="M6357">
        <v>0.27133911327243776</v>
      </c>
      <c r="N6357">
        <v>0.20141332519324842</v>
      </c>
      <c r="O6357">
        <v>0.25183186702740262</v>
      </c>
      <c r="P6357">
        <v>0.27541569450691117</v>
      </c>
    </row>
    <row r="6358" spans="13:16">
      <c r="M6358">
        <v>0.29565755917012559</v>
      </c>
      <c r="N6358">
        <v>0.1798425412496181</v>
      </c>
      <c r="O6358">
        <v>0.27585782746574677</v>
      </c>
      <c r="P6358">
        <v>0.24864207211450953</v>
      </c>
    </row>
    <row r="6359" spans="13:16">
      <c r="M6359">
        <v>0.28092872354743265</v>
      </c>
      <c r="N6359">
        <v>0.18553449165605837</v>
      </c>
      <c r="O6359">
        <v>0.26289224264870348</v>
      </c>
      <c r="P6359">
        <v>0.27064454214780548</v>
      </c>
    </row>
    <row r="6360" spans="13:16">
      <c r="M6360">
        <v>0.29896787613207032</v>
      </c>
      <c r="N6360">
        <v>0.19746748569659933</v>
      </c>
      <c r="O6360">
        <v>0.21570381568533467</v>
      </c>
      <c r="P6360">
        <v>0.28786082248599565</v>
      </c>
    </row>
    <row r="6361" spans="13:16">
      <c r="M6361">
        <v>0.31759509540751218</v>
      </c>
      <c r="N6361">
        <v>0.1886573796131811</v>
      </c>
      <c r="O6361">
        <v>0.23004003418484789</v>
      </c>
      <c r="P6361">
        <v>0.26370749079445877</v>
      </c>
    </row>
    <row r="6362" spans="13:16">
      <c r="M6362">
        <v>0.27867547334295789</v>
      </c>
      <c r="N6362">
        <v>0.17821724259336422</v>
      </c>
      <c r="O6362">
        <v>0.27845542499410086</v>
      </c>
      <c r="P6362">
        <v>0.26465185906957706</v>
      </c>
    </row>
    <row r="6363" spans="13:16">
      <c r="M6363">
        <v>0.29449216801545886</v>
      </c>
      <c r="N6363">
        <v>0.18971746580512241</v>
      </c>
      <c r="O6363">
        <v>0.26739785931067367</v>
      </c>
      <c r="P6363">
        <v>0.24839250686874506</v>
      </c>
    </row>
    <row r="6364" spans="13:16">
      <c r="M6364">
        <v>0.30000102292719977</v>
      </c>
      <c r="N6364">
        <v>0.16913789165865489</v>
      </c>
      <c r="O6364">
        <v>0.28213453768015728</v>
      </c>
      <c r="P6364">
        <v>0.24872654773398811</v>
      </c>
    </row>
    <row r="6365" spans="13:16">
      <c r="M6365">
        <v>0.30712671739549147</v>
      </c>
      <c r="N6365">
        <v>0.20513129301877725</v>
      </c>
      <c r="O6365">
        <v>0.223318808535244</v>
      </c>
      <c r="P6365">
        <v>0.26442318105048729</v>
      </c>
    </row>
    <row r="6366" spans="13:16">
      <c r="M6366">
        <v>0.29934337284905377</v>
      </c>
      <c r="N6366">
        <v>0.18700528988921716</v>
      </c>
      <c r="O6366">
        <v>0.23677392358020957</v>
      </c>
      <c r="P6366">
        <v>0.27687741368151947</v>
      </c>
    </row>
    <row r="6367" spans="13:16">
      <c r="M6367">
        <v>0.28213750783884167</v>
      </c>
      <c r="N6367">
        <v>0.17260471704723943</v>
      </c>
      <c r="O6367">
        <v>0.28866872156010481</v>
      </c>
      <c r="P6367">
        <v>0.25658905355381412</v>
      </c>
    </row>
    <row r="6368" spans="13:16">
      <c r="M6368">
        <v>0.27023388392765008</v>
      </c>
      <c r="N6368">
        <v>0.17459800248642521</v>
      </c>
      <c r="O6368">
        <v>0.30204201161771271</v>
      </c>
      <c r="P6368">
        <v>0.25312610196821206</v>
      </c>
    </row>
    <row r="6369" spans="13:16">
      <c r="M6369">
        <v>0.28417363303870108</v>
      </c>
      <c r="N6369">
        <v>0.16139737650195984</v>
      </c>
      <c r="O6369">
        <v>0.30780732011231005</v>
      </c>
      <c r="P6369">
        <v>0.24662167034702906</v>
      </c>
    </row>
    <row r="6370" spans="13:16">
      <c r="M6370">
        <v>0.29515783253537686</v>
      </c>
      <c r="N6370">
        <v>0.16880086832907071</v>
      </c>
      <c r="O6370">
        <v>0.28756820106010827</v>
      </c>
      <c r="P6370">
        <v>0.24847309807544418</v>
      </c>
    </row>
    <row r="6371" spans="13:16">
      <c r="M6371">
        <v>0.32486544576169485</v>
      </c>
      <c r="N6371">
        <v>0.1689009639690375</v>
      </c>
      <c r="O6371">
        <v>0.24220212641437314</v>
      </c>
      <c r="P6371">
        <v>0.26403146385489468</v>
      </c>
    </row>
    <row r="6372" spans="13:16">
      <c r="M6372">
        <v>0.2932333595280176</v>
      </c>
      <c r="N6372">
        <v>0.19669316272034831</v>
      </c>
      <c r="O6372">
        <v>0.24216036302311642</v>
      </c>
      <c r="P6372">
        <v>0.2679131147285177</v>
      </c>
    </row>
    <row r="6373" spans="13:16">
      <c r="M6373">
        <v>0.26510220250731187</v>
      </c>
      <c r="N6373">
        <v>0.21050702996852058</v>
      </c>
      <c r="O6373">
        <v>0.25344946799472651</v>
      </c>
      <c r="P6373">
        <v>0.27094129952944107</v>
      </c>
    </row>
    <row r="6374" spans="13:16">
      <c r="M6374">
        <v>0.27681324954787784</v>
      </c>
      <c r="N6374">
        <v>0.20718170931787019</v>
      </c>
      <c r="O6374">
        <v>0.24897306012699641</v>
      </c>
      <c r="P6374">
        <v>0.26703198100725561</v>
      </c>
    </row>
    <row r="6375" spans="13:16">
      <c r="M6375">
        <v>0.27923329718751583</v>
      </c>
      <c r="N6375">
        <v>0.17969177477200335</v>
      </c>
      <c r="O6375">
        <v>0.29426955621213158</v>
      </c>
      <c r="P6375">
        <v>0.24680537182834925</v>
      </c>
    </row>
    <row r="6376" spans="13:16">
      <c r="M6376">
        <v>0.29221941750219577</v>
      </c>
      <c r="N6376">
        <v>0.20049364404128026</v>
      </c>
      <c r="O6376">
        <v>0.24111909735705883</v>
      </c>
      <c r="P6376">
        <v>0.26616784109946517</v>
      </c>
    </row>
    <row r="6377" spans="13:16">
      <c r="M6377">
        <v>0.27943389073984354</v>
      </c>
      <c r="N6377">
        <v>0.19332134290711578</v>
      </c>
      <c r="O6377">
        <v>0.25781286129378284</v>
      </c>
      <c r="P6377">
        <v>0.26943190505925785</v>
      </c>
    </row>
    <row r="6378" spans="13:16">
      <c r="M6378">
        <v>0.29703469928302256</v>
      </c>
      <c r="N6378">
        <v>0.18317029142578342</v>
      </c>
      <c r="O6378">
        <v>0.25463760525446366</v>
      </c>
      <c r="P6378">
        <v>0.26515740403673049</v>
      </c>
    </row>
    <row r="6379" spans="13:16">
      <c r="M6379">
        <v>0.27245946770207558</v>
      </c>
      <c r="N6379">
        <v>0.19797052180718402</v>
      </c>
      <c r="O6379">
        <v>0.25168460971014944</v>
      </c>
      <c r="P6379">
        <v>0.27788540078059104</v>
      </c>
    </row>
    <row r="6380" spans="13:16">
      <c r="M6380">
        <v>0.30212586572205213</v>
      </c>
      <c r="N6380">
        <v>0.18706832540936666</v>
      </c>
      <c r="O6380">
        <v>0.24494235052866578</v>
      </c>
      <c r="P6380">
        <v>0.26586345833991559</v>
      </c>
    </row>
    <row r="6381" spans="13:16">
      <c r="M6381">
        <v>0.30464365611145661</v>
      </c>
      <c r="N6381">
        <v>0.191764797013948</v>
      </c>
      <c r="O6381">
        <v>0.24797559514217599</v>
      </c>
      <c r="P6381">
        <v>0.2556159517324193</v>
      </c>
    </row>
    <row r="6382" spans="13:16">
      <c r="M6382">
        <v>0.29007189175410708</v>
      </c>
      <c r="N6382">
        <v>0.19623425466598965</v>
      </c>
      <c r="O6382">
        <v>0.25536066280699027</v>
      </c>
      <c r="P6382">
        <v>0.25833319077291295</v>
      </c>
    </row>
    <row r="6383" spans="13:16">
      <c r="M6383">
        <v>0.29214384360109408</v>
      </c>
      <c r="N6383">
        <v>0.18959266972526054</v>
      </c>
      <c r="O6383">
        <v>0.23329636907041751</v>
      </c>
      <c r="P6383">
        <v>0.28496711760322785</v>
      </c>
    </row>
    <row r="6384" spans="13:16">
      <c r="M6384">
        <v>0.31907716321025387</v>
      </c>
      <c r="N6384">
        <v>0.18278941536540955</v>
      </c>
      <c r="O6384">
        <v>0.24136811944381453</v>
      </c>
      <c r="P6384">
        <v>0.25676530198052211</v>
      </c>
    </row>
    <row r="6385" spans="13:16">
      <c r="M6385">
        <v>0.28837134629291555</v>
      </c>
      <c r="N6385">
        <v>0.19922586305663015</v>
      </c>
      <c r="O6385">
        <v>0.2374364788772908</v>
      </c>
      <c r="P6385">
        <v>0.27496631177316344</v>
      </c>
    </row>
    <row r="6386" spans="13:16">
      <c r="M6386">
        <v>0.28024626125790336</v>
      </c>
      <c r="N6386">
        <v>0.18758190134956543</v>
      </c>
      <c r="O6386">
        <v>0.26707215310969973</v>
      </c>
      <c r="P6386">
        <v>0.26509968428283148</v>
      </c>
    </row>
    <row r="6387" spans="13:16">
      <c r="M6387">
        <v>0.27715873642308486</v>
      </c>
      <c r="N6387">
        <v>0.18951643228951429</v>
      </c>
      <c r="O6387">
        <v>0.2684862833497208</v>
      </c>
      <c r="P6387">
        <v>0.26483854793768008</v>
      </c>
    </row>
    <row r="6388" spans="13:16">
      <c r="M6388">
        <v>0.31239908330568233</v>
      </c>
      <c r="N6388">
        <v>0.17631360059278461</v>
      </c>
      <c r="O6388">
        <v>0.24903888621768788</v>
      </c>
      <c r="P6388">
        <v>0.26224842988384511</v>
      </c>
    </row>
    <row r="6389" spans="13:16">
      <c r="M6389">
        <v>0.30562382400569493</v>
      </c>
      <c r="N6389">
        <v>0.18488544147885261</v>
      </c>
      <c r="O6389">
        <v>0.24376549609246029</v>
      </c>
      <c r="P6389">
        <v>0.26572523842299217</v>
      </c>
    </row>
    <row r="6390" spans="13:16">
      <c r="M6390">
        <v>0.30600445359546519</v>
      </c>
      <c r="N6390">
        <v>0.18712344584858018</v>
      </c>
      <c r="O6390">
        <v>0.24108200613786623</v>
      </c>
      <c r="P6390">
        <v>0.26579009441808854</v>
      </c>
    </row>
    <row r="6391" spans="13:16">
      <c r="M6391">
        <v>0.28087878408192374</v>
      </c>
      <c r="N6391">
        <v>0.17800114026559852</v>
      </c>
      <c r="O6391">
        <v>0.27336740687534705</v>
      </c>
      <c r="P6391">
        <v>0.26775266877713083</v>
      </c>
    </row>
    <row r="6392" spans="13:16">
      <c r="M6392">
        <v>0.28442256645081082</v>
      </c>
      <c r="N6392">
        <v>0.21386638979118358</v>
      </c>
      <c r="O6392">
        <v>0.21126203286418077</v>
      </c>
      <c r="P6392">
        <v>0.29044901089382491</v>
      </c>
    </row>
    <row r="6393" spans="13:16">
      <c r="M6393">
        <v>0.2870365340752814</v>
      </c>
      <c r="N6393">
        <v>0.20186165864814926</v>
      </c>
      <c r="O6393">
        <v>0.23411244746760787</v>
      </c>
      <c r="P6393">
        <v>0.2769893598089615</v>
      </c>
    </row>
    <row r="6394" spans="13:16">
      <c r="M6394">
        <v>0.31671470187214706</v>
      </c>
      <c r="N6394">
        <v>0.15959614370042038</v>
      </c>
      <c r="O6394">
        <v>0.28543292000073728</v>
      </c>
      <c r="P6394">
        <v>0.23825623442669519</v>
      </c>
    </row>
    <row r="6395" spans="13:16">
      <c r="M6395">
        <v>0.32287997499129062</v>
      </c>
      <c r="N6395">
        <v>0.1729361728724142</v>
      </c>
      <c r="O6395">
        <v>0.24444712658387716</v>
      </c>
      <c r="P6395">
        <v>0.25973672555241789</v>
      </c>
    </row>
    <row r="6396" spans="13:16">
      <c r="M6396">
        <v>0.27644162924659915</v>
      </c>
      <c r="N6396">
        <v>0.18832786812480296</v>
      </c>
      <c r="O6396">
        <v>0.2663795832535662</v>
      </c>
      <c r="P6396">
        <v>0.26885091937503169</v>
      </c>
    </row>
    <row r="6397" spans="13:16">
      <c r="M6397">
        <v>0.32269108217721981</v>
      </c>
      <c r="N6397">
        <v>0.1690864341857283</v>
      </c>
      <c r="O6397">
        <v>0.2428845750890318</v>
      </c>
      <c r="P6397">
        <v>0.26533790854802014</v>
      </c>
    </row>
    <row r="6398" spans="13:16">
      <c r="M6398">
        <v>0.28248013396499444</v>
      </c>
      <c r="N6398">
        <v>0.20043149796798307</v>
      </c>
      <c r="O6398">
        <v>0.24143512517247814</v>
      </c>
      <c r="P6398">
        <v>0.27565324289454435</v>
      </c>
    </row>
    <row r="6399" spans="13:16">
      <c r="M6399">
        <v>0.28727875688618659</v>
      </c>
      <c r="N6399">
        <v>0.1872695855161772</v>
      </c>
      <c r="O6399">
        <v>0.26294943931345421</v>
      </c>
      <c r="P6399">
        <v>0.26250221828418202</v>
      </c>
    </row>
    <row r="6400" spans="13:16">
      <c r="M6400">
        <v>0.29044295948008408</v>
      </c>
      <c r="N6400">
        <v>0.19704737539638473</v>
      </c>
      <c r="O6400">
        <v>0.24874544237598922</v>
      </c>
      <c r="P6400">
        <v>0.26376422274754197</v>
      </c>
    </row>
    <row r="6401" spans="13:16">
      <c r="M6401">
        <v>0.27611866375677696</v>
      </c>
      <c r="N6401">
        <v>0.19755366616855444</v>
      </c>
      <c r="O6401">
        <v>0.26198286877799676</v>
      </c>
      <c r="P6401">
        <v>0.26434480129667182</v>
      </c>
    </row>
    <row r="6402" spans="13:16">
      <c r="M6402">
        <v>0.28607147279496165</v>
      </c>
      <c r="N6402">
        <v>0.18935976862215087</v>
      </c>
      <c r="O6402">
        <v>0.26914794964816513</v>
      </c>
      <c r="P6402">
        <v>0.25542080893472241</v>
      </c>
    </row>
    <row r="6403" spans="13:16">
      <c r="M6403">
        <v>0.28318961296454948</v>
      </c>
      <c r="N6403">
        <v>0.1956268263000453</v>
      </c>
      <c r="O6403">
        <v>0.2736152534996214</v>
      </c>
      <c r="P6403">
        <v>0.24756830723578374</v>
      </c>
    </row>
    <row r="6404" spans="13:16">
      <c r="M6404">
        <v>0.28536673825251446</v>
      </c>
      <c r="N6404">
        <v>0.16953867129996839</v>
      </c>
      <c r="O6404">
        <v>0.27944909293187642</v>
      </c>
      <c r="P6404">
        <v>0.26564549751564071</v>
      </c>
    </row>
    <row r="6405" spans="13:16">
      <c r="M6405">
        <v>0.30338434940287745</v>
      </c>
      <c r="N6405">
        <v>0.16955761659579335</v>
      </c>
      <c r="O6405">
        <v>0.2608220178250758</v>
      </c>
      <c r="P6405">
        <v>0.26623601617625331</v>
      </c>
    </row>
    <row r="6406" spans="13:16">
      <c r="M6406">
        <v>0.30786998304829627</v>
      </c>
      <c r="N6406">
        <v>0.17281432564816443</v>
      </c>
      <c r="O6406">
        <v>0.24817572136608321</v>
      </c>
      <c r="P6406">
        <v>0.2711399699374562</v>
      </c>
    </row>
    <row r="6407" spans="13:16">
      <c r="M6407">
        <v>0.28949662194753578</v>
      </c>
      <c r="N6407">
        <v>0.17098600774276623</v>
      </c>
      <c r="O6407">
        <v>0.26747930557954275</v>
      </c>
      <c r="P6407">
        <v>0.27203806473015529</v>
      </c>
    </row>
    <row r="6408" spans="13:16">
      <c r="M6408">
        <v>0.28810786627886997</v>
      </c>
      <c r="N6408">
        <v>0.18912962742859826</v>
      </c>
      <c r="O6408">
        <v>0.26374437344142582</v>
      </c>
      <c r="P6408">
        <v>0.25901813285110609</v>
      </c>
    </row>
    <row r="6409" spans="13:16">
      <c r="M6409">
        <v>0.29018316761022045</v>
      </c>
      <c r="N6409">
        <v>0.18519886468688088</v>
      </c>
      <c r="O6409">
        <v>0.26026364699297161</v>
      </c>
      <c r="P6409">
        <v>0.26435432070992709</v>
      </c>
    </row>
    <row r="6410" spans="13:16">
      <c r="M6410">
        <v>0.30415767893394696</v>
      </c>
      <c r="N6410">
        <v>0.17767400850950599</v>
      </c>
      <c r="O6410">
        <v>0.25827760995830457</v>
      </c>
      <c r="P6410">
        <v>0.25989070259824254</v>
      </c>
    </row>
    <row r="6411" spans="13:16">
      <c r="M6411">
        <v>0.2690714990219899</v>
      </c>
      <c r="N6411">
        <v>0.18191409312228049</v>
      </c>
      <c r="O6411">
        <v>0.29630442652365252</v>
      </c>
      <c r="P6411">
        <v>0.25270998133207717</v>
      </c>
    </row>
    <row r="6412" spans="13:16">
      <c r="M6412">
        <v>0.30415956224667551</v>
      </c>
      <c r="N6412">
        <v>0.17106966581550298</v>
      </c>
      <c r="O6412">
        <v>0.27067571089019832</v>
      </c>
      <c r="P6412">
        <v>0.25409506104762325</v>
      </c>
    </row>
    <row r="6413" spans="13:16">
      <c r="M6413">
        <v>0.30703390009666087</v>
      </c>
      <c r="N6413">
        <v>0.19916098973928786</v>
      </c>
      <c r="O6413">
        <v>0.21642624867760601</v>
      </c>
      <c r="P6413">
        <v>0.27737886148644525</v>
      </c>
    </row>
    <row r="6414" spans="13:16">
      <c r="M6414">
        <v>0.27302058922244293</v>
      </c>
      <c r="N6414">
        <v>0.18773872483589235</v>
      </c>
      <c r="O6414">
        <v>0.26924715883858791</v>
      </c>
      <c r="P6414">
        <v>0.26999352710307672</v>
      </c>
    </row>
    <row r="6415" spans="13:16">
      <c r="M6415">
        <v>0.30326015724803912</v>
      </c>
      <c r="N6415">
        <v>0.18614807358205793</v>
      </c>
      <c r="O6415">
        <v>0.22561939241093668</v>
      </c>
      <c r="P6415">
        <v>0.28497237675896636</v>
      </c>
    </row>
    <row r="6416" spans="13:16">
      <c r="M6416">
        <v>0.2943297609294136</v>
      </c>
      <c r="N6416">
        <v>0.18059921892576158</v>
      </c>
      <c r="O6416">
        <v>0.27043819368063055</v>
      </c>
      <c r="P6416">
        <v>0.25463282646419427</v>
      </c>
    </row>
    <row r="6417" spans="13:16">
      <c r="M6417">
        <v>0.29806752483468685</v>
      </c>
      <c r="N6417">
        <v>0.20165842467774625</v>
      </c>
      <c r="O6417">
        <v>0.22754922308363751</v>
      </c>
      <c r="P6417">
        <v>0.27272482740392956</v>
      </c>
    </row>
    <row r="6418" spans="13:16">
      <c r="M6418">
        <v>0.28392007580943213</v>
      </c>
      <c r="N6418">
        <v>0.17556919901918305</v>
      </c>
      <c r="O6418">
        <v>0.29695834837858853</v>
      </c>
      <c r="P6418">
        <v>0.24355237679279626</v>
      </c>
    </row>
    <row r="6419" spans="13:16">
      <c r="M6419">
        <v>0.31707737638517008</v>
      </c>
      <c r="N6419">
        <v>0.16926872915188326</v>
      </c>
      <c r="O6419">
        <v>0.25043556805583594</v>
      </c>
      <c r="P6419">
        <v>0.26321832640711068</v>
      </c>
    </row>
    <row r="6420" spans="13:16">
      <c r="M6420">
        <v>0.30068930891823914</v>
      </c>
      <c r="N6420">
        <v>0.1641932551343904</v>
      </c>
      <c r="O6420">
        <v>0.29145983855762725</v>
      </c>
      <c r="P6420">
        <v>0.24365759738974327</v>
      </c>
    </row>
    <row r="6421" spans="13:16">
      <c r="M6421">
        <v>0.28349436938851436</v>
      </c>
      <c r="N6421">
        <v>0.19526175403832791</v>
      </c>
      <c r="O6421">
        <v>0.24494474277305589</v>
      </c>
      <c r="P6421">
        <v>0.27629913380010185</v>
      </c>
    </row>
    <row r="6422" spans="13:16">
      <c r="M6422">
        <v>0.3047469378665677</v>
      </c>
      <c r="N6422">
        <v>0.18210209524052304</v>
      </c>
      <c r="O6422">
        <v>0.25242561587049683</v>
      </c>
      <c r="P6422">
        <v>0.2607253510224124</v>
      </c>
    </row>
    <row r="6423" spans="13:16">
      <c r="M6423">
        <v>0.29819287687921087</v>
      </c>
      <c r="N6423">
        <v>0.18034084117798607</v>
      </c>
      <c r="O6423">
        <v>0.26391200415959315</v>
      </c>
      <c r="P6423">
        <v>0.25755427778320999</v>
      </c>
    </row>
    <row r="6424" spans="13:16">
      <c r="M6424">
        <v>0.3121345493202437</v>
      </c>
      <c r="N6424">
        <v>0.17645185225927498</v>
      </c>
      <c r="O6424">
        <v>0.24126422425921726</v>
      </c>
      <c r="P6424">
        <v>0.27014937416126389</v>
      </c>
    </row>
    <row r="6425" spans="13:16">
      <c r="M6425">
        <v>0.28236468508546791</v>
      </c>
      <c r="N6425">
        <v>0.19515245360773362</v>
      </c>
      <c r="O6425">
        <v>0.23625874501478056</v>
      </c>
      <c r="P6425">
        <v>0.28622411629201788</v>
      </c>
    </row>
    <row r="6426" spans="13:16">
      <c r="M6426">
        <v>0.31173891488468025</v>
      </c>
      <c r="N6426">
        <v>0.17420648878031841</v>
      </c>
      <c r="O6426">
        <v>0.25127579341701534</v>
      </c>
      <c r="P6426">
        <v>0.262778802917986</v>
      </c>
    </row>
    <row r="6427" spans="13:16">
      <c r="M6427">
        <v>0.27991815023285821</v>
      </c>
      <c r="N6427">
        <v>0.19246551301266276</v>
      </c>
      <c r="O6427">
        <v>0.26337064570826879</v>
      </c>
      <c r="P6427">
        <v>0.26424569104621021</v>
      </c>
    </row>
    <row r="6428" spans="13:16">
      <c r="M6428">
        <v>0.28438102647061519</v>
      </c>
      <c r="N6428">
        <v>0.1963870461752531</v>
      </c>
      <c r="O6428">
        <v>0.2425928541763466</v>
      </c>
      <c r="P6428">
        <v>0.27663907317778508</v>
      </c>
    </row>
    <row r="6429" spans="13:16">
      <c r="M6429">
        <v>0.30373770336600125</v>
      </c>
      <c r="N6429">
        <v>0.18666499674093529</v>
      </c>
      <c r="O6429">
        <v>0.25126775673914631</v>
      </c>
      <c r="P6429">
        <v>0.25832954315391721</v>
      </c>
    </row>
    <row r="6430" spans="13:16">
      <c r="M6430">
        <v>0.30264512312767339</v>
      </c>
      <c r="N6430">
        <v>0.17141526371740617</v>
      </c>
      <c r="O6430">
        <v>0.26815068115432555</v>
      </c>
      <c r="P6430">
        <v>0.25778893200059488</v>
      </c>
    </row>
    <row r="6431" spans="13:16">
      <c r="M6431">
        <v>0.29053988505190231</v>
      </c>
      <c r="N6431">
        <v>0.20208094455791925</v>
      </c>
      <c r="O6431">
        <v>0.24912209401337423</v>
      </c>
      <c r="P6431">
        <v>0.25825707637680428</v>
      </c>
    </row>
    <row r="6432" spans="13:16">
      <c r="M6432">
        <v>0.28180399517851973</v>
      </c>
      <c r="N6432">
        <v>0.19909085569332438</v>
      </c>
      <c r="O6432">
        <v>0.26649407291366423</v>
      </c>
      <c r="P6432">
        <v>0.25261107621449164</v>
      </c>
    </row>
    <row r="6433" spans="13:16">
      <c r="M6433">
        <v>0.32362321969723334</v>
      </c>
      <c r="N6433">
        <v>0.18330650691580055</v>
      </c>
      <c r="O6433">
        <v>0.23210395056896968</v>
      </c>
      <c r="P6433">
        <v>0.26096632281799648</v>
      </c>
    </row>
    <row r="6434" spans="13:16">
      <c r="M6434">
        <v>0.28910792827848769</v>
      </c>
      <c r="N6434">
        <v>0.17918178091163786</v>
      </c>
      <c r="O6434">
        <v>0.28062143389758465</v>
      </c>
      <c r="P6434">
        <v>0.25108885691228972</v>
      </c>
    </row>
    <row r="6435" spans="13:16">
      <c r="M6435">
        <v>0.29118517055950444</v>
      </c>
      <c r="N6435">
        <v>0.17623020834027583</v>
      </c>
      <c r="O6435">
        <v>0.27836662137012635</v>
      </c>
      <c r="P6435">
        <v>0.25421799973009335</v>
      </c>
    </row>
    <row r="6436" spans="13:16">
      <c r="M6436">
        <v>0.27164249544940311</v>
      </c>
      <c r="N6436">
        <v>0.18602105223247103</v>
      </c>
      <c r="O6436">
        <v>0.28598377759947802</v>
      </c>
      <c r="P6436">
        <v>0.25635267471864781</v>
      </c>
    </row>
    <row r="6437" spans="13:16">
      <c r="M6437">
        <v>0.34064532783296975</v>
      </c>
      <c r="N6437">
        <v>0.17259960617467737</v>
      </c>
      <c r="O6437">
        <v>0.21603369147641163</v>
      </c>
      <c r="P6437">
        <v>0.2707213745159413</v>
      </c>
    </row>
    <row r="6438" spans="13:16">
      <c r="M6438">
        <v>0.28714859799277792</v>
      </c>
      <c r="N6438">
        <v>0.1816015670832366</v>
      </c>
      <c r="O6438">
        <v>0.24849738341397759</v>
      </c>
      <c r="P6438">
        <v>0.28275245151000783</v>
      </c>
    </row>
    <row r="6439" spans="13:16">
      <c r="M6439">
        <v>0.26913911502795645</v>
      </c>
      <c r="N6439">
        <v>0.17254713314463796</v>
      </c>
      <c r="O6439">
        <v>0.3036387238942862</v>
      </c>
      <c r="P6439">
        <v>0.25467502793311936</v>
      </c>
    </row>
    <row r="6440" spans="13:16">
      <c r="M6440">
        <v>0.28320523402975489</v>
      </c>
      <c r="N6440">
        <v>0.19031730724620888</v>
      </c>
      <c r="O6440">
        <v>0.25615639047234012</v>
      </c>
      <c r="P6440">
        <v>0.270321068251696</v>
      </c>
    </row>
    <row r="6441" spans="13:16">
      <c r="M6441">
        <v>0.27826805004700955</v>
      </c>
      <c r="N6441">
        <v>0.20347962729300417</v>
      </c>
      <c r="O6441">
        <v>0.2495027792212807</v>
      </c>
      <c r="P6441">
        <v>0.26874954343870566</v>
      </c>
    </row>
    <row r="6442" spans="13:16">
      <c r="M6442">
        <v>0.30698765096425357</v>
      </c>
      <c r="N6442">
        <v>0.18207806067191545</v>
      </c>
      <c r="O6442">
        <v>0.24388847880726322</v>
      </c>
      <c r="P6442">
        <v>0.26704580955656776</v>
      </c>
    </row>
    <row r="6443" spans="13:16">
      <c r="M6443">
        <v>0.30088290529664269</v>
      </c>
      <c r="N6443">
        <v>0.17620082969338952</v>
      </c>
      <c r="O6443">
        <v>0.24400091604612523</v>
      </c>
      <c r="P6443">
        <v>0.27891534896384246</v>
      </c>
    </row>
    <row r="6444" spans="13:16">
      <c r="M6444">
        <v>0.27444127194021589</v>
      </c>
      <c r="N6444">
        <v>0.19547080905895448</v>
      </c>
      <c r="O6444">
        <v>0.26011728499228765</v>
      </c>
      <c r="P6444">
        <v>0.26997063400854199</v>
      </c>
    </row>
    <row r="6445" spans="13:16">
      <c r="M6445">
        <v>0.29027923585870291</v>
      </c>
      <c r="N6445">
        <v>0.20140252280275076</v>
      </c>
      <c r="O6445">
        <v>0.25080247181980853</v>
      </c>
      <c r="P6445">
        <v>0.25751576951873772</v>
      </c>
    </row>
    <row r="6446" spans="13:16">
      <c r="M6446">
        <v>0.29292743528067589</v>
      </c>
      <c r="N6446">
        <v>0.20084363678223088</v>
      </c>
      <c r="O6446">
        <v>0.23390488128630996</v>
      </c>
      <c r="P6446">
        <v>0.2723240466507833</v>
      </c>
    </row>
    <row r="6447" spans="13:16">
      <c r="M6447">
        <v>0.30097643281446068</v>
      </c>
      <c r="N6447">
        <v>0.20653130185375776</v>
      </c>
      <c r="O6447">
        <v>0.21852351237213741</v>
      </c>
      <c r="P6447">
        <v>0.27396875295964424</v>
      </c>
    </row>
    <row r="6448" spans="13:16">
      <c r="M6448">
        <v>0.27860599803019226</v>
      </c>
      <c r="N6448">
        <v>0.19487297866612313</v>
      </c>
      <c r="O6448">
        <v>0.27458464225608054</v>
      </c>
      <c r="P6448">
        <v>0.25193638104760413</v>
      </c>
    </row>
    <row r="6449" spans="13:16">
      <c r="M6449">
        <v>0.29607098525768455</v>
      </c>
      <c r="N6449">
        <v>0.18839729644074577</v>
      </c>
      <c r="O6449">
        <v>0.26388455412139861</v>
      </c>
      <c r="P6449">
        <v>0.25164716418017102</v>
      </c>
    </row>
    <row r="6450" spans="13:16">
      <c r="M6450">
        <v>0.27322080807649368</v>
      </c>
      <c r="N6450">
        <v>0.2139452954162766</v>
      </c>
      <c r="O6450">
        <v>0.23959862589704506</v>
      </c>
      <c r="P6450">
        <v>0.27323527061018466</v>
      </c>
    </row>
    <row r="6451" spans="13:16">
      <c r="M6451">
        <v>0.27948310836968077</v>
      </c>
      <c r="N6451">
        <v>0.2055570197550167</v>
      </c>
      <c r="O6451">
        <v>0.25234199366808452</v>
      </c>
      <c r="P6451">
        <v>0.26261787820721805</v>
      </c>
    </row>
    <row r="6452" spans="13:16">
      <c r="M6452">
        <v>0.30489068763145316</v>
      </c>
      <c r="N6452">
        <v>0.18441010983081219</v>
      </c>
      <c r="O6452">
        <v>0.2332081647409677</v>
      </c>
      <c r="P6452">
        <v>0.27749103779676693</v>
      </c>
    </row>
    <row r="6453" spans="13:16">
      <c r="M6453">
        <v>0.28172839901153945</v>
      </c>
      <c r="N6453">
        <v>0.19332527635309665</v>
      </c>
      <c r="O6453">
        <v>0.23962207181403675</v>
      </c>
      <c r="P6453">
        <v>0.28532425282132717</v>
      </c>
    </row>
    <row r="6454" spans="13:16">
      <c r="M6454">
        <v>0.30140672332949392</v>
      </c>
      <c r="N6454">
        <v>0.1659188203587777</v>
      </c>
      <c r="O6454">
        <v>0.28603631468276119</v>
      </c>
      <c r="P6454">
        <v>0.24663814162896708</v>
      </c>
    </row>
    <row r="6455" spans="13:16">
      <c r="M6455">
        <v>0.32535128846470079</v>
      </c>
      <c r="N6455">
        <v>0.17556993073352914</v>
      </c>
      <c r="O6455">
        <v>0.2473106236202893</v>
      </c>
      <c r="P6455">
        <v>0.25176815718148077</v>
      </c>
    </row>
    <row r="6456" spans="13:16">
      <c r="M6456">
        <v>0.2897861977092393</v>
      </c>
      <c r="N6456">
        <v>0.18574729741140086</v>
      </c>
      <c r="O6456">
        <v>0.26443182690935646</v>
      </c>
      <c r="P6456">
        <v>0.26003467797000335</v>
      </c>
    </row>
    <row r="6457" spans="13:16">
      <c r="M6457">
        <v>0.30015075131172186</v>
      </c>
      <c r="N6457">
        <v>0.20298698597095599</v>
      </c>
      <c r="O6457">
        <v>0.21261059805062285</v>
      </c>
      <c r="P6457">
        <v>0.28425166466669927</v>
      </c>
    </row>
    <row r="6458" spans="13:16">
      <c r="M6458">
        <v>0.29387022252110323</v>
      </c>
      <c r="N6458">
        <v>0.1815382218211693</v>
      </c>
      <c r="O6458">
        <v>0.27151828921000265</v>
      </c>
      <c r="P6458">
        <v>0.25307326644772477</v>
      </c>
    </row>
    <row r="6459" spans="13:16">
      <c r="M6459">
        <v>0.27764585656751789</v>
      </c>
      <c r="N6459">
        <v>0.17352665640649526</v>
      </c>
      <c r="O6459">
        <v>0.27397742614158682</v>
      </c>
      <c r="P6459">
        <v>0.2748500608844</v>
      </c>
    </row>
    <row r="6460" spans="13:16">
      <c r="M6460">
        <v>0.30939185487923027</v>
      </c>
      <c r="N6460">
        <v>0.18300069782873929</v>
      </c>
      <c r="O6460">
        <v>0.22518786192178789</v>
      </c>
      <c r="P6460">
        <v>0.28241958537024264</v>
      </c>
    </row>
    <row r="6461" spans="13:16">
      <c r="M6461">
        <v>0.30436556556284233</v>
      </c>
      <c r="N6461">
        <v>0.20893810563811108</v>
      </c>
      <c r="O6461">
        <v>0.21667233000592748</v>
      </c>
      <c r="P6461">
        <v>0.270023998793119</v>
      </c>
    </row>
    <row r="6462" spans="13:16">
      <c r="M6462">
        <v>0.27955943353960788</v>
      </c>
      <c r="N6462">
        <v>0.18074891508024496</v>
      </c>
      <c r="O6462">
        <v>0.28217605622951392</v>
      </c>
      <c r="P6462">
        <v>0.25751559515063321</v>
      </c>
    </row>
    <row r="6463" spans="13:16">
      <c r="M6463">
        <v>0.28464198732526874</v>
      </c>
      <c r="N6463">
        <v>0.18407351299237451</v>
      </c>
      <c r="O6463">
        <v>0.2762901347659501</v>
      </c>
      <c r="P6463">
        <v>0.25499436491640665</v>
      </c>
    </row>
    <row r="6464" spans="13:16">
      <c r="M6464">
        <v>0.30153472996756836</v>
      </c>
      <c r="N6464">
        <v>0.19309524915509246</v>
      </c>
      <c r="O6464">
        <v>0.23503682228817924</v>
      </c>
      <c r="P6464">
        <v>0.27033319858916</v>
      </c>
    </row>
    <row r="6465" spans="13:16">
      <c r="M6465">
        <v>0.30044666201334203</v>
      </c>
      <c r="N6465">
        <v>0.17582072880228625</v>
      </c>
      <c r="O6465">
        <v>0.27759885078277696</v>
      </c>
      <c r="P6465">
        <v>0.24613375840159477</v>
      </c>
    </row>
    <row r="6466" spans="13:16">
      <c r="M6466">
        <v>0.3041074526833405</v>
      </c>
      <c r="N6466">
        <v>0.17115830008920635</v>
      </c>
      <c r="O6466">
        <v>0.27590423596156721</v>
      </c>
      <c r="P6466">
        <v>0.24883001126588594</v>
      </c>
    </row>
    <row r="6467" spans="13:16">
      <c r="M6467">
        <v>0.28445834171308071</v>
      </c>
      <c r="N6467">
        <v>0.18285391900615475</v>
      </c>
      <c r="O6467">
        <v>0.26638457229847684</v>
      </c>
      <c r="P6467">
        <v>0.26630316698228773</v>
      </c>
    </row>
    <row r="6468" spans="13:16">
      <c r="M6468">
        <v>0.29097456121981163</v>
      </c>
      <c r="N6468">
        <v>0.17659435944794488</v>
      </c>
      <c r="O6468">
        <v>0.26827880158733097</v>
      </c>
      <c r="P6468">
        <v>0.26415227774491257</v>
      </c>
    </row>
    <row r="6469" spans="13:16">
      <c r="M6469">
        <v>0.27232169392132272</v>
      </c>
      <c r="N6469">
        <v>0.1996855846850919</v>
      </c>
      <c r="O6469">
        <v>0.27263864379379493</v>
      </c>
      <c r="P6469">
        <v>0.25535407759979056</v>
      </c>
    </row>
    <row r="6470" spans="13:16">
      <c r="M6470">
        <v>0.31879042285756043</v>
      </c>
      <c r="N6470">
        <v>0.19330413575754615</v>
      </c>
      <c r="O6470">
        <v>0.22235553939413483</v>
      </c>
      <c r="P6470">
        <v>0.26554990199075851</v>
      </c>
    </row>
    <row r="6471" spans="13:16">
      <c r="M6471">
        <v>0.30316995506266031</v>
      </c>
      <c r="N6471">
        <v>0.18355503982521693</v>
      </c>
      <c r="O6471">
        <v>0.24155285993064815</v>
      </c>
      <c r="P6471">
        <v>0.27172214518147458</v>
      </c>
    </row>
    <row r="6472" spans="13:16">
      <c r="M6472">
        <v>0.28649243943056496</v>
      </c>
      <c r="N6472">
        <v>0.18216357087227938</v>
      </c>
      <c r="O6472">
        <v>0.25969349983913997</v>
      </c>
      <c r="P6472">
        <v>0.27165048985801565</v>
      </c>
    </row>
    <row r="6473" spans="13:16">
      <c r="M6473">
        <v>0.31437228241645165</v>
      </c>
      <c r="N6473">
        <v>0.18409359369789036</v>
      </c>
      <c r="O6473">
        <v>0.23940377051733044</v>
      </c>
      <c r="P6473">
        <v>0.26213035336832763</v>
      </c>
    </row>
    <row r="6474" spans="13:16">
      <c r="M6474">
        <v>0.3200886559481263</v>
      </c>
      <c r="N6474">
        <v>0.19520465854136412</v>
      </c>
      <c r="O6474">
        <v>0.21814036479803864</v>
      </c>
      <c r="P6474">
        <v>0.26656632071247099</v>
      </c>
    </row>
    <row r="6475" spans="13:16">
      <c r="M6475">
        <v>0.27490426773898813</v>
      </c>
      <c r="N6475">
        <v>0.18039601595470714</v>
      </c>
      <c r="O6475">
        <v>0.29818694785872418</v>
      </c>
      <c r="P6475">
        <v>0.24651276844758055</v>
      </c>
    </row>
    <row r="6476" spans="13:16">
      <c r="M6476">
        <v>0.26095489918391584</v>
      </c>
      <c r="N6476">
        <v>0.19384717901933449</v>
      </c>
      <c r="O6476">
        <v>0.27908799723325628</v>
      </c>
      <c r="P6476">
        <v>0.26610992456349336</v>
      </c>
    </row>
    <row r="6477" spans="13:16">
      <c r="M6477">
        <v>0.28438090233837604</v>
      </c>
      <c r="N6477">
        <v>0.17260470337880143</v>
      </c>
      <c r="O6477">
        <v>0.28631385628644296</v>
      </c>
      <c r="P6477">
        <v>0.2567005379963796</v>
      </c>
    </row>
    <row r="6478" spans="13:16">
      <c r="M6478">
        <v>0.30008947100177991</v>
      </c>
      <c r="N6478">
        <v>0.19656003138495459</v>
      </c>
      <c r="O6478">
        <v>0.23358886471714924</v>
      </c>
      <c r="P6478">
        <v>0.26976163289611627</v>
      </c>
    </row>
    <row r="6479" spans="13:16">
      <c r="M6479">
        <v>0.27227256436109898</v>
      </c>
      <c r="N6479">
        <v>0.19235846822889746</v>
      </c>
      <c r="O6479">
        <v>0.26099648804063696</v>
      </c>
      <c r="P6479">
        <v>0.2743724793693666</v>
      </c>
    </row>
    <row r="6480" spans="13:16">
      <c r="M6480">
        <v>0.3202712567038476</v>
      </c>
      <c r="N6480">
        <v>0.17585355112183856</v>
      </c>
      <c r="O6480">
        <v>0.24227613151575497</v>
      </c>
      <c r="P6480">
        <v>0.26159906065855892</v>
      </c>
    </row>
    <row r="6481" spans="13:16">
      <c r="M6481">
        <v>0.29010416096000469</v>
      </c>
      <c r="N6481">
        <v>0.18846672493774813</v>
      </c>
      <c r="O6481">
        <v>0.24447067726333824</v>
      </c>
      <c r="P6481">
        <v>0.27695843683890903</v>
      </c>
    </row>
    <row r="6482" spans="13:16">
      <c r="M6482">
        <v>0.30134836786688812</v>
      </c>
      <c r="N6482">
        <v>0.19428341151302891</v>
      </c>
      <c r="O6482">
        <v>0.23733826616761844</v>
      </c>
      <c r="P6482">
        <v>0.26702995445246452</v>
      </c>
    </row>
    <row r="6483" spans="13:16">
      <c r="M6483">
        <v>0.30546912682211658</v>
      </c>
      <c r="N6483">
        <v>0.17687716875873988</v>
      </c>
      <c r="O6483">
        <v>0.26076240032718762</v>
      </c>
      <c r="P6483">
        <v>0.25689130409195599</v>
      </c>
    </row>
    <row r="6484" spans="13:16">
      <c r="M6484">
        <v>0.26921412430245212</v>
      </c>
      <c r="N6484">
        <v>0.1955975689593987</v>
      </c>
      <c r="O6484">
        <v>0.27531438717272544</v>
      </c>
      <c r="P6484">
        <v>0.25987391956542366</v>
      </c>
    </row>
    <row r="6485" spans="13:16">
      <c r="M6485">
        <v>0.29246289567578476</v>
      </c>
      <c r="N6485">
        <v>0.17439544001756385</v>
      </c>
      <c r="O6485">
        <v>0.2500072859387022</v>
      </c>
      <c r="P6485">
        <v>0.28313437836794925</v>
      </c>
    </row>
    <row r="6486" spans="13:16">
      <c r="M6486">
        <v>0.27576294062814011</v>
      </c>
      <c r="N6486">
        <v>0.17814652452280491</v>
      </c>
      <c r="O6486">
        <v>0.28865507658137096</v>
      </c>
      <c r="P6486">
        <v>0.25743545826768405</v>
      </c>
    </row>
    <row r="6487" spans="13:16">
      <c r="M6487">
        <v>0.27734105873620885</v>
      </c>
      <c r="N6487">
        <v>0.19076687888517252</v>
      </c>
      <c r="O6487">
        <v>0.26699421068513957</v>
      </c>
      <c r="P6487">
        <v>0.26489785169347918</v>
      </c>
    </row>
    <row r="6488" spans="13:16">
      <c r="M6488">
        <v>0.30865264528570879</v>
      </c>
      <c r="N6488">
        <v>0.18479773174747863</v>
      </c>
      <c r="O6488">
        <v>0.24141140764893226</v>
      </c>
      <c r="P6488">
        <v>0.26513821531788034</v>
      </c>
    </row>
    <row r="6489" spans="13:16">
      <c r="M6489">
        <v>0.30526806423062963</v>
      </c>
      <c r="N6489">
        <v>0.17632092058651627</v>
      </c>
      <c r="O6489">
        <v>0.26245287719052884</v>
      </c>
      <c r="P6489">
        <v>0.25595813799232531</v>
      </c>
    </row>
    <row r="6490" spans="13:16">
      <c r="M6490">
        <v>0.26819558115917347</v>
      </c>
      <c r="N6490">
        <v>0.20025258073950195</v>
      </c>
      <c r="O6490">
        <v>0.25480752709083848</v>
      </c>
      <c r="P6490">
        <v>0.27674431101048619</v>
      </c>
    </row>
    <row r="6491" spans="13:16">
      <c r="M6491">
        <v>0.28303972027940683</v>
      </c>
      <c r="N6491">
        <v>0.17187562107551022</v>
      </c>
      <c r="O6491">
        <v>0.26806936083376981</v>
      </c>
      <c r="P6491">
        <v>0.27701529781131323</v>
      </c>
    </row>
    <row r="6492" spans="13:16">
      <c r="M6492">
        <v>0.28791761154051887</v>
      </c>
      <c r="N6492">
        <v>0.18322103778880167</v>
      </c>
      <c r="O6492">
        <v>0.27529583947601233</v>
      </c>
      <c r="P6492">
        <v>0.25356551119466714</v>
      </c>
    </row>
    <row r="6493" spans="13:16">
      <c r="M6493">
        <v>0.30381135822492927</v>
      </c>
      <c r="N6493">
        <v>0.18444017105772648</v>
      </c>
      <c r="O6493">
        <v>0.26494952997963517</v>
      </c>
      <c r="P6493">
        <v>0.24679894073770908</v>
      </c>
    </row>
    <row r="6494" spans="13:16">
      <c r="M6494">
        <v>0.2858402818513105</v>
      </c>
      <c r="N6494">
        <v>0.16884478917443965</v>
      </c>
      <c r="O6494">
        <v>0.28649151170800552</v>
      </c>
      <c r="P6494">
        <v>0.25882341726624442</v>
      </c>
    </row>
    <row r="6495" spans="13:16">
      <c r="M6495">
        <v>0.27445447157692682</v>
      </c>
      <c r="N6495">
        <v>0.16635204304319967</v>
      </c>
      <c r="O6495">
        <v>0.31328318464769533</v>
      </c>
      <c r="P6495">
        <v>0.24591030073217826</v>
      </c>
    </row>
    <row r="6496" spans="13:16">
      <c r="M6496">
        <v>0.30256242860224636</v>
      </c>
      <c r="N6496">
        <v>0.18781704682102701</v>
      </c>
      <c r="O6496">
        <v>0.24638397038840282</v>
      </c>
      <c r="P6496">
        <v>0.2632365541883237</v>
      </c>
    </row>
    <row r="6497" spans="13:16">
      <c r="M6497">
        <v>0.30427229752155022</v>
      </c>
      <c r="N6497">
        <v>0.18251940416029744</v>
      </c>
      <c r="O6497">
        <v>0.27138100319742597</v>
      </c>
      <c r="P6497">
        <v>0.24182729512072643</v>
      </c>
    </row>
    <row r="6498" spans="13:16">
      <c r="M6498">
        <v>0.27125939673325627</v>
      </c>
      <c r="N6498">
        <v>0.21817809637470884</v>
      </c>
      <c r="O6498">
        <v>0.23448845053010983</v>
      </c>
      <c r="P6498">
        <v>0.27607405636192506</v>
      </c>
    </row>
    <row r="6499" spans="13:16">
      <c r="M6499">
        <v>0.31575283304924279</v>
      </c>
      <c r="N6499">
        <v>0.18001677213656458</v>
      </c>
      <c r="O6499">
        <v>0.24085778878716757</v>
      </c>
      <c r="P6499">
        <v>0.26337260602702511</v>
      </c>
    </row>
    <row r="6500" spans="13:16">
      <c r="M6500">
        <v>0.29885567726198103</v>
      </c>
      <c r="N6500">
        <v>0.20949262714481462</v>
      </c>
      <c r="O6500">
        <v>0.22503165592496682</v>
      </c>
      <c r="P6500">
        <v>0.26662003966823744</v>
      </c>
    </row>
    <row r="6501" spans="13:16">
      <c r="M6501">
        <v>0.29187195875113331</v>
      </c>
      <c r="N6501">
        <v>0.18262549713228762</v>
      </c>
      <c r="O6501">
        <v>0.26616217171411</v>
      </c>
      <c r="P6501">
        <v>0.2593403724024691</v>
      </c>
    </row>
    <row r="6502" spans="13:16">
      <c r="M6502">
        <v>0.31930335268682919</v>
      </c>
      <c r="N6502">
        <v>0.19904371714393151</v>
      </c>
      <c r="O6502">
        <v>0.22771051481207033</v>
      </c>
      <c r="P6502">
        <v>0.25394241535716905</v>
      </c>
    </row>
    <row r="6503" spans="13:16">
      <c r="M6503">
        <v>0.29503151896743351</v>
      </c>
      <c r="N6503">
        <v>0.17392467675952467</v>
      </c>
      <c r="O6503">
        <v>0.26508354682598079</v>
      </c>
      <c r="P6503">
        <v>0.26596025744706103</v>
      </c>
    </row>
    <row r="6504" spans="13:16">
      <c r="M6504">
        <v>0.2776674389048342</v>
      </c>
      <c r="N6504">
        <v>0.19744839329604091</v>
      </c>
      <c r="O6504">
        <v>0.2708197468871123</v>
      </c>
      <c r="P6504">
        <v>0.2540644209120127</v>
      </c>
    </row>
    <row r="6505" spans="13:16">
      <c r="M6505">
        <v>0.31063657004401063</v>
      </c>
      <c r="N6505">
        <v>0.18835023274249624</v>
      </c>
      <c r="O6505">
        <v>0.20903773689983043</v>
      </c>
      <c r="P6505">
        <v>0.29197546031366273</v>
      </c>
    </row>
    <row r="6506" spans="13:16">
      <c r="M6506">
        <v>0.31127696833492458</v>
      </c>
      <c r="N6506">
        <v>0.18895327620411004</v>
      </c>
      <c r="O6506">
        <v>0.242962406375063</v>
      </c>
      <c r="P6506">
        <v>0.25680734908590236</v>
      </c>
    </row>
    <row r="6507" spans="13:16">
      <c r="M6507">
        <v>0.30694574622147869</v>
      </c>
      <c r="N6507">
        <v>0.18107924729638661</v>
      </c>
      <c r="O6507">
        <v>0.24282075440661036</v>
      </c>
      <c r="P6507">
        <v>0.26915425207552451</v>
      </c>
    </row>
    <row r="6508" spans="13:16">
      <c r="M6508">
        <v>0.30631576593802784</v>
      </c>
      <c r="N6508">
        <v>0.16787456353454536</v>
      </c>
      <c r="O6508">
        <v>0.28220883154482146</v>
      </c>
      <c r="P6508">
        <v>0.24360083898260537</v>
      </c>
    </row>
    <row r="6509" spans="13:16">
      <c r="M6509">
        <v>0.29384427699875915</v>
      </c>
      <c r="N6509">
        <v>0.17926808768824196</v>
      </c>
      <c r="O6509">
        <v>0.2556067283433256</v>
      </c>
      <c r="P6509">
        <v>0.27128090696967333</v>
      </c>
    </row>
    <row r="6510" spans="13:16">
      <c r="M6510">
        <v>0.29484315665289751</v>
      </c>
      <c r="N6510">
        <v>0.19857852661484601</v>
      </c>
      <c r="O6510">
        <v>0.23634038012100342</v>
      </c>
      <c r="P6510">
        <v>0.270237936611253</v>
      </c>
    </row>
    <row r="6511" spans="13:16">
      <c r="M6511">
        <v>0.30760017835118947</v>
      </c>
      <c r="N6511">
        <v>0.18974164315672062</v>
      </c>
      <c r="O6511">
        <v>0.23336906252043815</v>
      </c>
      <c r="P6511">
        <v>0.26928911597165167</v>
      </c>
    </row>
    <row r="6512" spans="13:16">
      <c r="M6512">
        <v>0.30114101478784744</v>
      </c>
      <c r="N6512">
        <v>0.17972942621198179</v>
      </c>
      <c r="O6512">
        <v>0.26360772222519629</v>
      </c>
      <c r="P6512">
        <v>0.25552183677497448</v>
      </c>
    </row>
    <row r="6513" spans="13:16">
      <c r="M6513">
        <v>0.28144638115618487</v>
      </c>
      <c r="N6513">
        <v>0.18665310373528565</v>
      </c>
      <c r="O6513">
        <v>0.25785046593067168</v>
      </c>
      <c r="P6513">
        <v>0.27405004917785786</v>
      </c>
    </row>
    <row r="6514" spans="13:16">
      <c r="M6514">
        <v>0.28292586915010398</v>
      </c>
      <c r="N6514">
        <v>0.18612197794876931</v>
      </c>
      <c r="O6514">
        <v>0.26164870821108704</v>
      </c>
      <c r="P6514">
        <v>0.26930344469003981</v>
      </c>
    </row>
    <row r="6515" spans="13:16">
      <c r="M6515">
        <v>0.26035105967754318</v>
      </c>
      <c r="N6515">
        <v>0.20152772317697068</v>
      </c>
      <c r="O6515">
        <v>0.25979636637255082</v>
      </c>
      <c r="P6515">
        <v>0.27832485077293534</v>
      </c>
    </row>
    <row r="6516" spans="13:16">
      <c r="M6516">
        <v>0.29323602097472873</v>
      </c>
      <c r="N6516">
        <v>0.18230753324598353</v>
      </c>
      <c r="O6516">
        <v>0.27293329540981776</v>
      </c>
      <c r="P6516">
        <v>0.25152315036946998</v>
      </c>
    </row>
    <row r="6517" spans="13:16">
      <c r="M6517">
        <v>0.27422921541533624</v>
      </c>
      <c r="N6517">
        <v>0.18804932297430199</v>
      </c>
      <c r="O6517">
        <v>0.27724863853416498</v>
      </c>
      <c r="P6517">
        <v>0.26047282307619674</v>
      </c>
    </row>
    <row r="6518" spans="13:16">
      <c r="M6518">
        <v>0.28751452573209213</v>
      </c>
      <c r="N6518">
        <v>0.1791085935207922</v>
      </c>
      <c r="O6518">
        <v>0.27623630203381078</v>
      </c>
      <c r="P6518">
        <v>0.25714057871330487</v>
      </c>
    </row>
    <row r="6519" spans="13:16">
      <c r="M6519">
        <v>0.28367587838890201</v>
      </c>
      <c r="N6519">
        <v>0.20375399046695089</v>
      </c>
      <c r="O6519">
        <v>0.24019320588908827</v>
      </c>
      <c r="P6519">
        <v>0.27237692525505885</v>
      </c>
    </row>
    <row r="6520" spans="13:16">
      <c r="M6520">
        <v>0.29917776901473397</v>
      </c>
      <c r="N6520">
        <v>0.16861653810147409</v>
      </c>
      <c r="O6520">
        <v>0.2787733449160632</v>
      </c>
      <c r="P6520">
        <v>0.25343234796772862</v>
      </c>
    </row>
    <row r="6521" spans="13:16">
      <c r="M6521">
        <v>0.30663555141440302</v>
      </c>
      <c r="N6521">
        <v>0.17632547371855262</v>
      </c>
      <c r="O6521">
        <v>0.25469853809014809</v>
      </c>
      <c r="P6521">
        <v>0.26234043677689622</v>
      </c>
    </row>
    <row r="6522" spans="13:16">
      <c r="M6522">
        <v>0.31328307601829647</v>
      </c>
      <c r="N6522">
        <v>0.18203597937848917</v>
      </c>
      <c r="O6522">
        <v>0.23415079185017121</v>
      </c>
      <c r="P6522">
        <v>0.27053015275304315</v>
      </c>
    </row>
    <row r="6523" spans="13:16">
      <c r="M6523">
        <v>0.29529687484116374</v>
      </c>
      <c r="N6523">
        <v>0.19551563410313785</v>
      </c>
      <c r="O6523">
        <v>0.23801829614068692</v>
      </c>
      <c r="P6523">
        <v>0.27116919491501157</v>
      </c>
    </row>
    <row r="6524" spans="13:16">
      <c r="M6524">
        <v>0.26849283201488844</v>
      </c>
      <c r="N6524">
        <v>0.21294945975249238</v>
      </c>
      <c r="O6524">
        <v>0.24840464434879464</v>
      </c>
      <c r="P6524">
        <v>0.27015306388382437</v>
      </c>
    </row>
    <row r="6525" spans="13:16">
      <c r="M6525">
        <v>0.32819274457250769</v>
      </c>
      <c r="N6525">
        <v>0.1776121357960386</v>
      </c>
      <c r="O6525">
        <v>0.21757158697012374</v>
      </c>
      <c r="P6525">
        <v>0.27662353266133</v>
      </c>
    </row>
    <row r="6526" spans="13:16">
      <c r="M6526">
        <v>0.27835371181096369</v>
      </c>
      <c r="N6526">
        <v>0.20012119186812941</v>
      </c>
      <c r="O6526">
        <v>0.23870846363122783</v>
      </c>
      <c r="P6526">
        <v>0.2828166326896791</v>
      </c>
    </row>
    <row r="6527" spans="13:16">
      <c r="M6527">
        <v>0.29716303505096286</v>
      </c>
      <c r="N6527">
        <v>0.1883370354561692</v>
      </c>
      <c r="O6527">
        <v>0.24578374553394189</v>
      </c>
      <c r="P6527">
        <v>0.2687161839589261</v>
      </c>
    </row>
    <row r="6528" spans="13:16">
      <c r="M6528">
        <v>0.28199907696070386</v>
      </c>
      <c r="N6528">
        <v>0.20798837944058154</v>
      </c>
      <c r="O6528">
        <v>0.23552580678239501</v>
      </c>
      <c r="P6528">
        <v>0.27448673681631947</v>
      </c>
    </row>
    <row r="6529" spans="13:16">
      <c r="M6529">
        <v>0.26806357454618074</v>
      </c>
      <c r="N6529">
        <v>0.18220585146901297</v>
      </c>
      <c r="O6529">
        <v>0.277659895701384</v>
      </c>
      <c r="P6529">
        <v>0.2720706782834223</v>
      </c>
    </row>
    <row r="6530" spans="13:16">
      <c r="M6530">
        <v>0.26507985729140593</v>
      </c>
      <c r="N6530">
        <v>0.1853932462185264</v>
      </c>
      <c r="O6530">
        <v>0.2757212979522089</v>
      </c>
      <c r="P6530">
        <v>0.27380559853785874</v>
      </c>
    </row>
    <row r="6531" spans="13:16">
      <c r="M6531">
        <v>0.26531796766390331</v>
      </c>
      <c r="N6531">
        <v>0.17568302308940861</v>
      </c>
      <c r="O6531">
        <v>0.29777546502124991</v>
      </c>
      <c r="P6531">
        <v>0.26122354422543814</v>
      </c>
    </row>
    <row r="6532" spans="13:16">
      <c r="M6532">
        <v>0.28416109597034334</v>
      </c>
      <c r="N6532">
        <v>0.20754835086070189</v>
      </c>
      <c r="O6532">
        <v>0.24063116457384642</v>
      </c>
      <c r="P6532">
        <v>0.26765938859510841</v>
      </c>
    </row>
    <row r="6533" spans="13:16">
      <c r="M6533">
        <v>0.30319191598690598</v>
      </c>
      <c r="N6533">
        <v>0.17574864999613754</v>
      </c>
      <c r="O6533">
        <v>0.27226104826437125</v>
      </c>
      <c r="P6533">
        <v>0.24879838575258512</v>
      </c>
    </row>
    <row r="6534" spans="13:16">
      <c r="M6534">
        <v>0.27158410169710262</v>
      </c>
      <c r="N6534">
        <v>0.1883625931330899</v>
      </c>
      <c r="O6534">
        <v>0.27200058711280201</v>
      </c>
      <c r="P6534">
        <v>0.26805271805700553</v>
      </c>
    </row>
    <row r="6535" spans="13:16">
      <c r="M6535">
        <v>0.29942791939130392</v>
      </c>
      <c r="N6535">
        <v>0.18314970691451105</v>
      </c>
      <c r="O6535">
        <v>0.24021260004627196</v>
      </c>
      <c r="P6535">
        <v>0.2772097736479131</v>
      </c>
    </row>
    <row r="6536" spans="13:16">
      <c r="M6536">
        <v>0.33205980707269456</v>
      </c>
      <c r="N6536">
        <v>0.16623951251719141</v>
      </c>
      <c r="O6536">
        <v>0.25444787708941452</v>
      </c>
      <c r="P6536">
        <v>0.24725280332069963</v>
      </c>
    </row>
    <row r="6537" spans="13:16">
      <c r="M6537">
        <v>0.28445142905181398</v>
      </c>
      <c r="N6537">
        <v>0.21035656087172766</v>
      </c>
      <c r="O6537">
        <v>0.23609388686277719</v>
      </c>
      <c r="P6537">
        <v>0.26909812321368104</v>
      </c>
    </row>
    <row r="6538" spans="13:16">
      <c r="M6538">
        <v>0.27441041143766864</v>
      </c>
      <c r="N6538">
        <v>0.21399611952448</v>
      </c>
      <c r="O6538">
        <v>0.23993384997333667</v>
      </c>
      <c r="P6538">
        <v>0.27165961906451458</v>
      </c>
    </row>
    <row r="6539" spans="13:16">
      <c r="M6539">
        <v>0.29511412016715372</v>
      </c>
      <c r="N6539">
        <v>0.17854619043259248</v>
      </c>
      <c r="O6539">
        <v>0.27077996643241026</v>
      </c>
      <c r="P6539">
        <v>0.25555972296784357</v>
      </c>
    </row>
    <row r="6540" spans="13:16">
      <c r="M6540">
        <v>0.3120519861710831</v>
      </c>
      <c r="N6540">
        <v>0.17048339121851724</v>
      </c>
      <c r="O6540">
        <v>0.27027530568077474</v>
      </c>
      <c r="P6540">
        <v>0.24718931692962492</v>
      </c>
    </row>
    <row r="6541" spans="13:16">
      <c r="M6541">
        <v>0.26660307732688571</v>
      </c>
      <c r="N6541">
        <v>0.18972098458213757</v>
      </c>
      <c r="O6541">
        <v>0.29206747576545167</v>
      </c>
      <c r="P6541">
        <v>0.25160846232552514</v>
      </c>
    </row>
    <row r="6542" spans="13:16">
      <c r="M6542">
        <v>0.32073324438375855</v>
      </c>
      <c r="N6542">
        <v>0.1726098201169334</v>
      </c>
      <c r="O6542">
        <v>0.24782851404960021</v>
      </c>
      <c r="P6542">
        <v>0.25882842144970791</v>
      </c>
    </row>
    <row r="6543" spans="13:16">
      <c r="M6543">
        <v>0.28978477018813031</v>
      </c>
      <c r="N6543">
        <v>0.1760577360764721</v>
      </c>
      <c r="O6543">
        <v>0.25515744445214089</v>
      </c>
      <c r="P6543">
        <v>0.27900004928325672</v>
      </c>
    </row>
    <row r="6544" spans="13:16">
      <c r="M6544">
        <v>0.28601426764524118</v>
      </c>
      <c r="N6544">
        <v>0.18603705310958848</v>
      </c>
      <c r="O6544">
        <v>0.27228315414079307</v>
      </c>
      <c r="P6544">
        <v>0.25566552510437718</v>
      </c>
    </row>
    <row r="6545" spans="13:16">
      <c r="M6545">
        <v>0.30614672203238752</v>
      </c>
      <c r="N6545">
        <v>0.19800233547763532</v>
      </c>
      <c r="O6545">
        <v>0.23485444239078437</v>
      </c>
      <c r="P6545">
        <v>0.26099650009919267</v>
      </c>
    </row>
    <row r="6546" spans="13:16">
      <c r="M6546">
        <v>0.30452786462111836</v>
      </c>
      <c r="N6546">
        <v>0.19052986562743188</v>
      </c>
      <c r="O6546">
        <v>0.24902134943593801</v>
      </c>
      <c r="P6546">
        <v>0.25592092031551172</v>
      </c>
    </row>
    <row r="6547" spans="13:16">
      <c r="M6547">
        <v>0.29745842371678516</v>
      </c>
      <c r="N6547">
        <v>0.17068640144155847</v>
      </c>
      <c r="O6547">
        <v>0.26858926814972239</v>
      </c>
      <c r="P6547">
        <v>0.26326590669193406</v>
      </c>
    </row>
    <row r="6548" spans="13:16">
      <c r="M6548">
        <v>0.28285322454630085</v>
      </c>
      <c r="N6548">
        <v>0.18117841713534985</v>
      </c>
      <c r="O6548">
        <v>0.26589288969308861</v>
      </c>
      <c r="P6548">
        <v>0.27007546862526066</v>
      </c>
    </row>
    <row r="6549" spans="13:16">
      <c r="M6549">
        <v>0.29967211986932474</v>
      </c>
      <c r="N6549">
        <v>0.18655026696648738</v>
      </c>
      <c r="O6549">
        <v>0.24359712023803901</v>
      </c>
      <c r="P6549">
        <v>0.27018049292614882</v>
      </c>
    </row>
    <row r="6550" spans="13:16">
      <c r="M6550">
        <v>0.31582920240828372</v>
      </c>
      <c r="N6550">
        <v>0.19033416888408738</v>
      </c>
      <c r="O6550">
        <v>0.23640137319937962</v>
      </c>
      <c r="P6550">
        <v>0.25743525550824919</v>
      </c>
    </row>
    <row r="6551" spans="13:16">
      <c r="M6551">
        <v>0.29480401848511018</v>
      </c>
      <c r="N6551">
        <v>0.20374012307386682</v>
      </c>
      <c r="O6551">
        <v>0.22820353637160032</v>
      </c>
      <c r="P6551">
        <v>0.27325232206942279</v>
      </c>
    </row>
    <row r="6552" spans="13:16">
      <c r="M6552">
        <v>0.26858299925354867</v>
      </c>
      <c r="N6552">
        <v>0.20732970012550361</v>
      </c>
      <c r="O6552">
        <v>0.25228303048620943</v>
      </c>
      <c r="P6552">
        <v>0.27180427013473824</v>
      </c>
    </row>
    <row r="6553" spans="13:16">
      <c r="M6553">
        <v>0.29062430447707072</v>
      </c>
      <c r="N6553">
        <v>0.20253867360978159</v>
      </c>
      <c r="O6553">
        <v>0.23654925497811383</v>
      </c>
      <c r="P6553">
        <v>0.27028776693503381</v>
      </c>
    </row>
    <row r="6554" spans="13:16">
      <c r="M6554">
        <v>0.30396683241138384</v>
      </c>
      <c r="N6554">
        <v>0.16847971813655976</v>
      </c>
      <c r="O6554">
        <v>0.27593868741234961</v>
      </c>
      <c r="P6554">
        <v>0.25161476203970673</v>
      </c>
    </row>
    <row r="6555" spans="13:16">
      <c r="M6555">
        <v>0.30073366972255039</v>
      </c>
      <c r="N6555">
        <v>0.1796677007002721</v>
      </c>
      <c r="O6555">
        <v>0.25029667777357606</v>
      </c>
      <c r="P6555">
        <v>0.26930195180360156</v>
      </c>
    </row>
    <row r="6556" spans="13:16">
      <c r="M6556">
        <v>0.2859055510076623</v>
      </c>
      <c r="N6556">
        <v>0.18603111899320227</v>
      </c>
      <c r="O6556">
        <v>0.27534516241292856</v>
      </c>
      <c r="P6556">
        <v>0.25271816758620691</v>
      </c>
    </row>
    <row r="6557" spans="13:16">
      <c r="M6557">
        <v>0.29144193703573407</v>
      </c>
      <c r="N6557">
        <v>0.19337979908344083</v>
      </c>
      <c r="O6557">
        <v>0.25510405691251592</v>
      </c>
      <c r="P6557">
        <v>0.26007420696830919</v>
      </c>
    </row>
    <row r="6558" spans="13:16">
      <c r="M6558">
        <v>0.29528575260057022</v>
      </c>
      <c r="N6558">
        <v>0.18891444524607412</v>
      </c>
      <c r="O6558">
        <v>0.25469011413162634</v>
      </c>
      <c r="P6558">
        <v>0.26110968802172935</v>
      </c>
    </row>
    <row r="6559" spans="13:16">
      <c r="M6559">
        <v>0.2915563532405776</v>
      </c>
      <c r="N6559">
        <v>0.16634876067050469</v>
      </c>
      <c r="O6559">
        <v>0.28350920990997625</v>
      </c>
      <c r="P6559">
        <v>0.25858567617894146</v>
      </c>
    </row>
    <row r="6560" spans="13:16">
      <c r="M6560">
        <v>0.29072210963062367</v>
      </c>
      <c r="N6560">
        <v>0.18025414919869273</v>
      </c>
      <c r="O6560">
        <v>0.25485914049216379</v>
      </c>
      <c r="P6560">
        <v>0.27416460067851994</v>
      </c>
    </row>
    <row r="6561" spans="13:16">
      <c r="M6561">
        <v>0.285223300730647</v>
      </c>
      <c r="N6561">
        <v>0.18725117766032745</v>
      </c>
      <c r="O6561">
        <v>0.25190889542943184</v>
      </c>
      <c r="P6561">
        <v>0.27561662617959376</v>
      </c>
    </row>
    <row r="6562" spans="13:16">
      <c r="M6562">
        <v>0.27934089824970521</v>
      </c>
      <c r="N6562">
        <v>0.18435597035933754</v>
      </c>
      <c r="O6562">
        <v>0.27134525330396048</v>
      </c>
      <c r="P6562">
        <v>0.26495787808699667</v>
      </c>
    </row>
    <row r="6563" spans="13:16">
      <c r="M6563">
        <v>0.29538961050454915</v>
      </c>
      <c r="N6563">
        <v>0.18561657586308988</v>
      </c>
      <c r="O6563">
        <v>0.25241748389954211</v>
      </c>
      <c r="P6563">
        <v>0.26657632973281886</v>
      </c>
    </row>
    <row r="6564" spans="13:16">
      <c r="M6564">
        <v>0.2709594552003306</v>
      </c>
      <c r="N6564">
        <v>0.19768167970452388</v>
      </c>
      <c r="O6564">
        <v>0.26559350795430109</v>
      </c>
      <c r="P6564">
        <v>0.26576535714084454</v>
      </c>
    </row>
    <row r="6565" spans="13:16">
      <c r="M6565">
        <v>0.31255819508743771</v>
      </c>
      <c r="N6565">
        <v>0.18836313719115017</v>
      </c>
      <c r="O6565">
        <v>0.23572185860294234</v>
      </c>
      <c r="P6565">
        <v>0.26335680911846976</v>
      </c>
    </row>
    <row r="6566" spans="13:16">
      <c r="M6566">
        <v>0.28403248654900459</v>
      </c>
      <c r="N6566">
        <v>0.19311882723193691</v>
      </c>
      <c r="O6566">
        <v>0.24110309819361517</v>
      </c>
      <c r="P6566">
        <v>0.28174558802544347</v>
      </c>
    </row>
    <row r="6567" spans="13:16">
      <c r="M6567">
        <v>0.28055083082606974</v>
      </c>
      <c r="N6567">
        <v>0.20343215754963742</v>
      </c>
      <c r="O6567">
        <v>0.25446860880045141</v>
      </c>
      <c r="P6567">
        <v>0.26154840282384145</v>
      </c>
    </row>
    <row r="6568" spans="13:16">
      <c r="M6568">
        <v>0.2851852327425618</v>
      </c>
      <c r="N6568">
        <v>0.18735061441852219</v>
      </c>
      <c r="O6568">
        <v>0.26168958994434988</v>
      </c>
      <c r="P6568">
        <v>0.26577456289456619</v>
      </c>
    </row>
    <row r="6569" spans="13:16">
      <c r="M6569">
        <v>0.2917366896832056</v>
      </c>
      <c r="N6569">
        <v>0.16699426569390671</v>
      </c>
      <c r="O6569">
        <v>0.28734132749262009</v>
      </c>
      <c r="P6569">
        <v>0.25392771713026746</v>
      </c>
    </row>
    <row r="6570" spans="13:16">
      <c r="M6570">
        <v>0.28535520017015892</v>
      </c>
      <c r="N6570">
        <v>0.19211965108549872</v>
      </c>
      <c r="O6570">
        <v>0.25655674424840358</v>
      </c>
      <c r="P6570">
        <v>0.26596840449593884</v>
      </c>
    </row>
    <row r="6571" spans="13:16">
      <c r="M6571">
        <v>0.26063811297953332</v>
      </c>
      <c r="N6571">
        <v>0.19413152419906124</v>
      </c>
      <c r="O6571">
        <v>0.27950935280426864</v>
      </c>
      <c r="P6571">
        <v>0.26572101001713694</v>
      </c>
    </row>
    <row r="6572" spans="13:16">
      <c r="M6572">
        <v>0.28136093916080873</v>
      </c>
      <c r="N6572">
        <v>0.1961937595184281</v>
      </c>
      <c r="O6572">
        <v>0.27493359221484104</v>
      </c>
      <c r="P6572">
        <v>0.24751170910592196</v>
      </c>
    </row>
    <row r="6573" spans="13:16">
      <c r="M6573">
        <v>0.2656249885253032</v>
      </c>
      <c r="N6573">
        <v>0.18972003476439184</v>
      </c>
      <c r="O6573">
        <v>0.27778445231280374</v>
      </c>
      <c r="P6573">
        <v>0.26687052439750125</v>
      </c>
    </row>
    <row r="6574" spans="13:16">
      <c r="M6574">
        <v>0.29404874399792141</v>
      </c>
      <c r="N6574">
        <v>0.1733136506467558</v>
      </c>
      <c r="O6574">
        <v>0.28957122037846356</v>
      </c>
      <c r="P6574">
        <v>0.24306638497685906</v>
      </c>
    </row>
    <row r="6575" spans="13:16">
      <c r="M6575">
        <v>0.29377500008004825</v>
      </c>
      <c r="N6575">
        <v>0.17882343209048002</v>
      </c>
      <c r="O6575">
        <v>0.27186023504704498</v>
      </c>
      <c r="P6575">
        <v>0.2555413327824268</v>
      </c>
    </row>
    <row r="6576" spans="13:16">
      <c r="M6576">
        <v>0.29319236143901617</v>
      </c>
      <c r="N6576">
        <v>0.18330584884782</v>
      </c>
      <c r="O6576">
        <v>0.25181468393625772</v>
      </c>
      <c r="P6576">
        <v>0.27168710577690608</v>
      </c>
    </row>
    <row r="6577" spans="13:16">
      <c r="M6577">
        <v>0.31586867378316791</v>
      </c>
      <c r="N6577">
        <v>0.1758789905185488</v>
      </c>
      <c r="O6577">
        <v>0.25397195642275566</v>
      </c>
      <c r="P6577">
        <v>0.25428037927552777</v>
      </c>
    </row>
    <row r="6578" spans="13:16">
      <c r="M6578">
        <v>0.27935182342866338</v>
      </c>
      <c r="N6578">
        <v>0.19909556086658353</v>
      </c>
      <c r="O6578">
        <v>0.2415764928090432</v>
      </c>
      <c r="P6578">
        <v>0.27997612289570972</v>
      </c>
    </row>
    <row r="6579" spans="13:16">
      <c r="M6579">
        <v>0.33225319492241784</v>
      </c>
      <c r="N6579">
        <v>0.17652872678484383</v>
      </c>
      <c r="O6579">
        <v>0.22571603821421715</v>
      </c>
      <c r="P6579">
        <v>0.26550204007852118</v>
      </c>
    </row>
    <row r="6580" spans="13:16">
      <c r="M6580">
        <v>0.28486707277985962</v>
      </c>
      <c r="N6580">
        <v>0.17150156849655931</v>
      </c>
      <c r="O6580">
        <v>0.27811588067924531</v>
      </c>
      <c r="P6580">
        <v>0.2655154780443359</v>
      </c>
    </row>
    <row r="6581" spans="13:16">
      <c r="M6581">
        <v>0.30562487958320306</v>
      </c>
      <c r="N6581">
        <v>0.16403799000998673</v>
      </c>
      <c r="O6581">
        <v>0.28717685130156323</v>
      </c>
      <c r="P6581">
        <v>0.24316027910524696</v>
      </c>
    </row>
    <row r="6582" spans="13:16">
      <c r="M6582">
        <v>0.29944029721303667</v>
      </c>
      <c r="N6582">
        <v>0.17425316594971021</v>
      </c>
      <c r="O6582">
        <v>0.25023654814922308</v>
      </c>
      <c r="P6582">
        <v>0.27606998868803001</v>
      </c>
    </row>
    <row r="6583" spans="13:16">
      <c r="M6583">
        <v>0.28484585441007254</v>
      </c>
      <c r="N6583">
        <v>0.1730807556635878</v>
      </c>
      <c r="O6583">
        <v>0.28255018384974456</v>
      </c>
      <c r="P6583">
        <v>0.25952320607659513</v>
      </c>
    </row>
    <row r="6584" spans="13:16">
      <c r="M6584">
        <v>0.28038984786403132</v>
      </c>
      <c r="N6584">
        <v>0.19378251676247965</v>
      </c>
      <c r="O6584">
        <v>0.26439751167325537</v>
      </c>
      <c r="P6584">
        <v>0.26143012370023366</v>
      </c>
    </row>
    <row r="6585" spans="13:16">
      <c r="M6585">
        <v>0.29240466059791997</v>
      </c>
      <c r="N6585">
        <v>0.18616741965045591</v>
      </c>
      <c r="O6585">
        <v>0.24874892610201088</v>
      </c>
      <c r="P6585">
        <v>0.27267899364961323</v>
      </c>
    </row>
    <row r="6586" spans="13:16">
      <c r="M6586">
        <v>0.29221977155721274</v>
      </c>
      <c r="N6586">
        <v>0.17265982762058224</v>
      </c>
      <c r="O6586">
        <v>0.27650534690137657</v>
      </c>
      <c r="P6586">
        <v>0.2586150539208284</v>
      </c>
    </row>
    <row r="6587" spans="13:16">
      <c r="M6587">
        <v>0.29736747151471787</v>
      </c>
      <c r="N6587">
        <v>0.19298855645767257</v>
      </c>
      <c r="O6587">
        <v>0.23117438072561339</v>
      </c>
      <c r="P6587">
        <v>0.27846959130199617</v>
      </c>
    </row>
    <row r="6588" spans="13:16">
      <c r="M6588">
        <v>0.27731314993172934</v>
      </c>
      <c r="N6588">
        <v>0.18868932963431054</v>
      </c>
      <c r="O6588">
        <v>0.26368228853914472</v>
      </c>
      <c r="P6588">
        <v>0.27031523189481549</v>
      </c>
    </row>
    <row r="6589" spans="13:16">
      <c r="M6589">
        <v>0.32674501273315348</v>
      </c>
      <c r="N6589">
        <v>0.15988659871779418</v>
      </c>
      <c r="O6589">
        <v>0.26799169611343193</v>
      </c>
      <c r="P6589">
        <v>0.24537669243562055</v>
      </c>
    </row>
    <row r="6590" spans="13:16">
      <c r="M6590">
        <v>0.28621105543392417</v>
      </c>
      <c r="N6590">
        <v>0.18986105158073174</v>
      </c>
      <c r="O6590">
        <v>0.25362111484847888</v>
      </c>
      <c r="P6590">
        <v>0.27030677813686527</v>
      </c>
    </row>
    <row r="6591" spans="13:16">
      <c r="M6591">
        <v>0.3052466327911304</v>
      </c>
      <c r="N6591">
        <v>0.20214877567339273</v>
      </c>
      <c r="O6591">
        <v>0.23336337411856456</v>
      </c>
      <c r="P6591">
        <v>0.25924121741691225</v>
      </c>
    </row>
    <row r="6592" spans="13:16">
      <c r="M6592">
        <v>0.30562245836862184</v>
      </c>
      <c r="N6592">
        <v>0.16549268513323837</v>
      </c>
      <c r="O6592">
        <v>0.27675143492083321</v>
      </c>
      <c r="P6592">
        <v>0.25213342157730667</v>
      </c>
    </row>
    <row r="6593" spans="13:16">
      <c r="M6593">
        <v>0.2823696637646404</v>
      </c>
      <c r="N6593">
        <v>0.19033162316339694</v>
      </c>
      <c r="O6593">
        <v>0.25527060101164567</v>
      </c>
      <c r="P6593">
        <v>0.27202811206031696</v>
      </c>
    </row>
    <row r="6594" spans="13:16">
      <c r="M6594">
        <v>0.28338028150537142</v>
      </c>
      <c r="N6594">
        <v>0.18142325120502947</v>
      </c>
      <c r="O6594">
        <v>0.28036993592773612</v>
      </c>
      <c r="P6594">
        <v>0.25482653136186306</v>
      </c>
    </row>
    <row r="6595" spans="13:16">
      <c r="M6595">
        <v>0.28702117348291822</v>
      </c>
      <c r="N6595">
        <v>0.1907307826949742</v>
      </c>
      <c r="O6595">
        <v>0.26639794550287454</v>
      </c>
      <c r="P6595">
        <v>0.25585009831923305</v>
      </c>
    </row>
    <row r="6596" spans="13:16">
      <c r="M6596">
        <v>0.28502507674603789</v>
      </c>
      <c r="N6596">
        <v>0.204884576846873</v>
      </c>
      <c r="O6596">
        <v>0.2366577200490976</v>
      </c>
      <c r="P6596">
        <v>0.27343262635799165</v>
      </c>
    </row>
    <row r="6597" spans="13:16">
      <c r="M6597">
        <v>0.29461399196670401</v>
      </c>
      <c r="N6597">
        <v>0.17577048783490548</v>
      </c>
      <c r="O6597">
        <v>0.25998535264454664</v>
      </c>
      <c r="P6597">
        <v>0.26963016755384378</v>
      </c>
    </row>
    <row r="6598" spans="13:16">
      <c r="M6598">
        <v>0.27778184784020193</v>
      </c>
      <c r="N6598">
        <v>0.18328679487915875</v>
      </c>
      <c r="O6598">
        <v>0.27302728126198778</v>
      </c>
      <c r="P6598">
        <v>0.26590407601865157</v>
      </c>
    </row>
    <row r="6599" spans="13:16">
      <c r="M6599">
        <v>0.29838001440334344</v>
      </c>
      <c r="N6599">
        <v>0.20280102767181388</v>
      </c>
      <c r="O6599">
        <v>0.22536587447086665</v>
      </c>
      <c r="P6599">
        <v>0.27345308345397612</v>
      </c>
    </row>
    <row r="6600" spans="13:16">
      <c r="M6600">
        <v>0.31327216156098592</v>
      </c>
      <c r="N6600">
        <v>0.17417257769056779</v>
      </c>
      <c r="O6600">
        <v>0.26470285022105738</v>
      </c>
      <c r="P6600">
        <v>0.24785241052738888</v>
      </c>
    </row>
    <row r="6601" spans="13:16">
      <c r="M6601">
        <v>0.31851645698661124</v>
      </c>
      <c r="N6601">
        <v>0.17493704801921681</v>
      </c>
      <c r="O6601">
        <v>0.25059920711414196</v>
      </c>
      <c r="P6601">
        <v>0.25594728788003007</v>
      </c>
    </row>
    <row r="6602" spans="13:16">
      <c r="M6602">
        <v>0.32169954191495304</v>
      </c>
      <c r="N6602">
        <v>0.18919532496461158</v>
      </c>
      <c r="O6602">
        <v>0.22414624560100166</v>
      </c>
      <c r="P6602">
        <v>0.26495888751943364</v>
      </c>
    </row>
    <row r="6603" spans="13:16">
      <c r="M6603">
        <v>0.27950000780291129</v>
      </c>
      <c r="N6603">
        <v>0.20853869955479679</v>
      </c>
      <c r="O6603">
        <v>0.23865581782515174</v>
      </c>
      <c r="P6603">
        <v>0.27330547481714013</v>
      </c>
    </row>
    <row r="6604" spans="13:16">
      <c r="M6604">
        <v>0.31975072399970444</v>
      </c>
      <c r="N6604">
        <v>0.17644350856632127</v>
      </c>
      <c r="O6604">
        <v>0.22946939056557608</v>
      </c>
      <c r="P6604">
        <v>0.27433637686839824</v>
      </c>
    </row>
    <row r="6605" spans="13:16">
      <c r="M6605">
        <v>0.25830869069588525</v>
      </c>
      <c r="N6605">
        <v>0.20563592028819266</v>
      </c>
      <c r="O6605">
        <v>0.27215805987993064</v>
      </c>
      <c r="P6605">
        <v>0.26389732913599151</v>
      </c>
    </row>
    <row r="6606" spans="13:16">
      <c r="M6606">
        <v>0.27311211784807693</v>
      </c>
      <c r="N6606">
        <v>0.19090320053178489</v>
      </c>
      <c r="O6606">
        <v>0.26838591972721559</v>
      </c>
      <c r="P6606">
        <v>0.26759876189292248</v>
      </c>
    </row>
    <row r="6607" spans="13:16">
      <c r="M6607">
        <v>0.29957622922691074</v>
      </c>
      <c r="N6607">
        <v>0.18641065429682627</v>
      </c>
      <c r="O6607">
        <v>0.24331951029554408</v>
      </c>
      <c r="P6607">
        <v>0.2706936061807188</v>
      </c>
    </row>
    <row r="6608" spans="13:16">
      <c r="M6608">
        <v>0.30488218854839616</v>
      </c>
      <c r="N6608">
        <v>0.18824684812827264</v>
      </c>
      <c r="O6608">
        <v>0.25946519454636308</v>
      </c>
      <c r="P6608">
        <v>0.24740576877696799</v>
      </c>
    </row>
    <row r="6609" spans="13:16">
      <c r="M6609">
        <v>0.31682117091959505</v>
      </c>
      <c r="N6609">
        <v>0.18089798901149332</v>
      </c>
      <c r="O6609">
        <v>0.22531013367582572</v>
      </c>
      <c r="P6609">
        <v>0.2769707063930858</v>
      </c>
    </row>
    <row r="6610" spans="13:16">
      <c r="M6610">
        <v>0.30605478694812249</v>
      </c>
      <c r="N6610">
        <v>0.18365977188772167</v>
      </c>
      <c r="O6610">
        <v>0.24535259031766321</v>
      </c>
      <c r="P6610">
        <v>0.2649328508464926</v>
      </c>
    </row>
    <row r="6611" spans="13:16">
      <c r="M6611">
        <v>0.3082940878139534</v>
      </c>
      <c r="N6611">
        <v>0.17758149983496088</v>
      </c>
      <c r="O6611">
        <v>0.23399285711733969</v>
      </c>
      <c r="P6611">
        <v>0.280131555233746</v>
      </c>
    </row>
    <row r="6612" spans="13:16">
      <c r="M6612">
        <v>0.30736898675066054</v>
      </c>
      <c r="N6612">
        <v>0.17391434462844726</v>
      </c>
      <c r="O6612">
        <v>0.27571081949060872</v>
      </c>
      <c r="P6612">
        <v>0.24300584913028353</v>
      </c>
    </row>
    <row r="6613" spans="13:16">
      <c r="M6613">
        <v>0.28860560129734686</v>
      </c>
      <c r="N6613">
        <v>0.17652429605493072</v>
      </c>
      <c r="O6613">
        <v>0.25720826678569364</v>
      </c>
      <c r="P6613">
        <v>0.27766183586202886</v>
      </c>
    </row>
    <row r="6614" spans="13:16">
      <c r="M6614">
        <v>0.29639274461252085</v>
      </c>
      <c r="N6614">
        <v>0.16296683092380954</v>
      </c>
      <c r="O6614">
        <v>0.29496860033810596</v>
      </c>
      <c r="P6614">
        <v>0.24567182412556376</v>
      </c>
    </row>
    <row r="6615" spans="13:16">
      <c r="M6615">
        <v>0.28122463651688384</v>
      </c>
      <c r="N6615">
        <v>0.20147904090498339</v>
      </c>
      <c r="O6615">
        <v>0.23880958351551285</v>
      </c>
      <c r="P6615">
        <v>0.27848673906261984</v>
      </c>
    </row>
    <row r="6616" spans="13:16">
      <c r="M6616">
        <v>0.28854325320081836</v>
      </c>
      <c r="N6616">
        <v>0.2086730844043527</v>
      </c>
      <c r="O6616">
        <v>0.20342218182556854</v>
      </c>
      <c r="P6616">
        <v>0.29936148056926049</v>
      </c>
    </row>
    <row r="6617" spans="13:16">
      <c r="M6617">
        <v>0.29533849379310301</v>
      </c>
      <c r="N6617">
        <v>0.19129460317293584</v>
      </c>
      <c r="O6617">
        <v>0.26203855864285103</v>
      </c>
      <c r="P6617">
        <v>0.25132834439111024</v>
      </c>
    </row>
    <row r="6618" spans="13:16">
      <c r="M6618">
        <v>0.29791088726929682</v>
      </c>
      <c r="N6618">
        <v>0.19369959126186584</v>
      </c>
      <c r="O6618">
        <v>0.23945464902430233</v>
      </c>
      <c r="P6618">
        <v>0.26893487244453512</v>
      </c>
    </row>
    <row r="6619" spans="13:16">
      <c r="M6619">
        <v>0.30162338389692639</v>
      </c>
      <c r="N6619">
        <v>0.18093437044776389</v>
      </c>
      <c r="O6619">
        <v>0.23741989334603786</v>
      </c>
      <c r="P6619">
        <v>0.28002235230927197</v>
      </c>
    </row>
    <row r="6620" spans="13:16">
      <c r="M6620">
        <v>0.29490368784495546</v>
      </c>
      <c r="N6620">
        <v>0.1759256247708311</v>
      </c>
      <c r="O6620">
        <v>0.2739376816346184</v>
      </c>
      <c r="P6620">
        <v>0.25523300574959512</v>
      </c>
    </row>
    <row r="6621" spans="13:16">
      <c r="M6621">
        <v>0.29005787158273788</v>
      </c>
      <c r="N6621">
        <v>0.17448532549113654</v>
      </c>
      <c r="O6621">
        <v>0.28795111583827721</v>
      </c>
      <c r="P6621">
        <v>0.24750568708784831</v>
      </c>
    </row>
    <row r="6622" spans="13:16">
      <c r="M6622">
        <v>0.31347035926404881</v>
      </c>
      <c r="N6622">
        <v>0.1913571976528545</v>
      </c>
      <c r="O6622">
        <v>0.21668744634797213</v>
      </c>
      <c r="P6622">
        <v>0.2784849967351245</v>
      </c>
    </row>
    <row r="6623" spans="13:16">
      <c r="M6623">
        <v>0.28452680644564854</v>
      </c>
      <c r="N6623">
        <v>0.1766858673855719</v>
      </c>
      <c r="O6623">
        <v>0.2584185873491377</v>
      </c>
      <c r="P6623">
        <v>0.28036873881964175</v>
      </c>
    </row>
    <row r="6624" spans="13:16">
      <c r="M6624">
        <v>0.28649927651535551</v>
      </c>
      <c r="N6624">
        <v>0.16631567909664149</v>
      </c>
      <c r="O6624">
        <v>0.3045801962632963</v>
      </c>
      <c r="P6624">
        <v>0.24260484812470678</v>
      </c>
    </row>
    <row r="6625" spans="13:16">
      <c r="M6625">
        <v>0.29280462379723537</v>
      </c>
      <c r="N6625">
        <v>0.16455161839025423</v>
      </c>
      <c r="O6625">
        <v>0.2925193981852377</v>
      </c>
      <c r="P6625">
        <v>0.25012435962727275</v>
      </c>
    </row>
    <row r="6626" spans="13:16">
      <c r="M6626">
        <v>0.30099436089993636</v>
      </c>
      <c r="N6626">
        <v>0.17557594953242145</v>
      </c>
      <c r="O6626">
        <v>0.28171695622552007</v>
      </c>
      <c r="P6626">
        <v>0.24171273334212215</v>
      </c>
    </row>
    <row r="6627" spans="13:16">
      <c r="M6627">
        <v>0.33803748712022508</v>
      </c>
      <c r="N6627">
        <v>0.1800797954877644</v>
      </c>
      <c r="O6627">
        <v>0.21017823950284553</v>
      </c>
      <c r="P6627">
        <v>0.27170447788916496</v>
      </c>
    </row>
    <row r="6628" spans="13:16">
      <c r="M6628">
        <v>0.28700347535800175</v>
      </c>
      <c r="N6628">
        <v>0.19712808214875571</v>
      </c>
      <c r="O6628">
        <v>0.24772482058314979</v>
      </c>
      <c r="P6628">
        <v>0.26814362191009267</v>
      </c>
    </row>
    <row r="6629" spans="13:16">
      <c r="M6629">
        <v>0.30356484968970576</v>
      </c>
      <c r="N6629">
        <v>0.1692145340564252</v>
      </c>
      <c r="O6629">
        <v>0.28046462927173255</v>
      </c>
      <c r="P6629">
        <v>0.2467559869821366</v>
      </c>
    </row>
    <row r="6630" spans="13:16">
      <c r="M6630">
        <v>0.29355912772655995</v>
      </c>
      <c r="N6630">
        <v>0.19991739546715015</v>
      </c>
      <c r="O6630">
        <v>0.24344465236035551</v>
      </c>
      <c r="P6630">
        <v>0.26307882444593428</v>
      </c>
    </row>
    <row r="6631" spans="13:16">
      <c r="M6631">
        <v>0.27848072997036177</v>
      </c>
      <c r="N6631">
        <v>0.19264717023896513</v>
      </c>
      <c r="O6631">
        <v>0.26950681271381766</v>
      </c>
      <c r="P6631">
        <v>0.25936528707685558</v>
      </c>
    </row>
    <row r="6632" spans="13:16">
      <c r="M6632">
        <v>0.26923693498523416</v>
      </c>
      <c r="N6632">
        <v>0.19900577786419013</v>
      </c>
      <c r="O6632">
        <v>0.27825529711962582</v>
      </c>
      <c r="P6632">
        <v>0.25350199003094981</v>
      </c>
    </row>
    <row r="6633" spans="13:16">
      <c r="M6633">
        <v>0.29306969263457777</v>
      </c>
      <c r="N6633">
        <v>0.17272592451570315</v>
      </c>
      <c r="O6633">
        <v>0.26989717757852166</v>
      </c>
      <c r="P6633">
        <v>0.2643072052711975</v>
      </c>
    </row>
    <row r="6634" spans="13:16">
      <c r="M6634">
        <v>0.30634944189424634</v>
      </c>
      <c r="N6634">
        <v>0.19716554569106451</v>
      </c>
      <c r="O6634">
        <v>0.23888395315907865</v>
      </c>
      <c r="P6634">
        <v>0.25760105925561044</v>
      </c>
    </row>
    <row r="6635" spans="13:16">
      <c r="M6635">
        <v>0.27718148026733913</v>
      </c>
      <c r="N6635">
        <v>0.19941591173153725</v>
      </c>
      <c r="O6635">
        <v>0.25549397807663349</v>
      </c>
      <c r="P6635">
        <v>0.2679086299244901</v>
      </c>
    </row>
    <row r="6636" spans="13:16">
      <c r="M6636">
        <v>0.30085094978718641</v>
      </c>
      <c r="N6636">
        <v>0.18038736846367728</v>
      </c>
      <c r="O6636">
        <v>0.23798497284568332</v>
      </c>
      <c r="P6636">
        <v>0.28077670890345308</v>
      </c>
    </row>
    <row r="6637" spans="13:16">
      <c r="M6637">
        <v>0.29577444475961462</v>
      </c>
      <c r="N6637">
        <v>0.17716311590742201</v>
      </c>
      <c r="O6637">
        <v>0.26485748682904398</v>
      </c>
      <c r="P6637">
        <v>0.26220495250391945</v>
      </c>
    </row>
    <row r="6638" spans="13:16">
      <c r="M6638">
        <v>0.30416592678130955</v>
      </c>
      <c r="N6638">
        <v>0.16462283944823256</v>
      </c>
      <c r="O6638">
        <v>0.27327027933794529</v>
      </c>
      <c r="P6638">
        <v>0.25794095443251258</v>
      </c>
    </row>
    <row r="6639" spans="13:16">
      <c r="M6639">
        <v>0.27635668242689831</v>
      </c>
      <c r="N6639">
        <v>0.19474734369736202</v>
      </c>
      <c r="O6639">
        <v>0.24809210526384221</v>
      </c>
      <c r="P6639">
        <v>0.28080386861189743</v>
      </c>
    </row>
    <row r="6640" spans="13:16">
      <c r="M6640">
        <v>0.29682762361666043</v>
      </c>
      <c r="N6640">
        <v>0.18362789032025284</v>
      </c>
      <c r="O6640">
        <v>0.24335628323796613</v>
      </c>
      <c r="P6640">
        <v>0.27618820282512058</v>
      </c>
    </row>
    <row r="6641" spans="13:16">
      <c r="M6641">
        <v>0.31891682396675947</v>
      </c>
      <c r="N6641">
        <v>0.17156833455761392</v>
      </c>
      <c r="O6641">
        <v>0.25719874234779233</v>
      </c>
      <c r="P6641">
        <v>0.25231609912783437</v>
      </c>
    </row>
    <row r="6642" spans="13:16">
      <c r="M6642">
        <v>0.27670061397376705</v>
      </c>
      <c r="N6642">
        <v>0.17882669266060217</v>
      </c>
      <c r="O6642">
        <v>0.2784628647773314</v>
      </c>
      <c r="P6642">
        <v>0.26600982858829936</v>
      </c>
    </row>
    <row r="6643" spans="13:16">
      <c r="M6643">
        <v>0.28549591797480239</v>
      </c>
      <c r="N6643">
        <v>0.18342541513640381</v>
      </c>
      <c r="O6643">
        <v>0.2729762927810484</v>
      </c>
      <c r="P6643">
        <v>0.25810237410774545</v>
      </c>
    </row>
    <row r="6644" spans="13:16">
      <c r="M6644">
        <v>0.31330068218188617</v>
      </c>
      <c r="N6644">
        <v>0.1719114508225871</v>
      </c>
      <c r="O6644">
        <v>0.25561466907938341</v>
      </c>
      <c r="P6644">
        <v>0.25917319791614335</v>
      </c>
    </row>
    <row r="6645" spans="13:16">
      <c r="M6645">
        <v>0.28953052684689617</v>
      </c>
      <c r="N6645">
        <v>0.19279497596613035</v>
      </c>
      <c r="O6645">
        <v>0.24713293569631861</v>
      </c>
      <c r="P6645">
        <v>0.27054156149065467</v>
      </c>
    </row>
    <row r="6646" spans="13:16">
      <c r="M6646">
        <v>0.30576875491900968</v>
      </c>
      <c r="N6646">
        <v>0.19812330174898513</v>
      </c>
      <c r="O6646">
        <v>0.22889157381350334</v>
      </c>
      <c r="P6646">
        <v>0.26721636951850186</v>
      </c>
    </row>
    <row r="6647" spans="13:16">
      <c r="M6647">
        <v>0.27361506444059042</v>
      </c>
      <c r="N6647">
        <v>0.2197346781313555</v>
      </c>
      <c r="O6647">
        <v>0.22861811485507147</v>
      </c>
      <c r="P6647">
        <v>0.2780321425729827</v>
      </c>
    </row>
    <row r="6648" spans="13:16">
      <c r="M6648">
        <v>0.29810268335416257</v>
      </c>
      <c r="N6648">
        <v>0.18409802891971386</v>
      </c>
      <c r="O6648">
        <v>0.24291167771819042</v>
      </c>
      <c r="P6648">
        <v>0.27488761000793327</v>
      </c>
    </row>
    <row r="6649" spans="13:16">
      <c r="M6649">
        <v>0.30107086679083517</v>
      </c>
      <c r="N6649">
        <v>0.20292496062341997</v>
      </c>
      <c r="O6649">
        <v>0.23487168651450055</v>
      </c>
      <c r="P6649">
        <v>0.26113248607124434</v>
      </c>
    </row>
    <row r="6650" spans="13:16">
      <c r="M6650">
        <v>0.27673908428631483</v>
      </c>
      <c r="N6650">
        <v>0.19390617778951216</v>
      </c>
      <c r="O6650">
        <v>0.24273003917165434</v>
      </c>
      <c r="P6650">
        <v>0.28662469875251878</v>
      </c>
    </row>
    <row r="6651" spans="13:16">
      <c r="M6651">
        <v>0.27680128172533219</v>
      </c>
      <c r="N6651">
        <v>0.18475694459908332</v>
      </c>
      <c r="O6651">
        <v>0.28154418940288528</v>
      </c>
      <c r="P6651">
        <v>0.25689758427269915</v>
      </c>
    </row>
    <row r="6652" spans="13:16">
      <c r="M6652">
        <v>0.31196031539860103</v>
      </c>
      <c r="N6652">
        <v>0.17651399050646241</v>
      </c>
      <c r="O6652">
        <v>0.24746817875303534</v>
      </c>
      <c r="P6652">
        <v>0.26405751534190103</v>
      </c>
    </row>
    <row r="6653" spans="13:16">
      <c r="M6653">
        <v>0.30108914940960374</v>
      </c>
      <c r="N6653">
        <v>0.18471718948520471</v>
      </c>
      <c r="O6653">
        <v>0.23821574062369819</v>
      </c>
      <c r="P6653">
        <v>0.27597792048149333</v>
      </c>
    </row>
    <row r="6654" spans="13:16">
      <c r="M6654">
        <v>0.29251746581018828</v>
      </c>
      <c r="N6654">
        <v>0.20050603824721128</v>
      </c>
      <c r="O6654">
        <v>0.2438987209122665</v>
      </c>
      <c r="P6654">
        <v>0.2630777750303338</v>
      </c>
    </row>
    <row r="6655" spans="13:16">
      <c r="M6655">
        <v>0.30455304940654321</v>
      </c>
      <c r="N6655">
        <v>0.16850033281615134</v>
      </c>
      <c r="O6655">
        <v>0.267725630241479</v>
      </c>
      <c r="P6655">
        <v>0.25922098753582656</v>
      </c>
    </row>
    <row r="6656" spans="13:16">
      <c r="M6656">
        <v>0.28695255037184442</v>
      </c>
      <c r="N6656">
        <v>0.19778278968766907</v>
      </c>
      <c r="O6656">
        <v>0.24211603915946966</v>
      </c>
      <c r="P6656">
        <v>0.27314862078101682</v>
      </c>
    </row>
    <row r="6657" spans="13:16">
      <c r="M6657">
        <v>0.25429229111409035</v>
      </c>
      <c r="N6657">
        <v>0.20036285740139997</v>
      </c>
      <c r="O6657">
        <v>0.27144572961041147</v>
      </c>
      <c r="P6657">
        <v>0.27389912187409821</v>
      </c>
    </row>
    <row r="6658" spans="13:16">
      <c r="M6658">
        <v>0.30017798949116464</v>
      </c>
      <c r="N6658">
        <v>0.18950790120430067</v>
      </c>
      <c r="O6658">
        <v>0.23690474430089448</v>
      </c>
      <c r="P6658">
        <v>0.27340936500364033</v>
      </c>
    </row>
    <row r="6659" spans="13:16">
      <c r="M6659">
        <v>0.28492453515626359</v>
      </c>
      <c r="N6659">
        <v>0.18575766036237462</v>
      </c>
      <c r="O6659">
        <v>0.25945381115597999</v>
      </c>
      <c r="P6659">
        <v>0.26986399332538175</v>
      </c>
    </row>
    <row r="6660" spans="13:16">
      <c r="M6660">
        <v>0.33809864793297573</v>
      </c>
      <c r="N6660">
        <v>0.16396613382533792</v>
      </c>
      <c r="O6660">
        <v>0.24133522262219589</v>
      </c>
      <c r="P6660">
        <v>0.25659999561949032</v>
      </c>
    </row>
    <row r="6661" spans="13:16">
      <c r="M6661">
        <v>0.28478531903593857</v>
      </c>
      <c r="N6661">
        <v>0.21904099454927392</v>
      </c>
      <c r="O6661">
        <v>0.22248416259188908</v>
      </c>
      <c r="P6661">
        <v>0.27368952382289841</v>
      </c>
    </row>
    <row r="6662" spans="13:16">
      <c r="M6662">
        <v>0.26789795686585516</v>
      </c>
      <c r="N6662">
        <v>0.18965322509950303</v>
      </c>
      <c r="O6662">
        <v>0.27989882437538838</v>
      </c>
      <c r="P6662">
        <v>0.26254999365925347</v>
      </c>
    </row>
    <row r="6663" spans="13:16">
      <c r="M6663">
        <v>0.27877012647767085</v>
      </c>
      <c r="N6663">
        <v>0.18775863685684005</v>
      </c>
      <c r="O6663">
        <v>0.26561531954249967</v>
      </c>
      <c r="P6663">
        <v>0.26785591712298951</v>
      </c>
    </row>
    <row r="6664" spans="13:16">
      <c r="M6664">
        <v>0.30798017707494135</v>
      </c>
      <c r="N6664">
        <v>0.17561933100676203</v>
      </c>
      <c r="O6664">
        <v>0.25459077902655458</v>
      </c>
      <c r="P6664">
        <v>0.26180971289174199</v>
      </c>
    </row>
    <row r="6665" spans="13:16">
      <c r="M6665">
        <v>0.30693658586819716</v>
      </c>
      <c r="N6665">
        <v>0.17055472377136047</v>
      </c>
      <c r="O6665">
        <v>0.27057112691659413</v>
      </c>
      <c r="P6665">
        <v>0.25193756344384832</v>
      </c>
    </row>
    <row r="6666" spans="13:16">
      <c r="M6666">
        <v>0.25965195147515291</v>
      </c>
      <c r="N6666">
        <v>0.19300592862093821</v>
      </c>
      <c r="O6666">
        <v>0.27739344773544988</v>
      </c>
      <c r="P6666">
        <v>0.26994867216845891</v>
      </c>
    </row>
    <row r="6667" spans="13:16">
      <c r="M6667">
        <v>0.28090682265258954</v>
      </c>
      <c r="N6667">
        <v>0.18720290003574089</v>
      </c>
      <c r="O6667">
        <v>0.26801139766091392</v>
      </c>
      <c r="P6667">
        <v>0.26387887965075563</v>
      </c>
    </row>
    <row r="6668" spans="13:16">
      <c r="M6668">
        <v>0.28196371236819634</v>
      </c>
      <c r="N6668">
        <v>0.18784522178238966</v>
      </c>
      <c r="O6668">
        <v>0.2601937819447584</v>
      </c>
      <c r="P6668">
        <v>0.26999728390465549</v>
      </c>
    </row>
    <row r="6669" spans="13:16">
      <c r="M6669">
        <v>0.26389678357450314</v>
      </c>
      <c r="N6669">
        <v>0.1880672921927603</v>
      </c>
      <c r="O6669">
        <v>0.29684562850215479</v>
      </c>
      <c r="P6669">
        <v>0.25119029573058188</v>
      </c>
    </row>
    <row r="6670" spans="13:16">
      <c r="M6670">
        <v>0.29405435068983676</v>
      </c>
      <c r="N6670">
        <v>0.20349418029903157</v>
      </c>
      <c r="O6670">
        <v>0.24626840667027239</v>
      </c>
      <c r="P6670">
        <v>0.25618306234085914</v>
      </c>
    </row>
    <row r="6671" spans="13:16">
      <c r="M6671">
        <v>0.31020723110405385</v>
      </c>
      <c r="N6671">
        <v>0.17525176104210718</v>
      </c>
      <c r="O6671">
        <v>0.25742297904694916</v>
      </c>
      <c r="P6671">
        <v>0.25711802880688978</v>
      </c>
    </row>
    <row r="6672" spans="13:16">
      <c r="M6672">
        <v>0.28211875732534225</v>
      </c>
      <c r="N6672">
        <v>0.17529036668150316</v>
      </c>
      <c r="O6672">
        <v>0.27804710278921074</v>
      </c>
      <c r="P6672">
        <v>0.26454377320394384</v>
      </c>
    </row>
    <row r="6673" spans="13:16">
      <c r="M6673">
        <v>0.27998620522699696</v>
      </c>
      <c r="N6673">
        <v>0.19170230754589565</v>
      </c>
      <c r="O6673">
        <v>0.26103708307689072</v>
      </c>
      <c r="P6673">
        <v>0.26727440415021664</v>
      </c>
    </row>
    <row r="6674" spans="13:16">
      <c r="M6674">
        <v>0.28729938392342874</v>
      </c>
      <c r="N6674">
        <v>0.20737697906351379</v>
      </c>
      <c r="O6674">
        <v>0.23725128941494578</v>
      </c>
      <c r="P6674">
        <v>0.26807234759811172</v>
      </c>
    </row>
    <row r="6675" spans="13:16">
      <c r="M6675">
        <v>0.30697642469092545</v>
      </c>
      <c r="N6675">
        <v>0.18155232791231918</v>
      </c>
      <c r="O6675">
        <v>0.24077823073055071</v>
      </c>
      <c r="P6675">
        <v>0.27069301666620477</v>
      </c>
    </row>
    <row r="6676" spans="13:16">
      <c r="M6676">
        <v>0.27816760053242856</v>
      </c>
      <c r="N6676">
        <v>0.18281186382632461</v>
      </c>
      <c r="O6676">
        <v>0.28667026126814915</v>
      </c>
      <c r="P6676">
        <v>0.25235027437309759</v>
      </c>
    </row>
    <row r="6677" spans="13:16">
      <c r="M6677">
        <v>0.2762988747072152</v>
      </c>
      <c r="N6677">
        <v>0.19073078773886529</v>
      </c>
      <c r="O6677">
        <v>0.26545579286660187</v>
      </c>
      <c r="P6677">
        <v>0.26751454468731778</v>
      </c>
    </row>
    <row r="6678" spans="13:16">
      <c r="M6678">
        <v>0.32257265836736509</v>
      </c>
      <c r="N6678">
        <v>0.16255054607918595</v>
      </c>
      <c r="O6678">
        <v>0.26876085470174993</v>
      </c>
      <c r="P6678">
        <v>0.24611594085169911</v>
      </c>
    </row>
    <row r="6679" spans="13:16">
      <c r="M6679">
        <v>0.31158089268042616</v>
      </c>
      <c r="N6679">
        <v>0.1782131130160885</v>
      </c>
      <c r="O6679">
        <v>0.24215816606844931</v>
      </c>
      <c r="P6679">
        <v>0.26804782823503587</v>
      </c>
    </row>
    <row r="6680" spans="13:16">
      <c r="M6680">
        <v>0.30809301152815327</v>
      </c>
      <c r="N6680">
        <v>0.17765969744174015</v>
      </c>
      <c r="O6680">
        <v>0.24416948093038501</v>
      </c>
      <c r="P6680">
        <v>0.27007781009972148</v>
      </c>
    </row>
    <row r="6681" spans="13:16">
      <c r="M6681">
        <v>0.29189827725206818</v>
      </c>
      <c r="N6681">
        <v>0.18650514238492824</v>
      </c>
      <c r="O6681">
        <v>0.26661745907650708</v>
      </c>
      <c r="P6681">
        <v>0.25497912128649652</v>
      </c>
    </row>
    <row r="6682" spans="13:16">
      <c r="M6682">
        <v>0.30625228293497336</v>
      </c>
      <c r="N6682">
        <v>0.17674720273368064</v>
      </c>
      <c r="O6682">
        <v>0.25622354395140656</v>
      </c>
      <c r="P6682">
        <v>0.26077697037993947</v>
      </c>
    </row>
    <row r="6683" spans="13:16">
      <c r="M6683">
        <v>0.28152239296949449</v>
      </c>
      <c r="N6683">
        <v>0.20177900654529432</v>
      </c>
      <c r="O6683">
        <v>0.25233829427850263</v>
      </c>
      <c r="P6683">
        <v>0.26436030620670864</v>
      </c>
    </row>
    <row r="6684" spans="13:16">
      <c r="M6684">
        <v>0.32537188690000807</v>
      </c>
      <c r="N6684">
        <v>0.16431624804113137</v>
      </c>
      <c r="O6684">
        <v>0.2622190511303038</v>
      </c>
      <c r="P6684">
        <v>0.24809281392855673</v>
      </c>
    </row>
    <row r="6685" spans="13:16">
      <c r="M6685">
        <v>0.27417106077231934</v>
      </c>
      <c r="N6685">
        <v>0.18781736380862182</v>
      </c>
      <c r="O6685">
        <v>0.26626096865112586</v>
      </c>
      <c r="P6685">
        <v>0.27175060676793306</v>
      </c>
    </row>
    <row r="6686" spans="13:16">
      <c r="M6686">
        <v>0.25603065855123558</v>
      </c>
      <c r="N6686">
        <v>0.20445986000612751</v>
      </c>
      <c r="O6686">
        <v>0.28084678043045402</v>
      </c>
      <c r="P6686">
        <v>0.25866270101218275</v>
      </c>
    </row>
    <row r="6687" spans="13:16">
      <c r="M6687">
        <v>0.2888415836426822</v>
      </c>
      <c r="N6687">
        <v>0.17612369856471313</v>
      </c>
      <c r="O6687">
        <v>0.29772223907632472</v>
      </c>
      <c r="P6687">
        <v>0.23731247871627995</v>
      </c>
    </row>
    <row r="6688" spans="13:16">
      <c r="M6688">
        <v>0.30111922774722866</v>
      </c>
      <c r="N6688">
        <v>0.18155874024870405</v>
      </c>
      <c r="O6688">
        <v>0.24697421179844298</v>
      </c>
      <c r="P6688">
        <v>0.27034782020562431</v>
      </c>
    </row>
    <row r="6689" spans="13:16">
      <c r="M6689">
        <v>0.29326271063164255</v>
      </c>
      <c r="N6689">
        <v>0.19671001079157693</v>
      </c>
      <c r="O6689">
        <v>0.24007313268352778</v>
      </c>
      <c r="P6689">
        <v>0.26995414589325267</v>
      </c>
    </row>
    <row r="6690" spans="13:16">
      <c r="M6690">
        <v>0.28949708675123964</v>
      </c>
      <c r="N6690">
        <v>0.18293860531265058</v>
      </c>
      <c r="O6690">
        <v>0.25405816130412257</v>
      </c>
      <c r="P6690">
        <v>0.27350614663198708</v>
      </c>
    </row>
    <row r="6691" spans="13:16">
      <c r="M6691">
        <v>0.27480484019777446</v>
      </c>
      <c r="N6691">
        <v>0.172605687450266</v>
      </c>
      <c r="O6691">
        <v>0.29372389936227911</v>
      </c>
      <c r="P6691">
        <v>0.25886557298968038</v>
      </c>
    </row>
    <row r="6692" spans="13:16">
      <c r="M6692">
        <v>0.2833150828340778</v>
      </c>
      <c r="N6692">
        <v>0.20005272697169754</v>
      </c>
      <c r="O6692">
        <v>0.25396509265736228</v>
      </c>
      <c r="P6692">
        <v>0.26266709753686246</v>
      </c>
    </row>
    <row r="6693" spans="13:16">
      <c r="M6693">
        <v>0.26672174642626068</v>
      </c>
      <c r="N6693">
        <v>0.21226938025400796</v>
      </c>
      <c r="O6693">
        <v>0.24787037003134735</v>
      </c>
      <c r="P6693">
        <v>0.27313850328838396</v>
      </c>
    </row>
    <row r="6694" spans="13:16">
      <c r="M6694">
        <v>0.29261537108951702</v>
      </c>
      <c r="N6694">
        <v>0.18516845556328815</v>
      </c>
      <c r="O6694">
        <v>0.25916216850785717</v>
      </c>
      <c r="P6694">
        <v>0.26305400483933772</v>
      </c>
    </row>
    <row r="6695" spans="13:16">
      <c r="M6695">
        <v>0.31268324370710332</v>
      </c>
      <c r="N6695">
        <v>0.17937743041876295</v>
      </c>
      <c r="O6695">
        <v>0.2644408440332755</v>
      </c>
      <c r="P6695">
        <v>0.24349848184085832</v>
      </c>
    </row>
    <row r="6696" spans="13:16">
      <c r="M6696">
        <v>0.29531671338470161</v>
      </c>
      <c r="N6696">
        <v>0.19682724865657064</v>
      </c>
      <c r="O6696">
        <v>0.24988150405789519</v>
      </c>
      <c r="P6696">
        <v>0.25797453390083264</v>
      </c>
    </row>
    <row r="6697" spans="13:16">
      <c r="M6697">
        <v>0.30822858626113064</v>
      </c>
      <c r="N6697">
        <v>0.18090574247995905</v>
      </c>
      <c r="O6697">
        <v>0.24048663887717375</v>
      </c>
      <c r="P6697">
        <v>0.27037903238173649</v>
      </c>
    </row>
    <row r="6698" spans="13:16">
      <c r="M6698">
        <v>0.28235249029098985</v>
      </c>
      <c r="N6698">
        <v>0.19729143069525706</v>
      </c>
      <c r="O6698">
        <v>0.24613090414269342</v>
      </c>
      <c r="P6698">
        <v>0.27422517487105968</v>
      </c>
    </row>
    <row r="6699" spans="13:16">
      <c r="M6699">
        <v>0.27218012376470135</v>
      </c>
      <c r="N6699">
        <v>0.19234277615047776</v>
      </c>
      <c r="O6699">
        <v>0.24916480169996758</v>
      </c>
      <c r="P6699">
        <v>0.28631229838485323</v>
      </c>
    </row>
    <row r="6700" spans="13:16">
      <c r="M6700">
        <v>0.26376683544591478</v>
      </c>
      <c r="N6700">
        <v>0.17488383987974632</v>
      </c>
      <c r="O6700">
        <v>0.30263891448742108</v>
      </c>
      <c r="P6700">
        <v>0.25871041018691776</v>
      </c>
    </row>
    <row r="6701" spans="13:16">
      <c r="M6701">
        <v>0.28836234952934842</v>
      </c>
      <c r="N6701">
        <v>0.19749968700085582</v>
      </c>
      <c r="O6701">
        <v>0.22001724018379437</v>
      </c>
      <c r="P6701">
        <v>0.29412072328600125</v>
      </c>
    </row>
    <row r="6702" spans="13:16">
      <c r="M6702">
        <v>0.30898260002356581</v>
      </c>
      <c r="N6702">
        <v>0.17456185430749097</v>
      </c>
      <c r="O6702">
        <v>0.26519743805453172</v>
      </c>
      <c r="P6702">
        <v>0.25125810761441153</v>
      </c>
    </row>
    <row r="6703" spans="13:16">
      <c r="M6703">
        <v>0.31013498948188351</v>
      </c>
      <c r="N6703">
        <v>0.20214728812817612</v>
      </c>
      <c r="O6703">
        <v>0.22367895385926773</v>
      </c>
      <c r="P6703">
        <v>0.2640387685306726</v>
      </c>
    </row>
    <row r="6704" spans="13:16">
      <c r="M6704">
        <v>0.2905219167905419</v>
      </c>
      <c r="N6704">
        <v>0.17914154902891385</v>
      </c>
      <c r="O6704">
        <v>0.2768845018005941</v>
      </c>
      <c r="P6704">
        <v>0.25345203237995012</v>
      </c>
    </row>
    <row r="6705" spans="13:16">
      <c r="M6705">
        <v>0.29471083331198483</v>
      </c>
      <c r="N6705">
        <v>0.20360901207688789</v>
      </c>
      <c r="O6705">
        <v>0.23289501175384369</v>
      </c>
      <c r="P6705">
        <v>0.26878514285728372</v>
      </c>
    </row>
    <row r="6706" spans="13:16">
      <c r="M6706">
        <v>0.27523154586962978</v>
      </c>
      <c r="N6706">
        <v>0.19514097040955999</v>
      </c>
      <c r="O6706">
        <v>0.25724493832320539</v>
      </c>
      <c r="P6706">
        <v>0.27238254539760476</v>
      </c>
    </row>
    <row r="6707" spans="13:16">
      <c r="M6707">
        <v>0.29714600667846713</v>
      </c>
      <c r="N6707">
        <v>0.19610424519867015</v>
      </c>
      <c r="O6707">
        <v>0.24596034420478113</v>
      </c>
      <c r="P6707">
        <v>0.26078940391808164</v>
      </c>
    </row>
    <row r="6708" spans="13:16">
      <c r="M6708">
        <v>0.28590354145949537</v>
      </c>
      <c r="N6708">
        <v>0.19177201058012669</v>
      </c>
      <c r="O6708">
        <v>0.26202176917184578</v>
      </c>
      <c r="P6708">
        <v>0.26030267878853208</v>
      </c>
    </row>
    <row r="6709" spans="13:16">
      <c r="M6709">
        <v>0.31293332828755144</v>
      </c>
      <c r="N6709">
        <v>0.16744222358461844</v>
      </c>
      <c r="O6709">
        <v>0.27350021217348347</v>
      </c>
      <c r="P6709">
        <v>0.24612423595434665</v>
      </c>
    </row>
    <row r="6710" spans="13:16">
      <c r="M6710">
        <v>0.28101181552061028</v>
      </c>
      <c r="N6710">
        <v>0.17977497380415175</v>
      </c>
      <c r="O6710">
        <v>0.26852587436563602</v>
      </c>
      <c r="P6710">
        <v>0.27068733630960201</v>
      </c>
    </row>
    <row r="6711" spans="13:16">
      <c r="M6711">
        <v>0.29025660109617629</v>
      </c>
      <c r="N6711">
        <v>0.1867885792343929</v>
      </c>
      <c r="O6711">
        <v>0.25633410765376041</v>
      </c>
      <c r="P6711">
        <v>0.26662071201567039</v>
      </c>
    </row>
    <row r="6712" spans="13:16">
      <c r="M6712">
        <v>0.31799460129154455</v>
      </c>
      <c r="N6712">
        <v>0.18903979646491387</v>
      </c>
      <c r="O6712">
        <v>0.22873783190523636</v>
      </c>
      <c r="P6712">
        <v>0.26422777033830519</v>
      </c>
    </row>
    <row r="6713" spans="13:16">
      <c r="M6713">
        <v>0.28843354278530359</v>
      </c>
      <c r="N6713">
        <v>0.18654442252082132</v>
      </c>
      <c r="O6713">
        <v>0.26625314013424117</v>
      </c>
      <c r="P6713">
        <v>0.25876889455963387</v>
      </c>
    </row>
    <row r="6714" spans="13:16">
      <c r="M6714">
        <v>0.31760951994287373</v>
      </c>
      <c r="N6714">
        <v>0.17462702264211513</v>
      </c>
      <c r="O6714">
        <v>0.2408539281058685</v>
      </c>
      <c r="P6714">
        <v>0.26690952930914258</v>
      </c>
    </row>
    <row r="6715" spans="13:16">
      <c r="M6715">
        <v>0.3138020588580307</v>
      </c>
      <c r="N6715">
        <v>0.18079201387887675</v>
      </c>
      <c r="O6715">
        <v>0.2611540245903114</v>
      </c>
      <c r="P6715">
        <v>0.24425190267278116</v>
      </c>
    </row>
    <row r="6716" spans="13:16">
      <c r="M6716">
        <v>0.29089531442383543</v>
      </c>
      <c r="N6716">
        <v>0.19682336178080595</v>
      </c>
      <c r="O6716">
        <v>0.24631904459185244</v>
      </c>
      <c r="P6716">
        <v>0.26596227920350607</v>
      </c>
    </row>
    <row r="6717" spans="13:16">
      <c r="M6717">
        <v>0.27578418646195446</v>
      </c>
      <c r="N6717">
        <v>0.19008073213073828</v>
      </c>
      <c r="O6717">
        <v>0.26338368954491109</v>
      </c>
      <c r="P6717">
        <v>0.27075139186239616</v>
      </c>
    </row>
    <row r="6718" spans="13:16">
      <c r="M6718">
        <v>0.27443230157379261</v>
      </c>
      <c r="N6718">
        <v>0.1898319136588629</v>
      </c>
      <c r="O6718">
        <v>0.26692926658782345</v>
      </c>
      <c r="P6718">
        <v>0.26880651817952106</v>
      </c>
    </row>
    <row r="6719" spans="13:16">
      <c r="M6719">
        <v>0.26846801174775253</v>
      </c>
      <c r="N6719">
        <v>0.19780497019435464</v>
      </c>
      <c r="O6719">
        <v>0.2745058311746576</v>
      </c>
      <c r="P6719">
        <v>0.25922118688323509</v>
      </c>
    </row>
    <row r="6720" spans="13:16">
      <c r="M6720">
        <v>0.28272371662189488</v>
      </c>
      <c r="N6720">
        <v>0.18918044539461626</v>
      </c>
      <c r="O6720">
        <v>0.24014623281373421</v>
      </c>
      <c r="P6720">
        <v>0.28794960516975454</v>
      </c>
    </row>
    <row r="6721" spans="13:16">
      <c r="M6721">
        <v>0.29562849082375908</v>
      </c>
      <c r="N6721">
        <v>0.18604627281889699</v>
      </c>
      <c r="O6721">
        <v>0.24084001345959102</v>
      </c>
      <c r="P6721">
        <v>0.27748522289775301</v>
      </c>
    </row>
    <row r="6722" spans="13:16">
      <c r="M6722">
        <v>0.31267583938659982</v>
      </c>
      <c r="N6722">
        <v>0.17177732928557637</v>
      </c>
      <c r="O6722">
        <v>0.25159553725407774</v>
      </c>
      <c r="P6722">
        <v>0.26395129407374618</v>
      </c>
    </row>
    <row r="6723" spans="13:16">
      <c r="M6723">
        <v>0.27317020051193591</v>
      </c>
      <c r="N6723">
        <v>0.19266467773768742</v>
      </c>
      <c r="O6723">
        <v>0.26505659225225475</v>
      </c>
      <c r="P6723">
        <v>0.26910852949812192</v>
      </c>
    </row>
    <row r="6724" spans="13:16">
      <c r="M6724">
        <v>0.30090044210403255</v>
      </c>
      <c r="N6724">
        <v>0.18165501632422026</v>
      </c>
      <c r="O6724">
        <v>0.24913450660141701</v>
      </c>
      <c r="P6724">
        <v>0.26831003497033018</v>
      </c>
    </row>
    <row r="6725" spans="13:16">
      <c r="M6725">
        <v>0.32575913301350756</v>
      </c>
      <c r="N6725">
        <v>0.17516828361647011</v>
      </c>
      <c r="O6725">
        <v>0.23427244291879509</v>
      </c>
      <c r="P6725">
        <v>0.26480014045122713</v>
      </c>
    </row>
    <row r="6726" spans="13:16">
      <c r="M6726">
        <v>0.27919534542797442</v>
      </c>
      <c r="N6726">
        <v>0.20448684347518206</v>
      </c>
      <c r="O6726">
        <v>0.23427811528829987</v>
      </c>
      <c r="P6726">
        <v>0.28203969580854371</v>
      </c>
    </row>
    <row r="6727" spans="13:16">
      <c r="M6727">
        <v>0.29477048448138032</v>
      </c>
      <c r="N6727">
        <v>0.16873716716010007</v>
      </c>
      <c r="O6727">
        <v>0.27401113320087306</v>
      </c>
      <c r="P6727">
        <v>0.26248121515764655</v>
      </c>
    </row>
    <row r="6728" spans="13:16">
      <c r="M6728">
        <v>0.30608376823491062</v>
      </c>
      <c r="N6728">
        <v>0.1817831263442071</v>
      </c>
      <c r="O6728">
        <v>0.25626147843987113</v>
      </c>
      <c r="P6728">
        <v>0.25587162698101107</v>
      </c>
    </row>
    <row r="6729" spans="13:16">
      <c r="M6729">
        <v>0.27741877977116808</v>
      </c>
      <c r="N6729">
        <v>0.19681158568156598</v>
      </c>
      <c r="O6729">
        <v>0.25490124997313879</v>
      </c>
      <c r="P6729">
        <v>0.27086838457412721</v>
      </c>
    </row>
    <row r="6730" spans="13:16">
      <c r="M6730">
        <v>0.33550942495304142</v>
      </c>
      <c r="N6730">
        <v>0.16223736832466973</v>
      </c>
      <c r="O6730">
        <v>0.24689383745156337</v>
      </c>
      <c r="P6730">
        <v>0.25535936927072556</v>
      </c>
    </row>
    <row r="6731" spans="13:16">
      <c r="M6731">
        <v>0.27049550612042395</v>
      </c>
      <c r="N6731">
        <v>0.18167767106248003</v>
      </c>
      <c r="O6731">
        <v>0.2841565621037806</v>
      </c>
      <c r="P6731">
        <v>0.26367026071331545</v>
      </c>
    </row>
    <row r="6732" spans="13:16">
      <c r="M6732">
        <v>0.27111339602880263</v>
      </c>
      <c r="N6732">
        <v>0.21314443736889951</v>
      </c>
      <c r="O6732">
        <v>0.24623651294051313</v>
      </c>
      <c r="P6732">
        <v>0.26950565366178475</v>
      </c>
    </row>
    <row r="6733" spans="13:16">
      <c r="M6733">
        <v>0.27859422196115924</v>
      </c>
      <c r="N6733">
        <v>0.18122921261462163</v>
      </c>
      <c r="O6733">
        <v>0.25959545678555396</v>
      </c>
      <c r="P6733">
        <v>0.28058110863866526</v>
      </c>
    </row>
    <row r="6734" spans="13:16">
      <c r="M6734">
        <v>0.32877829233931594</v>
      </c>
      <c r="N6734">
        <v>0.16215652394221669</v>
      </c>
      <c r="O6734">
        <v>0.26116679436689855</v>
      </c>
      <c r="P6734">
        <v>0.24789838935156894</v>
      </c>
    </row>
    <row r="6735" spans="13:16">
      <c r="M6735">
        <v>0.2734630122102113</v>
      </c>
      <c r="N6735">
        <v>0.19072531159935166</v>
      </c>
      <c r="O6735">
        <v>0.28227198838786621</v>
      </c>
      <c r="P6735">
        <v>0.25353968780257075</v>
      </c>
    </row>
    <row r="6736" spans="13:16">
      <c r="M6736">
        <v>0.3262526582888961</v>
      </c>
      <c r="N6736">
        <v>0.16585646672055021</v>
      </c>
      <c r="O6736">
        <v>0.24969671486330178</v>
      </c>
      <c r="P6736">
        <v>0.25819416012725199</v>
      </c>
    </row>
    <row r="6737" spans="13:16">
      <c r="M6737">
        <v>0.31397210696409589</v>
      </c>
      <c r="N6737">
        <v>0.16066733950213913</v>
      </c>
      <c r="O6737">
        <v>0.28780598327136242</v>
      </c>
      <c r="P6737">
        <v>0.23755457026240268</v>
      </c>
    </row>
    <row r="6738" spans="13:16">
      <c r="M6738">
        <v>0.325205740992351</v>
      </c>
      <c r="N6738">
        <v>0.18703558526536246</v>
      </c>
      <c r="O6738">
        <v>0.22835494778870527</v>
      </c>
      <c r="P6738">
        <v>0.25940372595358119</v>
      </c>
    </row>
    <row r="6739" spans="13:16">
      <c r="M6739">
        <v>0.26906669410345285</v>
      </c>
      <c r="N6739">
        <v>0.19776837151409557</v>
      </c>
      <c r="O6739">
        <v>0.26459703684234209</v>
      </c>
      <c r="P6739">
        <v>0.26856789754010951</v>
      </c>
    </row>
    <row r="6740" spans="13:16">
      <c r="M6740">
        <v>0.28829887541976557</v>
      </c>
      <c r="N6740">
        <v>0.18300936789214001</v>
      </c>
      <c r="O6740">
        <v>0.26611653699202875</v>
      </c>
      <c r="P6740">
        <v>0.26257521969606562</v>
      </c>
    </row>
    <row r="6741" spans="13:16">
      <c r="M6741">
        <v>0.30050604431881639</v>
      </c>
      <c r="N6741">
        <v>0.17675213944154944</v>
      </c>
      <c r="O6741">
        <v>0.24323166529962012</v>
      </c>
      <c r="P6741">
        <v>0.27951015094001419</v>
      </c>
    </row>
    <row r="6742" spans="13:16">
      <c r="M6742">
        <v>0.28562970117226932</v>
      </c>
      <c r="N6742">
        <v>0.2053444949681803</v>
      </c>
      <c r="O6742">
        <v>0.22602914543443089</v>
      </c>
      <c r="P6742">
        <v>0.28299665842511951</v>
      </c>
    </row>
    <row r="6743" spans="13:16">
      <c r="M6743">
        <v>0.30759232888185417</v>
      </c>
      <c r="N6743">
        <v>0.19623685636494445</v>
      </c>
      <c r="O6743">
        <v>0.22816592720185169</v>
      </c>
      <c r="P6743">
        <v>0.26800488755134966</v>
      </c>
    </row>
    <row r="6744" spans="13:16">
      <c r="M6744">
        <v>0.28792958328544138</v>
      </c>
      <c r="N6744">
        <v>0.2001316088692314</v>
      </c>
      <c r="O6744">
        <v>0.24716203795246125</v>
      </c>
      <c r="P6744">
        <v>0.26477676989286597</v>
      </c>
    </row>
    <row r="6745" spans="13:16">
      <c r="M6745">
        <v>0.29332013187001588</v>
      </c>
      <c r="N6745">
        <v>0.17960926306237665</v>
      </c>
      <c r="O6745">
        <v>0.27624403946221493</v>
      </c>
      <c r="P6745">
        <v>0.25082656560539246</v>
      </c>
    </row>
    <row r="6746" spans="13:16">
      <c r="M6746">
        <v>0.26425273230042701</v>
      </c>
      <c r="N6746">
        <v>0.19976133986463498</v>
      </c>
      <c r="O6746">
        <v>0.27150761616947383</v>
      </c>
      <c r="P6746">
        <v>0.26447831166546421</v>
      </c>
    </row>
    <row r="6747" spans="13:16">
      <c r="M6747">
        <v>0.31637774900474058</v>
      </c>
      <c r="N6747">
        <v>0.17256018212648011</v>
      </c>
      <c r="O6747">
        <v>0.24325197311167937</v>
      </c>
      <c r="P6747">
        <v>0.26781009575709996</v>
      </c>
    </row>
    <row r="6748" spans="13:16">
      <c r="M6748">
        <v>0.29215166145175336</v>
      </c>
      <c r="N6748">
        <v>0.18847436392486305</v>
      </c>
      <c r="O6748">
        <v>0.25706153131126303</v>
      </c>
      <c r="P6748">
        <v>0.26231244331212056</v>
      </c>
    </row>
    <row r="6749" spans="13:16">
      <c r="M6749">
        <v>0.26158679036584731</v>
      </c>
      <c r="N6749">
        <v>0.18713427576527852</v>
      </c>
      <c r="O6749">
        <v>0.2892633036443864</v>
      </c>
      <c r="P6749">
        <v>0.26201563022448787</v>
      </c>
    </row>
    <row r="6750" spans="13:16">
      <c r="M6750">
        <v>0.28775316949409246</v>
      </c>
      <c r="N6750">
        <v>0.18937745406905693</v>
      </c>
      <c r="O6750">
        <v>0.24056706504940811</v>
      </c>
      <c r="P6750">
        <v>0.28230231138744249</v>
      </c>
    </row>
    <row r="6751" spans="13:16">
      <c r="M6751">
        <v>0.27398545979733463</v>
      </c>
      <c r="N6751">
        <v>0.18769986524956569</v>
      </c>
      <c r="O6751">
        <v>0.27541944152652026</v>
      </c>
      <c r="P6751">
        <v>0.26289523342657939</v>
      </c>
    </row>
    <row r="6752" spans="13:16">
      <c r="M6752">
        <v>0.28893145570489315</v>
      </c>
      <c r="N6752">
        <v>0.20522628844604429</v>
      </c>
      <c r="O6752">
        <v>0.24096033130142186</v>
      </c>
      <c r="P6752">
        <v>0.26488192454764076</v>
      </c>
    </row>
    <row r="6753" spans="13:16">
      <c r="M6753">
        <v>0.28167775432343872</v>
      </c>
      <c r="N6753">
        <v>0.17957767999989721</v>
      </c>
      <c r="O6753">
        <v>0.28812406686111192</v>
      </c>
      <c r="P6753">
        <v>0.25062049881555215</v>
      </c>
    </row>
    <row r="6754" spans="13:16">
      <c r="M6754">
        <v>0.27853480987144374</v>
      </c>
      <c r="N6754">
        <v>0.18787333637312439</v>
      </c>
      <c r="O6754">
        <v>0.27901082018861889</v>
      </c>
      <c r="P6754">
        <v>0.254581033566813</v>
      </c>
    </row>
    <row r="6755" spans="13:16">
      <c r="M6755">
        <v>0.27902182958459504</v>
      </c>
      <c r="N6755">
        <v>0.19835989438471036</v>
      </c>
      <c r="O6755">
        <v>0.24689479091477506</v>
      </c>
      <c r="P6755">
        <v>0.2757234851159196</v>
      </c>
    </row>
    <row r="6756" spans="13:16">
      <c r="M6756">
        <v>0.31211019671785939</v>
      </c>
      <c r="N6756">
        <v>0.16912427270078539</v>
      </c>
      <c r="O6756">
        <v>0.26543073342750295</v>
      </c>
      <c r="P6756">
        <v>0.25333479715385238</v>
      </c>
    </row>
    <row r="6757" spans="13:16">
      <c r="M6757">
        <v>0.30497750008713764</v>
      </c>
      <c r="N6757">
        <v>0.17452333471374637</v>
      </c>
      <c r="O6757">
        <v>0.26258735309823156</v>
      </c>
      <c r="P6757">
        <v>0.25791181210088443</v>
      </c>
    </row>
    <row r="6758" spans="13:16">
      <c r="M6758">
        <v>0.28118185178346772</v>
      </c>
      <c r="N6758">
        <v>0.18157763949783715</v>
      </c>
      <c r="O6758">
        <v>0.28719378504059434</v>
      </c>
      <c r="P6758">
        <v>0.25004672367810071</v>
      </c>
    </row>
    <row r="6759" spans="13:16">
      <c r="M6759">
        <v>0.27563387633396075</v>
      </c>
      <c r="N6759">
        <v>0.18281967638238389</v>
      </c>
      <c r="O6759">
        <v>0.28922619784171966</v>
      </c>
      <c r="P6759">
        <v>0.25232024944193571</v>
      </c>
    </row>
    <row r="6760" spans="13:16">
      <c r="M6760">
        <v>0.28958344639868333</v>
      </c>
      <c r="N6760">
        <v>0.20197676204745393</v>
      </c>
      <c r="O6760">
        <v>0.24402029205399151</v>
      </c>
      <c r="P6760">
        <v>0.26441949949987131</v>
      </c>
    </row>
    <row r="6761" spans="13:16">
      <c r="M6761">
        <v>0.28482123548273242</v>
      </c>
      <c r="N6761">
        <v>0.17592926779641249</v>
      </c>
      <c r="O6761">
        <v>0.27269694904702796</v>
      </c>
      <c r="P6761">
        <v>0.26655254767382713</v>
      </c>
    </row>
    <row r="6762" spans="13:16">
      <c r="M6762">
        <v>0.31488842276538098</v>
      </c>
      <c r="N6762">
        <v>0.16970243359532519</v>
      </c>
      <c r="O6762">
        <v>0.2535277219193674</v>
      </c>
      <c r="P6762">
        <v>0.26188142171992645</v>
      </c>
    </row>
    <row r="6763" spans="13:16">
      <c r="M6763">
        <v>0.30266256693157889</v>
      </c>
      <c r="N6763">
        <v>0.16460732295835864</v>
      </c>
      <c r="O6763">
        <v>0.28698580583341154</v>
      </c>
      <c r="P6763">
        <v>0.24574430427665089</v>
      </c>
    </row>
    <row r="6764" spans="13:16">
      <c r="M6764">
        <v>0.29456372146280263</v>
      </c>
      <c r="N6764">
        <v>0.20172621345335401</v>
      </c>
      <c r="O6764">
        <v>0.22626172115151019</v>
      </c>
      <c r="P6764">
        <v>0.27744834393233314</v>
      </c>
    </row>
    <row r="6765" spans="13:16">
      <c r="M6765">
        <v>0.28841427869698988</v>
      </c>
      <c r="N6765">
        <v>0.19677454711470319</v>
      </c>
      <c r="O6765">
        <v>0.25840259589739611</v>
      </c>
      <c r="P6765">
        <v>0.25640857829091074</v>
      </c>
    </row>
    <row r="6766" spans="13:16">
      <c r="M6766">
        <v>0.28283073588392499</v>
      </c>
      <c r="N6766">
        <v>0.1790530229845933</v>
      </c>
      <c r="O6766">
        <v>0.25631926458619286</v>
      </c>
      <c r="P6766">
        <v>0.28179697654528879</v>
      </c>
    </row>
    <row r="6767" spans="13:16">
      <c r="M6767">
        <v>0.3108253620794923</v>
      </c>
      <c r="N6767">
        <v>0.17600225881146583</v>
      </c>
      <c r="O6767">
        <v>0.25868502970787483</v>
      </c>
      <c r="P6767">
        <v>0.25448734940116696</v>
      </c>
    </row>
    <row r="6768" spans="13:16">
      <c r="M6768">
        <v>0.28578527456417069</v>
      </c>
      <c r="N6768">
        <v>0.17681903581711012</v>
      </c>
      <c r="O6768">
        <v>0.28621382850748928</v>
      </c>
      <c r="P6768">
        <v>0.25118186111122992</v>
      </c>
    </row>
    <row r="6769" spans="13:16">
      <c r="M6769">
        <v>0.30144407118699573</v>
      </c>
      <c r="N6769">
        <v>0.17989512903789956</v>
      </c>
      <c r="O6769">
        <v>0.24357587961786994</v>
      </c>
      <c r="P6769">
        <v>0.27508492015723479</v>
      </c>
    </row>
    <row r="6770" spans="13:16">
      <c r="M6770">
        <v>0.29640545753079622</v>
      </c>
      <c r="N6770">
        <v>0.18025739692054302</v>
      </c>
      <c r="O6770">
        <v>0.2603727468900337</v>
      </c>
      <c r="P6770">
        <v>0.26296439865862697</v>
      </c>
    </row>
    <row r="6771" spans="13:16">
      <c r="M6771">
        <v>0.29585303280301817</v>
      </c>
      <c r="N6771">
        <v>0.17882462253500667</v>
      </c>
      <c r="O6771">
        <v>0.27844379636814631</v>
      </c>
      <c r="P6771">
        <v>0.24687854829382866</v>
      </c>
    </row>
    <row r="6772" spans="13:16">
      <c r="M6772">
        <v>0.30685299889275436</v>
      </c>
      <c r="N6772">
        <v>0.18370771865382013</v>
      </c>
      <c r="O6772">
        <v>0.25635388786333607</v>
      </c>
      <c r="P6772">
        <v>0.25308539459008955</v>
      </c>
    </row>
    <row r="6773" spans="13:16">
      <c r="M6773">
        <v>0.27486238382066203</v>
      </c>
      <c r="N6773">
        <v>0.21166297088367644</v>
      </c>
      <c r="O6773">
        <v>0.23927185508840679</v>
      </c>
      <c r="P6773">
        <v>0.27420279020725474</v>
      </c>
    </row>
    <row r="6774" spans="13:16">
      <c r="M6774">
        <v>0.29285707786112497</v>
      </c>
      <c r="N6774">
        <v>0.16875222600325873</v>
      </c>
      <c r="O6774">
        <v>0.28713697526273152</v>
      </c>
      <c r="P6774">
        <v>0.25125372087288483</v>
      </c>
    </row>
    <row r="6775" spans="13:16">
      <c r="M6775">
        <v>0.30206599364637382</v>
      </c>
      <c r="N6775">
        <v>0.18313489416052853</v>
      </c>
      <c r="O6775">
        <v>0.26122937124995416</v>
      </c>
      <c r="P6775">
        <v>0.25356974094314344</v>
      </c>
    </row>
    <row r="6776" spans="13:16">
      <c r="M6776">
        <v>0.28879750087527595</v>
      </c>
      <c r="N6776">
        <v>0.18457872054153282</v>
      </c>
      <c r="O6776">
        <v>0.28673943137172753</v>
      </c>
      <c r="P6776">
        <v>0.23988434721146373</v>
      </c>
    </row>
    <row r="6777" spans="13:16">
      <c r="M6777">
        <v>0.30125009179999768</v>
      </c>
      <c r="N6777">
        <v>0.18322624598747231</v>
      </c>
      <c r="O6777">
        <v>0.2510389388805227</v>
      </c>
      <c r="P6777">
        <v>0.26448472333200745</v>
      </c>
    </row>
    <row r="6778" spans="13:16">
      <c r="M6778">
        <v>0.27368572962021381</v>
      </c>
      <c r="N6778">
        <v>0.17732301659559907</v>
      </c>
      <c r="O6778">
        <v>0.28014933674080544</v>
      </c>
      <c r="P6778">
        <v>0.26884191704338167</v>
      </c>
    </row>
    <row r="6779" spans="13:16">
      <c r="M6779">
        <v>0.30760438380420996</v>
      </c>
      <c r="N6779">
        <v>0.16449642385056681</v>
      </c>
      <c r="O6779">
        <v>0.28523030147528311</v>
      </c>
      <c r="P6779">
        <v>0.24266889086994017</v>
      </c>
    </row>
    <row r="6780" spans="13:16">
      <c r="M6780">
        <v>0.29113348237076603</v>
      </c>
      <c r="N6780">
        <v>0.19434481725719949</v>
      </c>
      <c r="O6780">
        <v>0.2344101615681734</v>
      </c>
      <c r="P6780">
        <v>0.28011153880386114</v>
      </c>
    </row>
    <row r="6781" spans="13:16">
      <c r="M6781">
        <v>0.29513982298462205</v>
      </c>
      <c r="N6781">
        <v>0.19782850015588102</v>
      </c>
      <c r="O6781">
        <v>0.23868260784467357</v>
      </c>
      <c r="P6781">
        <v>0.26834906901482336</v>
      </c>
    </row>
    <row r="6782" spans="13:16">
      <c r="M6782">
        <v>0.28609004817883926</v>
      </c>
      <c r="N6782">
        <v>0.19993184744588929</v>
      </c>
      <c r="O6782">
        <v>0.2445224648898712</v>
      </c>
      <c r="P6782">
        <v>0.26945563948540024</v>
      </c>
    </row>
    <row r="6783" spans="13:16">
      <c r="M6783">
        <v>0.31285439163222933</v>
      </c>
      <c r="N6783">
        <v>0.19403226367711399</v>
      </c>
      <c r="O6783">
        <v>0.23641005289564695</v>
      </c>
      <c r="P6783">
        <v>0.25670329179500978</v>
      </c>
    </row>
    <row r="6784" spans="13:16">
      <c r="M6784">
        <v>0.3103070203176474</v>
      </c>
      <c r="N6784">
        <v>0.18050142764083563</v>
      </c>
      <c r="O6784">
        <v>0.24201907677595819</v>
      </c>
      <c r="P6784">
        <v>0.26717247526555876</v>
      </c>
    </row>
    <row r="6785" spans="13:16">
      <c r="M6785">
        <v>0.29491141893952505</v>
      </c>
      <c r="N6785">
        <v>0.17361362475817371</v>
      </c>
      <c r="O6785">
        <v>0.26577909502397834</v>
      </c>
      <c r="P6785">
        <v>0.26569586127832301</v>
      </c>
    </row>
    <row r="6786" spans="13:16">
      <c r="M6786">
        <v>0.27907244865308778</v>
      </c>
      <c r="N6786">
        <v>0.18742642679501839</v>
      </c>
      <c r="O6786">
        <v>0.28620141807716604</v>
      </c>
      <c r="P6786">
        <v>0.24729970647472774</v>
      </c>
    </row>
    <row r="6787" spans="13:16">
      <c r="M6787">
        <v>0.29603868655165771</v>
      </c>
      <c r="N6787">
        <v>0.17587292983972339</v>
      </c>
      <c r="O6787">
        <v>0.25087132370659554</v>
      </c>
      <c r="P6787">
        <v>0.2772170599020235</v>
      </c>
    </row>
    <row r="6788" spans="13:16">
      <c r="M6788">
        <v>0.29246335918346816</v>
      </c>
      <c r="N6788">
        <v>0.16160567829790778</v>
      </c>
      <c r="O6788">
        <v>0.29992983225925257</v>
      </c>
      <c r="P6788">
        <v>0.24600113025937143</v>
      </c>
    </row>
    <row r="6789" spans="13:16">
      <c r="M6789">
        <v>0.29720577378968238</v>
      </c>
      <c r="N6789">
        <v>0.18038834502412426</v>
      </c>
      <c r="O6789">
        <v>0.26214574406440655</v>
      </c>
      <c r="P6789">
        <v>0.26026013712178675</v>
      </c>
    </row>
    <row r="6790" spans="13:16">
      <c r="M6790">
        <v>0.30956868654530922</v>
      </c>
      <c r="N6790">
        <v>0.20249338799511016</v>
      </c>
      <c r="O6790">
        <v>0.22128625705393196</v>
      </c>
      <c r="P6790">
        <v>0.26665166840564875</v>
      </c>
    </row>
    <row r="6791" spans="13:16">
      <c r="M6791">
        <v>0.27474184011905894</v>
      </c>
      <c r="N6791">
        <v>0.18552793201595769</v>
      </c>
      <c r="O6791">
        <v>0.26355457363195689</v>
      </c>
      <c r="P6791">
        <v>0.27617565423302648</v>
      </c>
    </row>
    <row r="6792" spans="13:16">
      <c r="M6792">
        <v>0.28557921830934285</v>
      </c>
      <c r="N6792">
        <v>0.17303377108920262</v>
      </c>
      <c r="O6792">
        <v>0.28283117900944832</v>
      </c>
      <c r="P6792">
        <v>0.25855583159200629</v>
      </c>
    </row>
    <row r="6793" spans="13:16">
      <c r="M6793">
        <v>0.27018986923573818</v>
      </c>
      <c r="N6793">
        <v>0.18172725218465333</v>
      </c>
      <c r="O6793">
        <v>0.28448424394564858</v>
      </c>
      <c r="P6793">
        <v>0.26359863463395994</v>
      </c>
    </row>
    <row r="6794" spans="13:16">
      <c r="M6794">
        <v>0.26789395099669788</v>
      </c>
      <c r="N6794">
        <v>0.17483051881066997</v>
      </c>
      <c r="O6794">
        <v>0.29352071807464264</v>
      </c>
      <c r="P6794">
        <v>0.26375481211798946</v>
      </c>
    </row>
    <row r="6795" spans="13:16">
      <c r="M6795">
        <v>0.30613253715715766</v>
      </c>
      <c r="N6795">
        <v>0.17374375860243405</v>
      </c>
      <c r="O6795">
        <v>0.26616331347434907</v>
      </c>
      <c r="P6795">
        <v>0.25396039076605914</v>
      </c>
    </row>
    <row r="6796" spans="13:16">
      <c r="M6796">
        <v>0.29400934362472425</v>
      </c>
      <c r="N6796">
        <v>0.17610794095335242</v>
      </c>
      <c r="O6796">
        <v>0.27329120034548787</v>
      </c>
      <c r="P6796">
        <v>0.25659151507643546</v>
      </c>
    </row>
    <row r="6797" spans="13:16">
      <c r="M6797">
        <v>0.2864145342031037</v>
      </c>
      <c r="N6797">
        <v>0.18131852074112537</v>
      </c>
      <c r="O6797">
        <v>0.25849174889239973</v>
      </c>
      <c r="P6797">
        <v>0.27377519616337115</v>
      </c>
    </row>
    <row r="6798" spans="13:16">
      <c r="M6798">
        <v>0.28126362427207352</v>
      </c>
      <c r="N6798">
        <v>0.1701688294227221</v>
      </c>
      <c r="O6798">
        <v>0.29564115933093926</v>
      </c>
      <c r="P6798">
        <v>0.25292638697426501</v>
      </c>
    </row>
    <row r="6799" spans="13:16">
      <c r="M6799">
        <v>0.27478441603447068</v>
      </c>
      <c r="N6799">
        <v>0.18598219100878871</v>
      </c>
      <c r="O6799">
        <v>0.25480292644667313</v>
      </c>
      <c r="P6799">
        <v>0.28443046651006748</v>
      </c>
    </row>
    <row r="6800" spans="13:16">
      <c r="M6800">
        <v>0.27761030740811565</v>
      </c>
      <c r="N6800">
        <v>0.19595216391305678</v>
      </c>
      <c r="O6800">
        <v>0.25353180101146067</v>
      </c>
      <c r="P6800">
        <v>0.27290572766736693</v>
      </c>
    </row>
    <row r="6801" spans="13:16">
      <c r="M6801">
        <v>0.28272059153982748</v>
      </c>
      <c r="N6801">
        <v>0.19842347546940475</v>
      </c>
      <c r="O6801">
        <v>0.24302055178093251</v>
      </c>
      <c r="P6801">
        <v>0.2758353812098352</v>
      </c>
    </row>
    <row r="6802" spans="13:16">
      <c r="M6802">
        <v>0.26445382309095045</v>
      </c>
      <c r="N6802">
        <v>0.18095823252642018</v>
      </c>
      <c r="O6802">
        <v>0.29195987036705245</v>
      </c>
      <c r="P6802">
        <v>0.26262807401557692</v>
      </c>
    </row>
    <row r="6803" spans="13:16">
      <c r="M6803">
        <v>0.291275302822119</v>
      </c>
      <c r="N6803">
        <v>0.17830000077373756</v>
      </c>
      <c r="O6803">
        <v>0.26958777490378744</v>
      </c>
      <c r="P6803">
        <v>0.26083692150035592</v>
      </c>
    </row>
    <row r="6804" spans="13:16">
      <c r="M6804">
        <v>0.28268369255080872</v>
      </c>
      <c r="N6804">
        <v>0.20126373210258824</v>
      </c>
      <c r="O6804">
        <v>0.23666854821812364</v>
      </c>
      <c r="P6804">
        <v>0.27938402712847943</v>
      </c>
    </row>
    <row r="6805" spans="13:16">
      <c r="M6805">
        <v>0.31464575994623045</v>
      </c>
      <c r="N6805">
        <v>0.183382312426498</v>
      </c>
      <c r="O6805">
        <v>0.24370765868032251</v>
      </c>
      <c r="P6805">
        <v>0.25826426894694898</v>
      </c>
    </row>
    <row r="6806" spans="13:16">
      <c r="M6806">
        <v>0.28120738415775864</v>
      </c>
      <c r="N6806">
        <v>0.18828292786297046</v>
      </c>
      <c r="O6806">
        <v>0.26258378015772094</v>
      </c>
      <c r="P6806">
        <v>0.26792590782155001</v>
      </c>
    </row>
    <row r="6807" spans="13:16">
      <c r="M6807">
        <v>0.27982869322010784</v>
      </c>
      <c r="N6807">
        <v>0.20271242319719243</v>
      </c>
      <c r="O6807">
        <v>0.2562125432960255</v>
      </c>
      <c r="P6807">
        <v>0.26124634028667421</v>
      </c>
    </row>
    <row r="6808" spans="13:16">
      <c r="M6808">
        <v>0.29280224629917734</v>
      </c>
      <c r="N6808">
        <v>0.19254332367351401</v>
      </c>
      <c r="O6808">
        <v>0.25733733852704688</v>
      </c>
      <c r="P6808">
        <v>0.25731709150026161</v>
      </c>
    </row>
    <row r="6809" spans="13:16">
      <c r="M6809">
        <v>0.31422664246583709</v>
      </c>
      <c r="N6809">
        <v>0.17553153032523347</v>
      </c>
      <c r="O6809">
        <v>0.25104557621221885</v>
      </c>
      <c r="P6809">
        <v>0.25919625099671056</v>
      </c>
    </row>
    <row r="6810" spans="13:16">
      <c r="M6810">
        <v>0.28663481768123716</v>
      </c>
      <c r="N6810">
        <v>0.18742010581589139</v>
      </c>
      <c r="O6810">
        <v>0.27477841457967322</v>
      </c>
      <c r="P6810">
        <v>0.2511666619231982</v>
      </c>
    </row>
    <row r="6811" spans="13:16">
      <c r="M6811">
        <v>0.30224770836689913</v>
      </c>
      <c r="N6811">
        <v>0.18404361116687828</v>
      </c>
      <c r="O6811">
        <v>0.24668909728171998</v>
      </c>
      <c r="P6811">
        <v>0.2670195831845027</v>
      </c>
    </row>
    <row r="6812" spans="13:16">
      <c r="M6812">
        <v>0.29423605213429832</v>
      </c>
      <c r="N6812">
        <v>0.16977567339291039</v>
      </c>
      <c r="O6812">
        <v>0.26917749748483644</v>
      </c>
      <c r="P6812">
        <v>0.2668107769879548</v>
      </c>
    </row>
    <row r="6813" spans="13:16">
      <c r="M6813">
        <v>0.28957306598576166</v>
      </c>
      <c r="N6813">
        <v>0.19666195564564115</v>
      </c>
      <c r="O6813">
        <v>0.25180890515858839</v>
      </c>
      <c r="P6813">
        <v>0.26195607321000874</v>
      </c>
    </row>
    <row r="6814" spans="13:16">
      <c r="M6814">
        <v>0.30435616569803287</v>
      </c>
      <c r="N6814">
        <v>0.18468654628625353</v>
      </c>
      <c r="O6814">
        <v>0.25099609840363657</v>
      </c>
      <c r="P6814">
        <v>0.25996118961207709</v>
      </c>
    </row>
    <row r="6815" spans="13:16">
      <c r="M6815">
        <v>0.27291163125869755</v>
      </c>
      <c r="N6815">
        <v>0.19994749984421561</v>
      </c>
      <c r="O6815">
        <v>0.26595064696252413</v>
      </c>
      <c r="P6815">
        <v>0.26119022193456271</v>
      </c>
    </row>
    <row r="6816" spans="13:16">
      <c r="M6816">
        <v>0.31921255118332192</v>
      </c>
      <c r="N6816">
        <v>0.17433257432567073</v>
      </c>
      <c r="O6816">
        <v>0.24789868913294597</v>
      </c>
      <c r="P6816">
        <v>0.25855618535806146</v>
      </c>
    </row>
    <row r="6817" spans="13:16">
      <c r="M6817">
        <v>0.28369335196813195</v>
      </c>
      <c r="N6817">
        <v>0.20335327688433019</v>
      </c>
      <c r="O6817">
        <v>0.22441549996365587</v>
      </c>
      <c r="P6817">
        <v>0.28853787118388197</v>
      </c>
    </row>
    <row r="6818" spans="13:16">
      <c r="M6818">
        <v>0.31506726965332271</v>
      </c>
      <c r="N6818">
        <v>0.17254507029084681</v>
      </c>
      <c r="O6818">
        <v>0.24403864037301493</v>
      </c>
      <c r="P6818">
        <v>0.26834901968281549</v>
      </c>
    </row>
    <row r="6819" spans="13:16">
      <c r="M6819">
        <v>0.29707859830997008</v>
      </c>
      <c r="N6819">
        <v>0.16337144006421278</v>
      </c>
      <c r="O6819">
        <v>0.29012428530700918</v>
      </c>
      <c r="P6819">
        <v>0.2494256763188078</v>
      </c>
    </row>
    <row r="6820" spans="13:16">
      <c r="M6820">
        <v>0.30660947625061413</v>
      </c>
      <c r="N6820">
        <v>0.16748253042478684</v>
      </c>
      <c r="O6820">
        <v>0.27155420701233124</v>
      </c>
      <c r="P6820">
        <v>0.25435378631226763</v>
      </c>
    </row>
    <row r="6821" spans="13:16">
      <c r="M6821">
        <v>0.2898776136018914</v>
      </c>
      <c r="N6821">
        <v>0.19903862881017839</v>
      </c>
      <c r="O6821">
        <v>0.2569027638668071</v>
      </c>
      <c r="P6821">
        <v>0.25418099372112307</v>
      </c>
    </row>
    <row r="6822" spans="13:16">
      <c r="M6822">
        <v>0.2739968533396106</v>
      </c>
      <c r="N6822">
        <v>0.18809253965308056</v>
      </c>
      <c r="O6822">
        <v>0.25878456499094976</v>
      </c>
      <c r="P6822">
        <v>0.2791260420163591</v>
      </c>
    </row>
    <row r="6823" spans="13:16">
      <c r="M6823">
        <v>0.29506344683763019</v>
      </c>
      <c r="N6823">
        <v>0.20092850125793915</v>
      </c>
      <c r="O6823">
        <v>0.2412165942574967</v>
      </c>
      <c r="P6823">
        <v>0.2627914576469339</v>
      </c>
    </row>
    <row r="6824" spans="13:16">
      <c r="M6824">
        <v>0.30951050949643821</v>
      </c>
      <c r="N6824">
        <v>0.18797866495714757</v>
      </c>
      <c r="O6824">
        <v>0.24269239690243924</v>
      </c>
      <c r="P6824">
        <v>0.25981842864397492</v>
      </c>
    </row>
    <row r="6825" spans="13:16">
      <c r="M6825">
        <v>0.29298594678870055</v>
      </c>
      <c r="N6825">
        <v>0.18660374408546937</v>
      </c>
      <c r="O6825">
        <v>0.25006927722720895</v>
      </c>
      <c r="P6825">
        <v>0.27034103189862119</v>
      </c>
    </row>
    <row r="6826" spans="13:16">
      <c r="M6826">
        <v>0.27811552945552476</v>
      </c>
      <c r="N6826">
        <v>0.19327535346175737</v>
      </c>
      <c r="O6826">
        <v>0.28146691717936945</v>
      </c>
      <c r="P6826">
        <v>0.24714219990334849</v>
      </c>
    </row>
    <row r="6827" spans="13:16">
      <c r="M6827">
        <v>0.29128348497176504</v>
      </c>
      <c r="N6827">
        <v>0.17840096101466729</v>
      </c>
      <c r="O6827">
        <v>0.27222173562296925</v>
      </c>
      <c r="P6827">
        <v>0.25809381839059853</v>
      </c>
    </row>
    <row r="6828" spans="13:16">
      <c r="M6828">
        <v>0.28123770923061164</v>
      </c>
      <c r="N6828">
        <v>0.17471734492175581</v>
      </c>
      <c r="O6828">
        <v>0.2831317920589192</v>
      </c>
      <c r="P6828">
        <v>0.26091315378871344</v>
      </c>
    </row>
    <row r="6829" spans="13:16">
      <c r="M6829">
        <v>0.3380280540596477</v>
      </c>
      <c r="N6829">
        <v>0.17480537491576736</v>
      </c>
      <c r="O6829">
        <v>0.22094852342181495</v>
      </c>
      <c r="P6829">
        <v>0.2662180476027699</v>
      </c>
    </row>
    <row r="6830" spans="13:16">
      <c r="M6830">
        <v>0.28164653593652234</v>
      </c>
      <c r="N6830">
        <v>0.18553907681557594</v>
      </c>
      <c r="O6830">
        <v>0.26881029861734507</v>
      </c>
      <c r="P6830">
        <v>0.26400408863055663</v>
      </c>
    </row>
    <row r="6831" spans="13:16">
      <c r="M6831">
        <v>0.27097522789059736</v>
      </c>
      <c r="N6831">
        <v>0.21122344206341218</v>
      </c>
      <c r="O6831">
        <v>0.25372514342287927</v>
      </c>
      <c r="P6831">
        <v>0.26407618662311111</v>
      </c>
    </row>
    <row r="6832" spans="13:16">
      <c r="M6832">
        <v>0.2804049073528016</v>
      </c>
      <c r="N6832">
        <v>0.19570781260678916</v>
      </c>
      <c r="O6832">
        <v>0.27206266080061664</v>
      </c>
      <c r="P6832">
        <v>0.25182461923979244</v>
      </c>
    </row>
    <row r="6833" spans="13:16">
      <c r="M6833">
        <v>0.29255353363586201</v>
      </c>
      <c r="N6833">
        <v>0.18673036908551846</v>
      </c>
      <c r="O6833">
        <v>0.24359501880650092</v>
      </c>
      <c r="P6833">
        <v>0.27712107847211875</v>
      </c>
    </row>
    <row r="6834" spans="13:16">
      <c r="M6834">
        <v>0.30601225974459717</v>
      </c>
      <c r="N6834">
        <v>0.1856315781471754</v>
      </c>
      <c r="O6834">
        <v>0.25344567574731608</v>
      </c>
      <c r="P6834">
        <v>0.25491048636091135</v>
      </c>
    </row>
    <row r="6835" spans="13:16">
      <c r="M6835">
        <v>0.28084839287113811</v>
      </c>
      <c r="N6835">
        <v>0.19871378679823037</v>
      </c>
      <c r="O6835">
        <v>0.24258487623869066</v>
      </c>
      <c r="P6835">
        <v>0.277852944091941</v>
      </c>
    </row>
    <row r="6836" spans="13:16">
      <c r="M6836">
        <v>0.29011929893058885</v>
      </c>
      <c r="N6836">
        <v>0.17498844200334854</v>
      </c>
      <c r="O6836">
        <v>0.26413843909683199</v>
      </c>
      <c r="P6836">
        <v>0.27075381996923054</v>
      </c>
    </row>
    <row r="6837" spans="13:16">
      <c r="M6837">
        <v>0.2824004532013607</v>
      </c>
      <c r="N6837">
        <v>0.18111253183392395</v>
      </c>
      <c r="O6837">
        <v>0.26429952316058125</v>
      </c>
      <c r="P6837">
        <v>0.2721874918041341</v>
      </c>
    </row>
    <row r="6838" spans="13:16">
      <c r="M6838">
        <v>0.29210219691162131</v>
      </c>
      <c r="N6838">
        <v>0.16941753405967092</v>
      </c>
      <c r="O6838">
        <v>0.27984507334390124</v>
      </c>
      <c r="P6838">
        <v>0.25863519568480642</v>
      </c>
    </row>
    <row r="6839" spans="13:16">
      <c r="M6839">
        <v>0.25640281256773528</v>
      </c>
      <c r="N6839">
        <v>0.18617661619566947</v>
      </c>
      <c r="O6839">
        <v>0.30144257550361303</v>
      </c>
      <c r="P6839">
        <v>0.25597799573298224</v>
      </c>
    </row>
    <row r="6840" spans="13:16">
      <c r="M6840">
        <v>0.29057103478454543</v>
      </c>
      <c r="N6840">
        <v>0.17749109132715152</v>
      </c>
      <c r="O6840">
        <v>0.27586903842740917</v>
      </c>
      <c r="P6840">
        <v>0.25606883546089398</v>
      </c>
    </row>
    <row r="6841" spans="13:16">
      <c r="M6841">
        <v>0.30959797806342843</v>
      </c>
      <c r="N6841">
        <v>0.17769371551208576</v>
      </c>
      <c r="O6841">
        <v>0.25142994105329275</v>
      </c>
      <c r="P6841">
        <v>0.26127836537119314</v>
      </c>
    </row>
    <row r="6842" spans="13:16">
      <c r="M6842">
        <v>0.28685017943027613</v>
      </c>
      <c r="N6842">
        <v>0.16634710882317205</v>
      </c>
      <c r="O6842">
        <v>0.30247515936615899</v>
      </c>
      <c r="P6842">
        <v>0.24432755238039272</v>
      </c>
    </row>
    <row r="6843" spans="13:16">
      <c r="M6843">
        <v>0.30414992826799209</v>
      </c>
      <c r="N6843">
        <v>0.18867569286235525</v>
      </c>
      <c r="O6843">
        <v>0.22565170221069933</v>
      </c>
      <c r="P6843">
        <v>0.28152267665895336</v>
      </c>
    </row>
    <row r="6844" spans="13:16">
      <c r="M6844">
        <v>0.3152819993062187</v>
      </c>
      <c r="N6844">
        <v>0.18581325646590702</v>
      </c>
      <c r="O6844">
        <v>0.23227262199045207</v>
      </c>
      <c r="P6844">
        <v>0.26663212223742228</v>
      </c>
    </row>
    <row r="6845" spans="13:16">
      <c r="M6845">
        <v>0.32655728985450311</v>
      </c>
      <c r="N6845">
        <v>0.19349874451643459</v>
      </c>
      <c r="O6845">
        <v>0.22085117453746603</v>
      </c>
      <c r="P6845">
        <v>0.25909279109159622</v>
      </c>
    </row>
    <row r="6846" spans="13:16">
      <c r="M6846">
        <v>0.29167591224544676</v>
      </c>
      <c r="N6846">
        <v>0.18711541819144575</v>
      </c>
      <c r="O6846">
        <v>0.26720793281632382</v>
      </c>
      <c r="P6846">
        <v>0.25400073674678364</v>
      </c>
    </row>
    <row r="6847" spans="13:16">
      <c r="M6847">
        <v>0.28884063718519964</v>
      </c>
      <c r="N6847">
        <v>0.18305581468534637</v>
      </c>
      <c r="O6847">
        <v>0.24865697826447999</v>
      </c>
      <c r="P6847">
        <v>0.27944656986497396</v>
      </c>
    </row>
    <row r="6848" spans="13:16">
      <c r="M6848">
        <v>0.31486808338022443</v>
      </c>
      <c r="N6848">
        <v>0.18559654117737812</v>
      </c>
      <c r="O6848">
        <v>0.22596537627881175</v>
      </c>
      <c r="P6848">
        <v>0.27356999916358571</v>
      </c>
    </row>
    <row r="6849" spans="13:16">
      <c r="M6849">
        <v>0.32425222894820366</v>
      </c>
      <c r="N6849">
        <v>0.16513437903080228</v>
      </c>
      <c r="O6849">
        <v>0.25948863393368871</v>
      </c>
      <c r="P6849">
        <v>0.25112475808730556</v>
      </c>
    </row>
    <row r="6850" spans="13:16">
      <c r="M6850">
        <v>0.27985991120061715</v>
      </c>
      <c r="N6850">
        <v>0.21294976547115282</v>
      </c>
      <c r="O6850">
        <v>0.23216479538819992</v>
      </c>
      <c r="P6850">
        <v>0.27502552794003005</v>
      </c>
    </row>
    <row r="6851" spans="13:16">
      <c r="M6851">
        <v>0.30247431152825349</v>
      </c>
      <c r="N6851">
        <v>0.1836690138209314</v>
      </c>
      <c r="O6851">
        <v>0.25377176273956858</v>
      </c>
      <c r="P6851">
        <v>0.2600849119112465</v>
      </c>
    </row>
    <row r="6852" spans="13:16">
      <c r="M6852">
        <v>0.31488024272214638</v>
      </c>
      <c r="N6852">
        <v>0.18745955160081013</v>
      </c>
      <c r="O6852">
        <v>0.23458678128630639</v>
      </c>
      <c r="P6852">
        <v>0.26307342439073711</v>
      </c>
    </row>
    <row r="6853" spans="13:16">
      <c r="M6853">
        <v>0.28645562433087574</v>
      </c>
      <c r="N6853">
        <v>0.1894404395858644</v>
      </c>
      <c r="O6853">
        <v>0.25555903214527609</v>
      </c>
      <c r="P6853">
        <v>0.2685449039379838</v>
      </c>
    </row>
    <row r="6854" spans="13:16">
      <c r="M6854">
        <v>0.27214387691708736</v>
      </c>
      <c r="N6854">
        <v>0.21076774606624343</v>
      </c>
      <c r="O6854">
        <v>0.24194406889142525</v>
      </c>
      <c r="P6854">
        <v>0.27514430812524399</v>
      </c>
    </row>
    <row r="6855" spans="13:16">
      <c r="M6855">
        <v>0.27387321148235627</v>
      </c>
      <c r="N6855">
        <v>0.19369087438805813</v>
      </c>
      <c r="O6855">
        <v>0.27008681180072658</v>
      </c>
      <c r="P6855">
        <v>0.26234910232885922</v>
      </c>
    </row>
    <row r="6856" spans="13:16">
      <c r="M6856">
        <v>0.30034768393211697</v>
      </c>
      <c r="N6856">
        <v>0.1688649899129149</v>
      </c>
      <c r="O6856">
        <v>0.27509248683173254</v>
      </c>
      <c r="P6856">
        <v>0.25569483932323561</v>
      </c>
    </row>
    <row r="6857" spans="13:16">
      <c r="M6857">
        <v>0.28645548645074531</v>
      </c>
      <c r="N6857">
        <v>0.18127731155896973</v>
      </c>
      <c r="O6857">
        <v>0.26947434150108035</v>
      </c>
      <c r="P6857">
        <v>0.26279286048920453</v>
      </c>
    </row>
    <row r="6858" spans="13:16">
      <c r="M6858">
        <v>0.31419183978912363</v>
      </c>
      <c r="N6858">
        <v>0.18419944016640685</v>
      </c>
      <c r="O6858">
        <v>0.23326137163474991</v>
      </c>
      <c r="P6858">
        <v>0.26834734840971963</v>
      </c>
    </row>
    <row r="6859" spans="13:16">
      <c r="M6859">
        <v>0.31437721453150935</v>
      </c>
      <c r="N6859">
        <v>0.19067880205463664</v>
      </c>
      <c r="O6859">
        <v>0.23848835025455384</v>
      </c>
      <c r="P6859">
        <v>0.25645563315930009</v>
      </c>
    </row>
    <row r="6860" spans="13:16">
      <c r="M6860">
        <v>0.30420273558084948</v>
      </c>
      <c r="N6860">
        <v>0.19659873393761412</v>
      </c>
      <c r="O6860">
        <v>0.23603620459040789</v>
      </c>
      <c r="P6860">
        <v>0.26316232589112859</v>
      </c>
    </row>
    <row r="6861" spans="13:16">
      <c r="M6861">
        <v>0.30713449805730203</v>
      </c>
      <c r="N6861">
        <v>0.15825594245114982</v>
      </c>
      <c r="O6861">
        <v>0.29570764018336237</v>
      </c>
      <c r="P6861">
        <v>0.23890191930818583</v>
      </c>
    </row>
    <row r="6862" spans="13:16">
      <c r="M6862">
        <v>0.2691031207736122</v>
      </c>
      <c r="N6862">
        <v>0.1897319115942005</v>
      </c>
      <c r="O6862">
        <v>0.28397414274577071</v>
      </c>
      <c r="P6862">
        <v>0.25719082488641659</v>
      </c>
    </row>
    <row r="6863" spans="13:16">
      <c r="M6863">
        <v>0.28466988568880913</v>
      </c>
      <c r="N6863">
        <v>0.2001278161747283</v>
      </c>
      <c r="O6863">
        <v>0.25176448101968135</v>
      </c>
      <c r="P6863">
        <v>0.26343781711678133</v>
      </c>
    </row>
    <row r="6864" spans="13:16">
      <c r="M6864">
        <v>0.3183471207393746</v>
      </c>
      <c r="N6864">
        <v>0.18473998840623818</v>
      </c>
      <c r="O6864">
        <v>0.22888426638226081</v>
      </c>
      <c r="P6864">
        <v>0.26802862447212644</v>
      </c>
    </row>
    <row r="6865" spans="13:16">
      <c r="M6865">
        <v>0.31598678326215801</v>
      </c>
      <c r="N6865">
        <v>0.16835241242834065</v>
      </c>
      <c r="O6865">
        <v>0.26002206447494353</v>
      </c>
      <c r="P6865">
        <v>0.25563873983455787</v>
      </c>
    </row>
    <row r="6866" spans="13:16">
      <c r="M6866">
        <v>0.30045944067843994</v>
      </c>
      <c r="N6866">
        <v>0.17548230993598327</v>
      </c>
      <c r="O6866">
        <v>0.25869039294807633</v>
      </c>
      <c r="P6866">
        <v>0.26536785643750038</v>
      </c>
    </row>
    <row r="6867" spans="13:16">
      <c r="M6867">
        <v>0.2859434336371961</v>
      </c>
      <c r="N6867">
        <v>0.20198053234675914</v>
      </c>
      <c r="O6867">
        <v>0.24006110113677129</v>
      </c>
      <c r="P6867">
        <v>0.27201493287927347</v>
      </c>
    </row>
    <row r="6868" spans="13:16">
      <c r="M6868">
        <v>0.26882844552366003</v>
      </c>
      <c r="N6868">
        <v>0.19122903310715067</v>
      </c>
      <c r="O6868">
        <v>0.27900122940417671</v>
      </c>
      <c r="P6868">
        <v>0.26094129196501259</v>
      </c>
    </row>
    <row r="6869" spans="13:16">
      <c r="M6869">
        <v>0.31624340373265675</v>
      </c>
      <c r="N6869">
        <v>0.19010376165327991</v>
      </c>
      <c r="O6869">
        <v>0.23740028486128933</v>
      </c>
      <c r="P6869">
        <v>0.25625254975277412</v>
      </c>
    </row>
    <row r="6870" spans="13:16">
      <c r="M6870">
        <v>0.28443472981988194</v>
      </c>
      <c r="N6870">
        <v>0.18268607046683646</v>
      </c>
      <c r="O6870">
        <v>0.2631569260961602</v>
      </c>
      <c r="P6870">
        <v>0.26972227361712142</v>
      </c>
    </row>
    <row r="6871" spans="13:16">
      <c r="M6871">
        <v>0.27856156715230679</v>
      </c>
      <c r="N6871">
        <v>0.17906455541820493</v>
      </c>
      <c r="O6871">
        <v>0.29318248005608299</v>
      </c>
      <c r="P6871">
        <v>0.24919139737340523</v>
      </c>
    </row>
    <row r="6872" spans="13:16">
      <c r="M6872">
        <v>0.27446491336289269</v>
      </c>
      <c r="N6872">
        <v>0.20641474484624212</v>
      </c>
      <c r="O6872">
        <v>0.25586769631004247</v>
      </c>
      <c r="P6872">
        <v>0.26325264548082272</v>
      </c>
    </row>
    <row r="6873" spans="13:16">
      <c r="M6873">
        <v>0.29900806357279108</v>
      </c>
      <c r="N6873">
        <v>0.16439812662632086</v>
      </c>
      <c r="O6873">
        <v>0.29434179672631311</v>
      </c>
      <c r="P6873">
        <v>0.24225201307457489</v>
      </c>
    </row>
    <row r="6874" spans="13:16">
      <c r="M6874">
        <v>0.28705241972575468</v>
      </c>
      <c r="N6874">
        <v>0.19068014230094385</v>
      </c>
      <c r="O6874">
        <v>0.28195768530440624</v>
      </c>
      <c r="P6874">
        <v>0.24030975266889529</v>
      </c>
    </row>
    <row r="6875" spans="13:16">
      <c r="M6875">
        <v>0.2905405620329331</v>
      </c>
      <c r="N6875">
        <v>0.20040201417682432</v>
      </c>
      <c r="O6875">
        <v>0.25022029306241939</v>
      </c>
      <c r="P6875">
        <v>0.25883713072782322</v>
      </c>
    </row>
    <row r="6876" spans="13:16">
      <c r="M6876">
        <v>0.29958923192278974</v>
      </c>
      <c r="N6876">
        <v>0.18688631699600203</v>
      </c>
      <c r="O6876">
        <v>0.25325283580408808</v>
      </c>
      <c r="P6876">
        <v>0.26027161527712017</v>
      </c>
    </row>
    <row r="6877" spans="13:16">
      <c r="M6877">
        <v>0.31483503765880499</v>
      </c>
      <c r="N6877">
        <v>0.1691475776909602</v>
      </c>
      <c r="O6877">
        <v>0.26661873192120455</v>
      </c>
      <c r="P6877">
        <v>0.24939865272903014</v>
      </c>
    </row>
    <row r="6878" spans="13:16">
      <c r="M6878">
        <v>0.28441328634101004</v>
      </c>
      <c r="N6878">
        <v>0.18882937539002051</v>
      </c>
      <c r="O6878">
        <v>0.26058689424498638</v>
      </c>
      <c r="P6878">
        <v>0.26617044402398304</v>
      </c>
    </row>
    <row r="6879" spans="13:16">
      <c r="M6879">
        <v>0.27418489031220378</v>
      </c>
      <c r="N6879">
        <v>0.19008743580820062</v>
      </c>
      <c r="O6879">
        <v>0.27064982856955178</v>
      </c>
      <c r="P6879">
        <v>0.26507784531004369</v>
      </c>
    </row>
    <row r="6880" spans="13:16">
      <c r="M6880">
        <v>0.28064191139442052</v>
      </c>
      <c r="N6880">
        <v>0.18792572904474467</v>
      </c>
      <c r="O6880">
        <v>0.26618418635079033</v>
      </c>
      <c r="P6880">
        <v>0.26524817321004435</v>
      </c>
    </row>
    <row r="6881" spans="13:16">
      <c r="M6881">
        <v>0.29564248012485428</v>
      </c>
      <c r="N6881">
        <v>0.19577368365758976</v>
      </c>
      <c r="O6881">
        <v>0.24810409162531905</v>
      </c>
      <c r="P6881">
        <v>0.26047974459223699</v>
      </c>
    </row>
    <row r="6882" spans="13:16">
      <c r="M6882">
        <v>0.30170140560202935</v>
      </c>
      <c r="N6882">
        <v>0.1797556224907714</v>
      </c>
      <c r="O6882">
        <v>0.25588520338634851</v>
      </c>
      <c r="P6882">
        <v>0.26265776852085088</v>
      </c>
    </row>
    <row r="6883" spans="13:16">
      <c r="M6883">
        <v>0.31315994895500654</v>
      </c>
      <c r="N6883">
        <v>0.16306410621637907</v>
      </c>
      <c r="O6883">
        <v>0.27828297887545345</v>
      </c>
      <c r="P6883">
        <v>0.24549296595316103</v>
      </c>
    </row>
    <row r="6884" spans="13:16">
      <c r="M6884">
        <v>0.28475242233303893</v>
      </c>
      <c r="N6884">
        <v>0.2083336435729933</v>
      </c>
      <c r="O6884">
        <v>0.22627328952030598</v>
      </c>
      <c r="P6884">
        <v>0.28064064457366172</v>
      </c>
    </row>
    <row r="6885" spans="13:16">
      <c r="M6885">
        <v>0.29911613845294116</v>
      </c>
      <c r="N6885">
        <v>0.18188028221996524</v>
      </c>
      <c r="O6885">
        <v>0.263710399819927</v>
      </c>
      <c r="P6885">
        <v>0.25529317950716662</v>
      </c>
    </row>
    <row r="6886" spans="13:16">
      <c r="M6886">
        <v>0.31921135088111141</v>
      </c>
      <c r="N6886">
        <v>0.16706329430546432</v>
      </c>
      <c r="O6886">
        <v>0.26923903527612941</v>
      </c>
      <c r="P6886">
        <v>0.24448631953729488</v>
      </c>
    </row>
    <row r="6887" spans="13:16">
      <c r="M6887">
        <v>0.28826636539912737</v>
      </c>
      <c r="N6887">
        <v>0.173568508119613</v>
      </c>
      <c r="O6887">
        <v>0.28447602576163111</v>
      </c>
      <c r="P6887">
        <v>0.25368910071962852</v>
      </c>
    </row>
    <row r="6888" spans="13:16">
      <c r="M6888">
        <v>0.29235368034623405</v>
      </c>
      <c r="N6888">
        <v>0.18063899435697117</v>
      </c>
      <c r="O6888">
        <v>0.24717740658141737</v>
      </c>
      <c r="P6888">
        <v>0.27982991871537732</v>
      </c>
    </row>
    <row r="6889" spans="13:16">
      <c r="M6889">
        <v>0.29739130590110513</v>
      </c>
      <c r="N6889">
        <v>0.17687066887574293</v>
      </c>
      <c r="O6889">
        <v>0.26236403596274627</v>
      </c>
      <c r="P6889">
        <v>0.26337398926040578</v>
      </c>
    </row>
    <row r="6890" spans="13:16">
      <c r="M6890">
        <v>0.2804802633846819</v>
      </c>
      <c r="N6890">
        <v>0.1782244939061812</v>
      </c>
      <c r="O6890">
        <v>0.27526132478855586</v>
      </c>
      <c r="P6890">
        <v>0.26603391792058106</v>
      </c>
    </row>
    <row r="6891" spans="13:16">
      <c r="M6891">
        <v>0.2617374077140589</v>
      </c>
      <c r="N6891">
        <v>0.18706896796669387</v>
      </c>
      <c r="O6891">
        <v>0.28422551787207501</v>
      </c>
      <c r="P6891">
        <v>0.26696810644717223</v>
      </c>
    </row>
    <row r="6892" spans="13:16">
      <c r="M6892">
        <v>0.30903071359567247</v>
      </c>
      <c r="N6892">
        <v>0.19371206660071699</v>
      </c>
      <c r="O6892">
        <v>0.23280519535764299</v>
      </c>
      <c r="P6892">
        <v>0.26445202444596749</v>
      </c>
    </row>
    <row r="6893" spans="13:16">
      <c r="M6893">
        <v>0.28635095762250057</v>
      </c>
      <c r="N6893">
        <v>0.20404262292809386</v>
      </c>
      <c r="O6893">
        <v>0.22932475874491504</v>
      </c>
      <c r="P6893">
        <v>0.28028166070449068</v>
      </c>
    </row>
    <row r="6894" spans="13:16">
      <c r="M6894">
        <v>0.29394960354651506</v>
      </c>
      <c r="N6894">
        <v>0.20558324801012631</v>
      </c>
      <c r="O6894">
        <v>0.24040904153357207</v>
      </c>
      <c r="P6894">
        <v>0.26005810690978648</v>
      </c>
    </row>
    <row r="6895" spans="13:16">
      <c r="M6895">
        <v>0.288170035712841</v>
      </c>
      <c r="N6895">
        <v>0.18457661325271157</v>
      </c>
      <c r="O6895">
        <v>0.26053471825159918</v>
      </c>
      <c r="P6895">
        <v>0.26671863278284819</v>
      </c>
    </row>
    <row r="6896" spans="13:16">
      <c r="M6896">
        <v>0.27243708598721827</v>
      </c>
      <c r="N6896">
        <v>0.17335747998371193</v>
      </c>
      <c r="O6896">
        <v>0.28948830842592072</v>
      </c>
      <c r="P6896">
        <v>0.26471712560314892</v>
      </c>
    </row>
    <row r="6897" spans="13:16">
      <c r="M6897">
        <v>0.30189690777394357</v>
      </c>
      <c r="N6897">
        <v>0.17869606335236637</v>
      </c>
      <c r="O6897">
        <v>0.25740090802220783</v>
      </c>
      <c r="P6897">
        <v>0.26200612085148228</v>
      </c>
    </row>
    <row r="6898" spans="13:16">
      <c r="M6898">
        <v>0.27957561703430517</v>
      </c>
      <c r="N6898">
        <v>0.19863726038354268</v>
      </c>
      <c r="O6898">
        <v>0.25339480653479024</v>
      </c>
      <c r="P6898">
        <v>0.2683923160473618</v>
      </c>
    </row>
    <row r="6899" spans="13:16">
      <c r="M6899">
        <v>0.31817653275937097</v>
      </c>
      <c r="N6899">
        <v>0.18440749604001122</v>
      </c>
      <c r="O6899">
        <v>0.22608217304306838</v>
      </c>
      <c r="P6899">
        <v>0.27133379815754949</v>
      </c>
    </row>
    <row r="6900" spans="13:16">
      <c r="M6900">
        <v>0.31555532999212099</v>
      </c>
      <c r="N6900">
        <v>0.16020663587936024</v>
      </c>
      <c r="O6900">
        <v>0.28317843528027065</v>
      </c>
      <c r="P6900">
        <v>0.24105959884824807</v>
      </c>
    </row>
    <row r="6901" spans="13:16">
      <c r="M6901">
        <v>0.27190906465091114</v>
      </c>
      <c r="N6901">
        <v>0.17887718384026802</v>
      </c>
      <c r="O6901">
        <v>0.26804224049664205</v>
      </c>
      <c r="P6901">
        <v>0.28117151101217885</v>
      </c>
    </row>
    <row r="6902" spans="13:16">
      <c r="M6902">
        <v>0.29124159514332515</v>
      </c>
      <c r="N6902">
        <v>0.181042480440501</v>
      </c>
      <c r="O6902">
        <v>0.27265128848582898</v>
      </c>
      <c r="P6902">
        <v>0.25506463593034479</v>
      </c>
    </row>
    <row r="6903" spans="13:16">
      <c r="M6903">
        <v>0.27790539325780639</v>
      </c>
      <c r="N6903">
        <v>0.1939575886638456</v>
      </c>
      <c r="O6903">
        <v>0.27139460423095924</v>
      </c>
      <c r="P6903">
        <v>0.25674241384738888</v>
      </c>
    </row>
    <row r="6904" spans="13:16">
      <c r="M6904">
        <v>0.30287317591242902</v>
      </c>
      <c r="N6904">
        <v>0.18761390267139963</v>
      </c>
      <c r="O6904">
        <v>0.24359520448834607</v>
      </c>
      <c r="P6904">
        <v>0.26591771692782534</v>
      </c>
    </row>
    <row r="6905" spans="13:16">
      <c r="M6905">
        <v>0.26574156901754731</v>
      </c>
      <c r="N6905">
        <v>0.19278126391636793</v>
      </c>
      <c r="O6905">
        <v>0.26808350820074833</v>
      </c>
      <c r="P6905">
        <v>0.27339365886533656</v>
      </c>
    </row>
    <row r="6906" spans="13:16">
      <c r="M6906">
        <v>0.28661614474807601</v>
      </c>
      <c r="N6906">
        <v>0.20488529778019485</v>
      </c>
      <c r="O6906">
        <v>0.22605547685332697</v>
      </c>
      <c r="P6906">
        <v>0.28244308061840223</v>
      </c>
    </row>
    <row r="6907" spans="13:16">
      <c r="M6907">
        <v>0.3014176702262113</v>
      </c>
      <c r="N6907">
        <v>0.18555509474063447</v>
      </c>
      <c r="O6907">
        <v>0.24171585942451251</v>
      </c>
      <c r="P6907">
        <v>0.27131137560864177</v>
      </c>
    </row>
    <row r="6908" spans="13:16">
      <c r="M6908">
        <v>0.28204658815190725</v>
      </c>
      <c r="N6908">
        <v>0.1977440683904739</v>
      </c>
      <c r="O6908">
        <v>0.2548665078283881</v>
      </c>
      <c r="P6908">
        <v>0.26534283562923078</v>
      </c>
    </row>
    <row r="6909" spans="13:16">
      <c r="M6909">
        <v>0.25640905954091603</v>
      </c>
      <c r="N6909">
        <v>0.19978014724677992</v>
      </c>
      <c r="O6909">
        <v>0.28740819976970933</v>
      </c>
      <c r="P6909">
        <v>0.2564025934425947</v>
      </c>
    </row>
    <row r="6910" spans="13:16">
      <c r="M6910">
        <v>0.29569095483527297</v>
      </c>
      <c r="N6910">
        <v>0.18313804019380048</v>
      </c>
      <c r="O6910">
        <v>0.26417221792859807</v>
      </c>
      <c r="P6910">
        <v>0.25699878704232837</v>
      </c>
    </row>
    <row r="6911" spans="13:16">
      <c r="M6911">
        <v>0.29868155364907367</v>
      </c>
      <c r="N6911">
        <v>0.16979249902670868</v>
      </c>
      <c r="O6911">
        <v>0.28835466615868954</v>
      </c>
      <c r="P6911">
        <v>0.24317128116552808</v>
      </c>
    </row>
    <row r="6912" spans="13:16">
      <c r="M6912">
        <v>0.27701592876287651</v>
      </c>
      <c r="N6912">
        <v>0.1661539938793348</v>
      </c>
      <c r="O6912">
        <v>0.31102676722028522</v>
      </c>
      <c r="P6912">
        <v>0.24580331013750351</v>
      </c>
    </row>
    <row r="6913" spans="13:16">
      <c r="M6913">
        <v>0.28578527282503413</v>
      </c>
      <c r="N6913">
        <v>0.17938633118515399</v>
      </c>
      <c r="O6913">
        <v>0.26368865838104216</v>
      </c>
      <c r="P6913">
        <v>0.27113973760876975</v>
      </c>
    </row>
    <row r="6914" spans="13:16">
      <c r="M6914">
        <v>0.308703682977575</v>
      </c>
      <c r="N6914">
        <v>0.16967855626512579</v>
      </c>
      <c r="O6914">
        <v>0.27484784652245764</v>
      </c>
      <c r="P6914">
        <v>0.24676991423484157</v>
      </c>
    </row>
    <row r="6915" spans="13:16">
      <c r="M6915">
        <v>0.30177896482062322</v>
      </c>
      <c r="N6915">
        <v>0.17900860196937363</v>
      </c>
      <c r="O6915">
        <v>0.2701821499787298</v>
      </c>
      <c r="P6915">
        <v>0.24903028323127332</v>
      </c>
    </row>
    <row r="6916" spans="13:16">
      <c r="M6916">
        <v>0.28266797492748474</v>
      </c>
      <c r="N6916">
        <v>0.19448745751982918</v>
      </c>
      <c r="O6916">
        <v>0.24163544162268258</v>
      </c>
      <c r="P6916">
        <v>0.28120912593000352</v>
      </c>
    </row>
    <row r="6917" spans="13:16">
      <c r="M6917">
        <v>0.30373182146436789</v>
      </c>
      <c r="N6917">
        <v>0.19961750616482302</v>
      </c>
      <c r="O6917">
        <v>0.22919724391824306</v>
      </c>
      <c r="P6917">
        <v>0.26745342845256587</v>
      </c>
    </row>
    <row r="6918" spans="13:16">
      <c r="M6918">
        <v>0.28935825027231554</v>
      </c>
      <c r="N6918">
        <v>0.17028637751007009</v>
      </c>
      <c r="O6918">
        <v>0.2778232887456098</v>
      </c>
      <c r="P6918">
        <v>0.26253208347200452</v>
      </c>
    </row>
    <row r="6919" spans="13:16">
      <c r="M6919">
        <v>0.27970786870371295</v>
      </c>
      <c r="N6919">
        <v>0.18381552309416874</v>
      </c>
      <c r="O6919">
        <v>0.27947510812626725</v>
      </c>
      <c r="P6919">
        <v>0.2570015000758511</v>
      </c>
    </row>
    <row r="6920" spans="13:16">
      <c r="M6920">
        <v>0.29135925492999321</v>
      </c>
      <c r="N6920">
        <v>0.18654124981680281</v>
      </c>
      <c r="O6920">
        <v>0.26505549050710037</v>
      </c>
      <c r="P6920">
        <v>0.25704400474610345</v>
      </c>
    </row>
    <row r="6921" spans="13:16">
      <c r="M6921">
        <v>0.28484840394347716</v>
      </c>
      <c r="N6921">
        <v>0.19755999199335877</v>
      </c>
      <c r="O6921">
        <v>0.24719336391768404</v>
      </c>
      <c r="P6921">
        <v>0.27039824014548003</v>
      </c>
    </row>
    <row r="6922" spans="13:16">
      <c r="M6922">
        <v>0.29753604390822647</v>
      </c>
      <c r="N6922">
        <v>0.18588018873637357</v>
      </c>
      <c r="O6922">
        <v>0.24460201565737674</v>
      </c>
      <c r="P6922">
        <v>0.27198175169802319</v>
      </c>
    </row>
    <row r="6923" spans="13:16">
      <c r="M6923">
        <v>0.28587814301056985</v>
      </c>
      <c r="N6923">
        <v>0.17529212056055354</v>
      </c>
      <c r="O6923">
        <v>0.2869417556730417</v>
      </c>
      <c r="P6923">
        <v>0.25188798075583491</v>
      </c>
    </row>
    <row r="6924" spans="13:16">
      <c r="M6924">
        <v>0.28964448433416584</v>
      </c>
      <c r="N6924">
        <v>0.20593768947340552</v>
      </c>
      <c r="O6924">
        <v>0.24185221188815129</v>
      </c>
      <c r="P6924">
        <v>0.26256561430427733</v>
      </c>
    </row>
    <row r="6925" spans="13:16">
      <c r="M6925">
        <v>0.2930918882642814</v>
      </c>
      <c r="N6925">
        <v>0.18046625148454787</v>
      </c>
      <c r="O6925">
        <v>0.25653491853989213</v>
      </c>
      <c r="P6925">
        <v>0.2699069417112786</v>
      </c>
    </row>
    <row r="6926" spans="13:16">
      <c r="M6926">
        <v>0.32408385766306075</v>
      </c>
      <c r="N6926">
        <v>0.16706685525487597</v>
      </c>
      <c r="O6926">
        <v>0.25135900198663841</v>
      </c>
      <c r="P6926">
        <v>0.25749028509542488</v>
      </c>
    </row>
    <row r="6927" spans="13:16">
      <c r="M6927">
        <v>0.28982098845396997</v>
      </c>
      <c r="N6927">
        <v>0.17926173710335311</v>
      </c>
      <c r="O6927">
        <v>0.27796206420043706</v>
      </c>
      <c r="P6927">
        <v>0.25295521024223988</v>
      </c>
    </row>
    <row r="6928" spans="13:16">
      <c r="M6928">
        <v>0.29178906899500578</v>
      </c>
      <c r="N6928">
        <v>0.1986034998422985</v>
      </c>
      <c r="O6928">
        <v>0.24270279531577513</v>
      </c>
      <c r="P6928">
        <v>0.26690463584692065</v>
      </c>
    </row>
    <row r="6929" spans="13:16">
      <c r="M6929">
        <v>0.27127507394139977</v>
      </c>
      <c r="N6929">
        <v>0.18967368610079616</v>
      </c>
      <c r="O6929">
        <v>0.28384179789261271</v>
      </c>
      <c r="P6929">
        <v>0.25520944206519131</v>
      </c>
    </row>
    <row r="6930" spans="13:16">
      <c r="M6930">
        <v>0.29031469315313335</v>
      </c>
      <c r="N6930">
        <v>0.19093307187296563</v>
      </c>
      <c r="O6930">
        <v>0.24652172603900657</v>
      </c>
      <c r="P6930">
        <v>0.27223050893489453</v>
      </c>
    </row>
    <row r="6931" spans="13:16">
      <c r="M6931">
        <v>0.31259249102239867</v>
      </c>
      <c r="N6931">
        <v>0.17022004380620825</v>
      </c>
      <c r="O6931">
        <v>0.25430568499404471</v>
      </c>
      <c r="P6931">
        <v>0.26288178017734842</v>
      </c>
    </row>
    <row r="6932" spans="13:16">
      <c r="M6932">
        <v>0.29962162415082039</v>
      </c>
      <c r="N6932">
        <v>0.1962486411575757</v>
      </c>
      <c r="O6932">
        <v>0.24845401790349025</v>
      </c>
      <c r="P6932">
        <v>0.25567571678811363</v>
      </c>
    </row>
    <row r="6933" spans="13:16">
      <c r="M6933">
        <v>0.30589606409554226</v>
      </c>
      <c r="N6933">
        <v>0.19326341539313577</v>
      </c>
      <c r="O6933">
        <v>0.23211300029443124</v>
      </c>
      <c r="P6933">
        <v>0.26872752021689073</v>
      </c>
    </row>
    <row r="6934" spans="13:16">
      <c r="M6934">
        <v>0.32819907874603299</v>
      </c>
      <c r="N6934">
        <v>0.16367767948657533</v>
      </c>
      <c r="O6934">
        <v>0.25124750518818079</v>
      </c>
      <c r="P6934">
        <v>0.25687573657921092</v>
      </c>
    </row>
    <row r="6935" spans="13:16">
      <c r="M6935">
        <v>0.31847005945303902</v>
      </c>
      <c r="N6935">
        <v>0.18434668959797557</v>
      </c>
      <c r="O6935">
        <v>0.24359375895893437</v>
      </c>
      <c r="P6935">
        <v>0.25358949199005115</v>
      </c>
    </row>
    <row r="6936" spans="13:16">
      <c r="M6936">
        <v>0.31329536538882813</v>
      </c>
      <c r="N6936">
        <v>0.18260321667236443</v>
      </c>
      <c r="O6936">
        <v>0.23455696631530959</v>
      </c>
      <c r="P6936">
        <v>0.26954445162349794</v>
      </c>
    </row>
    <row r="6937" spans="13:16">
      <c r="M6937">
        <v>0.31291613186314104</v>
      </c>
      <c r="N6937">
        <v>0.17912614485770106</v>
      </c>
      <c r="O6937">
        <v>0.24168288686413544</v>
      </c>
      <c r="P6937">
        <v>0.26627483641502236</v>
      </c>
    </row>
    <row r="6938" spans="13:16">
      <c r="M6938">
        <v>0.31501379266458573</v>
      </c>
      <c r="N6938">
        <v>0.17182224260612006</v>
      </c>
      <c r="O6938">
        <v>0.25103767113943753</v>
      </c>
      <c r="P6938">
        <v>0.26212629358985656</v>
      </c>
    </row>
    <row r="6939" spans="13:16">
      <c r="M6939">
        <v>0.28110875486973796</v>
      </c>
      <c r="N6939">
        <v>0.18844218801768425</v>
      </c>
      <c r="O6939">
        <v>0.25028384821646887</v>
      </c>
      <c r="P6939">
        <v>0.28016520889610891</v>
      </c>
    </row>
    <row r="6940" spans="13:16">
      <c r="M6940">
        <v>0.28132162585052012</v>
      </c>
      <c r="N6940">
        <v>0.1864136495984117</v>
      </c>
      <c r="O6940">
        <v>0.24778968020590819</v>
      </c>
      <c r="P6940">
        <v>0.28447504434516013</v>
      </c>
    </row>
    <row r="6941" spans="13:16">
      <c r="M6941">
        <v>0.29380041920538114</v>
      </c>
      <c r="N6941">
        <v>0.17621525920893916</v>
      </c>
      <c r="O6941">
        <v>0.272578046413746</v>
      </c>
      <c r="P6941">
        <v>0.2574062751719336</v>
      </c>
    </row>
    <row r="6942" spans="13:16">
      <c r="M6942">
        <v>0.31424454354828707</v>
      </c>
      <c r="N6942">
        <v>0.18337304191793499</v>
      </c>
      <c r="O6942">
        <v>0.23348756944889715</v>
      </c>
      <c r="P6942">
        <v>0.26889484508488071</v>
      </c>
    </row>
    <row r="6943" spans="13:16">
      <c r="M6943">
        <v>0.32772835264954603</v>
      </c>
      <c r="N6943">
        <v>0.16074606180822626</v>
      </c>
      <c r="O6943">
        <v>0.26582380510037679</v>
      </c>
      <c r="P6943">
        <v>0.24570178044185098</v>
      </c>
    </row>
    <row r="6944" spans="13:16">
      <c r="M6944">
        <v>0.27158535962334412</v>
      </c>
      <c r="N6944">
        <v>0.17367472416842808</v>
      </c>
      <c r="O6944">
        <v>0.27892031898695074</v>
      </c>
      <c r="P6944">
        <v>0.27581959722127702</v>
      </c>
    </row>
    <row r="6945" spans="13:16">
      <c r="M6945">
        <v>0.31662170000100387</v>
      </c>
      <c r="N6945">
        <v>0.18545798044785927</v>
      </c>
      <c r="O6945">
        <v>0.2378301109920061</v>
      </c>
      <c r="P6945">
        <v>0.26009020855913084</v>
      </c>
    </row>
    <row r="6946" spans="13:16">
      <c r="M6946">
        <v>0.27524519597888214</v>
      </c>
      <c r="N6946">
        <v>0.20762052695118943</v>
      </c>
      <c r="O6946">
        <v>0.25002736969345546</v>
      </c>
      <c r="P6946">
        <v>0.26710690737647297</v>
      </c>
    </row>
    <row r="6947" spans="13:16">
      <c r="M6947">
        <v>0.31491565848838537</v>
      </c>
      <c r="N6947">
        <v>0.18917852030391802</v>
      </c>
      <c r="O6947">
        <v>0.24932544415506025</v>
      </c>
      <c r="P6947">
        <v>0.24658037705263647</v>
      </c>
    </row>
    <row r="6948" spans="13:16">
      <c r="M6948">
        <v>0.28690766230789622</v>
      </c>
      <c r="N6948">
        <v>0.20154611067807254</v>
      </c>
      <c r="O6948">
        <v>0.22689999112710332</v>
      </c>
      <c r="P6948">
        <v>0.28464623588692783</v>
      </c>
    </row>
    <row r="6949" spans="13:16">
      <c r="M6949">
        <v>0.27297900453688939</v>
      </c>
      <c r="N6949">
        <v>0.19988235946666477</v>
      </c>
      <c r="O6949">
        <v>0.27556635936472845</v>
      </c>
      <c r="P6949">
        <v>0.25157227663171722</v>
      </c>
    </row>
    <row r="6950" spans="13:16">
      <c r="M6950">
        <v>0.2672203162575672</v>
      </c>
      <c r="N6950">
        <v>0.19855605093036857</v>
      </c>
      <c r="O6950">
        <v>0.27420404190784459</v>
      </c>
      <c r="P6950">
        <v>0.26001959090421956</v>
      </c>
    </row>
    <row r="6951" spans="13:16">
      <c r="M6951">
        <v>0.25565242253161014</v>
      </c>
      <c r="N6951">
        <v>0.19394976456665447</v>
      </c>
      <c r="O6951">
        <v>0.28363594191946651</v>
      </c>
      <c r="P6951">
        <v>0.26676187098226883</v>
      </c>
    </row>
    <row r="6952" spans="13:16">
      <c r="M6952">
        <v>0.26444343650047691</v>
      </c>
      <c r="N6952">
        <v>0.20245720569602529</v>
      </c>
      <c r="O6952">
        <v>0.27032315297177401</v>
      </c>
      <c r="P6952">
        <v>0.26277620483172381</v>
      </c>
    </row>
    <row r="6953" spans="13:16">
      <c r="M6953">
        <v>0.25680506513894386</v>
      </c>
      <c r="N6953">
        <v>0.20642162648318582</v>
      </c>
      <c r="O6953">
        <v>0.27819637051649948</v>
      </c>
      <c r="P6953">
        <v>0.25857693786137065</v>
      </c>
    </row>
    <row r="6954" spans="13:16">
      <c r="M6954">
        <v>0.29431707857559847</v>
      </c>
      <c r="N6954">
        <v>0.17873592180790848</v>
      </c>
      <c r="O6954">
        <v>0.25946557380572099</v>
      </c>
      <c r="P6954">
        <v>0.26748142581077206</v>
      </c>
    </row>
    <row r="6955" spans="13:16">
      <c r="M6955">
        <v>0.28409677954083506</v>
      </c>
      <c r="N6955">
        <v>0.20436577645706863</v>
      </c>
      <c r="O6955">
        <v>0.24084554744151487</v>
      </c>
      <c r="P6955">
        <v>0.27069189656058135</v>
      </c>
    </row>
    <row r="6956" spans="13:16">
      <c r="M6956">
        <v>0.29872201640440349</v>
      </c>
      <c r="N6956">
        <v>0.17145246984840221</v>
      </c>
      <c r="O6956">
        <v>0.2808273673373779</v>
      </c>
      <c r="P6956">
        <v>0.24899814640981635</v>
      </c>
    </row>
    <row r="6957" spans="13:16">
      <c r="M6957">
        <v>0.29362996679766257</v>
      </c>
      <c r="N6957">
        <v>0.18796666899540104</v>
      </c>
      <c r="O6957">
        <v>0.26344216742687004</v>
      </c>
      <c r="P6957">
        <v>0.25496119678006635</v>
      </c>
    </row>
    <row r="6958" spans="13:16">
      <c r="M6958">
        <v>0.28837741767699765</v>
      </c>
      <c r="N6958">
        <v>0.1961473559462566</v>
      </c>
      <c r="O6958">
        <v>0.2175304097105116</v>
      </c>
      <c r="P6958">
        <v>0.29794481666623412</v>
      </c>
    </row>
    <row r="6959" spans="13:16">
      <c r="M6959">
        <v>0.2733517706638886</v>
      </c>
      <c r="N6959">
        <v>0.18306345609676972</v>
      </c>
      <c r="O6959">
        <v>0.26562519460965545</v>
      </c>
      <c r="P6959">
        <v>0.27795957862968623</v>
      </c>
    </row>
    <row r="6960" spans="13:16">
      <c r="M6960">
        <v>0.28080308337128235</v>
      </c>
      <c r="N6960">
        <v>0.19935276684612688</v>
      </c>
      <c r="O6960">
        <v>0.23741481946071788</v>
      </c>
      <c r="P6960">
        <v>0.28242933032187301</v>
      </c>
    </row>
    <row r="6961" spans="13:16">
      <c r="M6961">
        <v>0.30102679625443307</v>
      </c>
      <c r="N6961">
        <v>0.18253863744700227</v>
      </c>
      <c r="O6961">
        <v>0.25883112708233114</v>
      </c>
      <c r="P6961">
        <v>0.25760343921623347</v>
      </c>
    </row>
    <row r="6962" spans="13:16">
      <c r="M6962">
        <v>0.2914398622460701</v>
      </c>
      <c r="N6962">
        <v>0.20302569646532806</v>
      </c>
      <c r="O6962">
        <v>0.22848630600790484</v>
      </c>
      <c r="P6962">
        <v>0.27704813528069705</v>
      </c>
    </row>
    <row r="6963" spans="13:16">
      <c r="M6963">
        <v>0.26827438901422596</v>
      </c>
      <c r="N6963">
        <v>0.20497481417788521</v>
      </c>
      <c r="O6963">
        <v>0.25503603648605583</v>
      </c>
      <c r="P6963">
        <v>0.27171476032183306</v>
      </c>
    </row>
    <row r="6964" spans="13:16">
      <c r="M6964">
        <v>0.27599405110249459</v>
      </c>
      <c r="N6964">
        <v>0.18870201442493265</v>
      </c>
      <c r="O6964">
        <v>0.26637644490621815</v>
      </c>
      <c r="P6964">
        <v>0.2689274895663547</v>
      </c>
    </row>
    <row r="6965" spans="13:16">
      <c r="M6965">
        <v>0.29475592121828431</v>
      </c>
      <c r="N6965">
        <v>0.17953404423665695</v>
      </c>
      <c r="O6965">
        <v>0.26804616097373241</v>
      </c>
      <c r="P6965">
        <v>0.25766387357132642</v>
      </c>
    </row>
    <row r="6966" spans="13:16">
      <c r="M6966">
        <v>0.29164076186707272</v>
      </c>
      <c r="N6966">
        <v>0.20230060669816124</v>
      </c>
      <c r="O6966">
        <v>0.24055239714528606</v>
      </c>
      <c r="P6966">
        <v>0.26550623428947995</v>
      </c>
    </row>
    <row r="6967" spans="13:16">
      <c r="M6967">
        <v>0.28031720959942108</v>
      </c>
      <c r="N6967">
        <v>0.19652999151169664</v>
      </c>
      <c r="O6967">
        <v>0.23882196287906834</v>
      </c>
      <c r="P6967">
        <v>0.2843308360098139</v>
      </c>
    </row>
    <row r="6968" spans="13:16">
      <c r="M6968">
        <v>0.31176183255266976</v>
      </c>
      <c r="N6968">
        <v>0.17398551075453203</v>
      </c>
      <c r="O6968">
        <v>0.2701218308390983</v>
      </c>
      <c r="P6968">
        <v>0.24413082585369997</v>
      </c>
    </row>
    <row r="6969" spans="13:16">
      <c r="M6969">
        <v>0.28048511925573777</v>
      </c>
      <c r="N6969">
        <v>0.18613834383859526</v>
      </c>
      <c r="O6969">
        <v>0.2518269019970274</v>
      </c>
      <c r="P6969">
        <v>0.28154963490863966</v>
      </c>
    </row>
    <row r="6970" spans="13:16">
      <c r="M6970">
        <v>0.28401885272296956</v>
      </c>
      <c r="N6970">
        <v>0.20461944547527575</v>
      </c>
      <c r="O6970">
        <v>0.25378068868012854</v>
      </c>
      <c r="P6970">
        <v>0.25758101312162612</v>
      </c>
    </row>
    <row r="6971" spans="13:16">
      <c r="M6971">
        <v>0.29117984148339654</v>
      </c>
      <c r="N6971">
        <v>0.17352331029364398</v>
      </c>
      <c r="O6971">
        <v>0.29961925658738398</v>
      </c>
      <c r="P6971">
        <v>0.23567759163557553</v>
      </c>
    </row>
    <row r="6972" spans="13:16">
      <c r="M6972">
        <v>0.29798124005226023</v>
      </c>
      <c r="N6972">
        <v>0.17546451646868236</v>
      </c>
      <c r="O6972">
        <v>0.25101368454069289</v>
      </c>
      <c r="P6972">
        <v>0.27554055893836438</v>
      </c>
    </row>
    <row r="6973" spans="13:16">
      <c r="M6973">
        <v>0.27048553355819005</v>
      </c>
      <c r="N6973">
        <v>0.19342209236112379</v>
      </c>
      <c r="O6973">
        <v>0.26365702273441693</v>
      </c>
      <c r="P6973">
        <v>0.27243535134626934</v>
      </c>
    </row>
    <row r="6974" spans="13:16">
      <c r="M6974">
        <v>0.31149085011930111</v>
      </c>
      <c r="N6974">
        <v>0.18040909089410162</v>
      </c>
      <c r="O6974">
        <v>0.23644530512729586</v>
      </c>
      <c r="P6974">
        <v>0.27165475385930143</v>
      </c>
    </row>
    <row r="6975" spans="13:16">
      <c r="M6975">
        <v>0.32774843117711988</v>
      </c>
      <c r="N6975">
        <v>0.19079158178614189</v>
      </c>
      <c r="O6975">
        <v>0.21373482903039931</v>
      </c>
      <c r="P6975">
        <v>0.26772515800633878</v>
      </c>
    </row>
    <row r="6976" spans="13:16">
      <c r="M6976">
        <v>0.27990842305748259</v>
      </c>
      <c r="N6976">
        <v>0.18164440163773285</v>
      </c>
      <c r="O6976">
        <v>0.26987166400969881</v>
      </c>
      <c r="P6976">
        <v>0.26857551129508572</v>
      </c>
    </row>
    <row r="6977" spans="13:16">
      <c r="M6977">
        <v>0.28577880627828645</v>
      </c>
      <c r="N6977">
        <v>0.19477320181945149</v>
      </c>
      <c r="O6977">
        <v>0.23555052027431322</v>
      </c>
      <c r="P6977">
        <v>0.28389747162794887</v>
      </c>
    </row>
    <row r="6978" spans="13:16">
      <c r="M6978">
        <v>0.28623711867369378</v>
      </c>
      <c r="N6978">
        <v>0.19168661386838975</v>
      </c>
      <c r="O6978">
        <v>0.25091705316917845</v>
      </c>
      <c r="P6978">
        <v>0.27115921428873802</v>
      </c>
    </row>
    <row r="6979" spans="13:16">
      <c r="M6979">
        <v>0.27745579445334506</v>
      </c>
      <c r="N6979">
        <v>0.2052555035808229</v>
      </c>
      <c r="O6979">
        <v>0.23244055898444388</v>
      </c>
      <c r="P6979">
        <v>0.28484814298138816</v>
      </c>
    </row>
    <row r="6980" spans="13:16">
      <c r="M6980">
        <v>0.28926207511847957</v>
      </c>
      <c r="N6980">
        <v>0.18316930437535037</v>
      </c>
      <c r="O6980">
        <v>0.24467297499679003</v>
      </c>
      <c r="P6980">
        <v>0.28289564550938007</v>
      </c>
    </row>
    <row r="6981" spans="13:16">
      <c r="M6981">
        <v>0.29410060085422518</v>
      </c>
      <c r="N6981">
        <v>0.18432345083796853</v>
      </c>
      <c r="O6981">
        <v>0.26017761151223157</v>
      </c>
      <c r="P6981">
        <v>0.26139833679557478</v>
      </c>
    </row>
    <row r="6982" spans="13:16">
      <c r="M6982">
        <v>0.29954528738285402</v>
      </c>
      <c r="N6982">
        <v>0.18615006354948196</v>
      </c>
      <c r="O6982">
        <v>0.24809809295405932</v>
      </c>
      <c r="P6982">
        <v>0.26620655611360461</v>
      </c>
    </row>
    <row r="6983" spans="13:16">
      <c r="M6983">
        <v>0.2977389920170217</v>
      </c>
      <c r="N6983">
        <v>0.17588700003296989</v>
      </c>
      <c r="O6983">
        <v>0.25381831961154161</v>
      </c>
      <c r="P6983">
        <v>0.27255568833846672</v>
      </c>
    </row>
    <row r="6984" spans="13:16">
      <c r="M6984">
        <v>0.28923076560750149</v>
      </c>
      <c r="N6984">
        <v>0.18813496565027699</v>
      </c>
      <c r="O6984">
        <v>0.26952573024096033</v>
      </c>
      <c r="P6984">
        <v>0.2531085385012613</v>
      </c>
    </row>
    <row r="6985" spans="13:16">
      <c r="M6985">
        <v>0.28258947552882491</v>
      </c>
      <c r="N6985">
        <v>0.17843767490123072</v>
      </c>
      <c r="O6985">
        <v>0.26962196135624372</v>
      </c>
      <c r="P6985">
        <v>0.26935088821370068</v>
      </c>
    </row>
    <row r="6986" spans="13:16">
      <c r="M6986">
        <v>0.29739694199953493</v>
      </c>
      <c r="N6986">
        <v>0.17169685914854438</v>
      </c>
      <c r="O6986">
        <v>0.26321024114477798</v>
      </c>
      <c r="P6986">
        <v>0.26769595770714266</v>
      </c>
    </row>
    <row r="6987" spans="13:16">
      <c r="M6987">
        <v>0.28568289992909485</v>
      </c>
      <c r="N6987">
        <v>0.18071436212729586</v>
      </c>
      <c r="O6987">
        <v>0.27387808406423847</v>
      </c>
      <c r="P6987">
        <v>0.25972465387937094</v>
      </c>
    </row>
    <row r="6988" spans="13:16">
      <c r="M6988">
        <v>0.2860124208147044</v>
      </c>
      <c r="N6988">
        <v>0.18716629922527758</v>
      </c>
      <c r="O6988">
        <v>0.24535932473597866</v>
      </c>
      <c r="P6988">
        <v>0.28146195522403933</v>
      </c>
    </row>
    <row r="6989" spans="13:16">
      <c r="M6989">
        <v>0.29168146426948788</v>
      </c>
      <c r="N6989">
        <v>0.19771126987430571</v>
      </c>
      <c r="O6989">
        <v>0.22855204408849611</v>
      </c>
      <c r="P6989">
        <v>0.2820552217677102</v>
      </c>
    </row>
    <row r="6990" spans="13:16">
      <c r="M6990">
        <v>0.29848624397812151</v>
      </c>
      <c r="N6990">
        <v>0.18134185535448463</v>
      </c>
      <c r="O6990">
        <v>0.26325648176092792</v>
      </c>
      <c r="P6990">
        <v>0.25691541890646591</v>
      </c>
    </row>
    <row r="6991" spans="13:16">
      <c r="M6991">
        <v>0.28269090461681978</v>
      </c>
      <c r="N6991">
        <v>0.19768017434457241</v>
      </c>
      <c r="O6991">
        <v>0.26578424070586615</v>
      </c>
      <c r="P6991">
        <v>0.2538446803327416</v>
      </c>
    </row>
    <row r="6992" spans="13:16">
      <c r="M6992">
        <v>0.29165351107765702</v>
      </c>
      <c r="N6992">
        <v>0.19080682401223154</v>
      </c>
      <c r="O6992">
        <v>0.23465097177755342</v>
      </c>
      <c r="P6992">
        <v>0.28288869313255799</v>
      </c>
    </row>
    <row r="6993" spans="13:16">
      <c r="M6993">
        <v>0.29485591137307937</v>
      </c>
      <c r="N6993">
        <v>0.17982353626084169</v>
      </c>
      <c r="O6993">
        <v>0.2733191607648926</v>
      </c>
      <c r="P6993">
        <v>0.25200139160118645</v>
      </c>
    </row>
    <row r="6994" spans="13:16">
      <c r="M6994">
        <v>0.28015707316196081</v>
      </c>
      <c r="N6994">
        <v>0.18033560991978884</v>
      </c>
      <c r="O6994">
        <v>0.2622724894126614</v>
      </c>
      <c r="P6994">
        <v>0.27723482750558887</v>
      </c>
    </row>
    <row r="6995" spans="13:16">
      <c r="M6995">
        <v>0.28949390488338639</v>
      </c>
      <c r="N6995">
        <v>0.19124393423474298</v>
      </c>
      <c r="O6995">
        <v>0.24073465564477609</v>
      </c>
      <c r="P6995">
        <v>0.27852750523709457</v>
      </c>
    </row>
    <row r="6996" spans="13:16">
      <c r="M6996">
        <v>0.31099539162699741</v>
      </c>
      <c r="N6996">
        <v>0.17468667489910653</v>
      </c>
      <c r="O6996">
        <v>0.2559039231985849</v>
      </c>
      <c r="P6996">
        <v>0.25841401027531113</v>
      </c>
    </row>
    <row r="6997" spans="13:16">
      <c r="M6997">
        <v>0.28378691628942554</v>
      </c>
      <c r="N6997">
        <v>0.18658785096762742</v>
      </c>
      <c r="O6997">
        <v>0.26554015594679431</v>
      </c>
      <c r="P6997">
        <v>0.26408507679615278</v>
      </c>
    </row>
    <row r="6998" spans="13:16">
      <c r="M6998">
        <v>0.3068034156892363</v>
      </c>
      <c r="N6998">
        <v>0.17019204640787794</v>
      </c>
      <c r="O6998">
        <v>0.27613912169204896</v>
      </c>
      <c r="P6998">
        <v>0.24686541621083677</v>
      </c>
    </row>
    <row r="6999" spans="13:16">
      <c r="M6999">
        <v>0.29148629657229264</v>
      </c>
      <c r="N6999">
        <v>0.1818150932888698</v>
      </c>
      <c r="O6999">
        <v>0.26436107515349905</v>
      </c>
      <c r="P6999">
        <v>0.26233753498533846</v>
      </c>
    </row>
    <row r="7000" spans="13:16">
      <c r="M7000">
        <v>0.31851767869090458</v>
      </c>
      <c r="N7000">
        <v>0.17278310386089429</v>
      </c>
      <c r="O7000">
        <v>0.27022778212473336</v>
      </c>
      <c r="P7000">
        <v>0.23847143532346768</v>
      </c>
    </row>
    <row r="7001" spans="13:16">
      <c r="M7001">
        <v>0.30375540731330791</v>
      </c>
      <c r="N7001">
        <v>0.16998580066514316</v>
      </c>
      <c r="O7001">
        <v>0.27142741706199991</v>
      </c>
      <c r="P7001">
        <v>0.254831374959549</v>
      </c>
    </row>
    <row r="7002" spans="13:16">
      <c r="M7002">
        <v>0.27774389363997087</v>
      </c>
      <c r="N7002">
        <v>0.18565886073553869</v>
      </c>
      <c r="O7002">
        <v>0.2670027475183992</v>
      </c>
      <c r="P7002">
        <v>0.26959449810609115</v>
      </c>
    </row>
    <row r="7003" spans="13:16">
      <c r="M7003">
        <v>0.31065971483029597</v>
      </c>
      <c r="N7003">
        <v>0.18258556172356749</v>
      </c>
      <c r="O7003">
        <v>0.22619873574303878</v>
      </c>
      <c r="P7003">
        <v>0.28055598770309781</v>
      </c>
    </row>
    <row r="7004" spans="13:16">
      <c r="M7004">
        <v>0.29366390880491222</v>
      </c>
      <c r="N7004">
        <v>0.18315537233641813</v>
      </c>
      <c r="O7004">
        <v>0.26251337088245519</v>
      </c>
      <c r="P7004">
        <v>0.26066734797621438</v>
      </c>
    </row>
    <row r="7005" spans="13:16">
      <c r="M7005">
        <v>0.26657867561512177</v>
      </c>
      <c r="N7005">
        <v>0.19896355866920401</v>
      </c>
      <c r="O7005">
        <v>0.27808690395059682</v>
      </c>
      <c r="P7005">
        <v>0.2563708617650774</v>
      </c>
    </row>
    <row r="7006" spans="13:16">
      <c r="M7006">
        <v>0.30547406079648265</v>
      </c>
      <c r="N7006">
        <v>0.2000197854699029</v>
      </c>
      <c r="O7006">
        <v>0.22621742700103259</v>
      </c>
      <c r="P7006">
        <v>0.26828872673258203</v>
      </c>
    </row>
    <row r="7007" spans="13:16">
      <c r="M7007">
        <v>0.28319037823191673</v>
      </c>
      <c r="N7007">
        <v>0.18693562019863996</v>
      </c>
      <c r="O7007">
        <v>0.26635162553622488</v>
      </c>
      <c r="P7007">
        <v>0.26352237603321843</v>
      </c>
    </row>
    <row r="7008" spans="13:16">
      <c r="M7008">
        <v>0.2756255718106187</v>
      </c>
      <c r="N7008">
        <v>0.19372298167016458</v>
      </c>
      <c r="O7008">
        <v>0.28533946611134098</v>
      </c>
      <c r="P7008">
        <v>0.2453119804078758</v>
      </c>
    </row>
    <row r="7009" spans="13:16">
      <c r="M7009">
        <v>0.29354593704540399</v>
      </c>
      <c r="N7009">
        <v>0.18239048044663053</v>
      </c>
      <c r="O7009">
        <v>0.24963397800520185</v>
      </c>
      <c r="P7009">
        <v>0.27442960450276371</v>
      </c>
    </row>
    <row r="7010" spans="13:16">
      <c r="M7010">
        <v>0.30244190769785362</v>
      </c>
      <c r="N7010">
        <v>0.19818285905428815</v>
      </c>
      <c r="O7010">
        <v>0.24657289858872167</v>
      </c>
      <c r="P7010">
        <v>0.25280233465913654</v>
      </c>
    </row>
    <row r="7011" spans="13:16">
      <c r="M7011">
        <v>0.32581319743092846</v>
      </c>
      <c r="N7011">
        <v>0.19178163526213962</v>
      </c>
      <c r="O7011">
        <v>0.23848894999612932</v>
      </c>
      <c r="P7011">
        <v>0.24391621731080254</v>
      </c>
    </row>
    <row r="7012" spans="13:16">
      <c r="M7012">
        <v>0.28673141580200229</v>
      </c>
      <c r="N7012">
        <v>0.18013882869805842</v>
      </c>
      <c r="O7012">
        <v>0.260942137475424</v>
      </c>
      <c r="P7012">
        <v>0.2721876180245153</v>
      </c>
    </row>
    <row r="7013" spans="13:16">
      <c r="M7013">
        <v>0.27657999531580191</v>
      </c>
      <c r="N7013">
        <v>0.19570365856445704</v>
      </c>
      <c r="O7013">
        <v>0.23880017925097854</v>
      </c>
      <c r="P7013">
        <v>0.28891616686876248</v>
      </c>
    </row>
    <row r="7014" spans="13:16">
      <c r="M7014">
        <v>0.29360699740702073</v>
      </c>
      <c r="N7014">
        <v>0.18428858398810541</v>
      </c>
      <c r="O7014">
        <v>0.26320220092756541</v>
      </c>
      <c r="P7014">
        <v>0.25890221767730842</v>
      </c>
    </row>
    <row r="7015" spans="13:16">
      <c r="M7015">
        <v>0.29256826456393709</v>
      </c>
      <c r="N7015">
        <v>0.18440946633313077</v>
      </c>
      <c r="O7015">
        <v>0.24845730715540187</v>
      </c>
      <c r="P7015">
        <v>0.27456496194753038</v>
      </c>
    </row>
    <row r="7016" spans="13:16">
      <c r="M7016">
        <v>0.29210680479838352</v>
      </c>
      <c r="N7016">
        <v>0.18716054166307508</v>
      </c>
      <c r="O7016">
        <v>0.24960266625893343</v>
      </c>
      <c r="P7016">
        <v>0.27112998727960802</v>
      </c>
    </row>
    <row r="7017" spans="13:16">
      <c r="M7017">
        <v>0.30965007552568868</v>
      </c>
      <c r="N7017">
        <v>0.18450317291998494</v>
      </c>
      <c r="O7017">
        <v>0.23578288666107031</v>
      </c>
      <c r="P7017">
        <v>0.27006386489325607</v>
      </c>
    </row>
    <row r="7018" spans="13:16">
      <c r="M7018">
        <v>0.3260886210707179</v>
      </c>
      <c r="N7018">
        <v>0.16701651367443546</v>
      </c>
      <c r="O7018">
        <v>0.24420141164425496</v>
      </c>
      <c r="P7018">
        <v>0.2626934536105916</v>
      </c>
    </row>
    <row r="7019" spans="13:16">
      <c r="M7019">
        <v>0.27762610823185879</v>
      </c>
      <c r="N7019">
        <v>0.18910585789460882</v>
      </c>
      <c r="O7019">
        <v>0.2753191014679735</v>
      </c>
      <c r="P7019">
        <v>0.25794893240555883</v>
      </c>
    </row>
    <row r="7020" spans="13:16">
      <c r="M7020">
        <v>0.29471897803601788</v>
      </c>
      <c r="N7020">
        <v>0.19061912437235976</v>
      </c>
      <c r="O7020">
        <v>0.25790440070143167</v>
      </c>
      <c r="P7020">
        <v>0.25675749689019056</v>
      </c>
    </row>
    <row r="7021" spans="13:16">
      <c r="M7021">
        <v>0.28352406217544429</v>
      </c>
      <c r="N7021">
        <v>0.18000350972879181</v>
      </c>
      <c r="O7021">
        <v>0.27993214675642369</v>
      </c>
      <c r="P7021">
        <v>0.2565402813393402</v>
      </c>
    </row>
    <row r="7022" spans="13:16">
      <c r="M7022">
        <v>0.32927866656253452</v>
      </c>
      <c r="N7022">
        <v>0.17860691817993907</v>
      </c>
      <c r="O7022">
        <v>0.23909371259328879</v>
      </c>
      <c r="P7022">
        <v>0.25302070266423776</v>
      </c>
    </row>
    <row r="7023" spans="13:16">
      <c r="M7023">
        <v>0.30436261470893722</v>
      </c>
      <c r="N7023">
        <v>0.16651999291923647</v>
      </c>
      <c r="O7023">
        <v>0.28373164955102753</v>
      </c>
      <c r="P7023">
        <v>0.24538574282079884</v>
      </c>
    </row>
    <row r="7024" spans="13:16">
      <c r="M7024">
        <v>0.27990029997229088</v>
      </c>
      <c r="N7024">
        <v>0.19537095557406445</v>
      </c>
      <c r="O7024">
        <v>0.27184612282441684</v>
      </c>
      <c r="P7024">
        <v>0.25288262162922792</v>
      </c>
    </row>
    <row r="7025" spans="13:16">
      <c r="M7025">
        <v>0.28984727130579951</v>
      </c>
      <c r="N7025">
        <v>0.1949823458988095</v>
      </c>
      <c r="O7025">
        <v>0.23233070892072055</v>
      </c>
      <c r="P7025">
        <v>0.28283967387467035</v>
      </c>
    </row>
    <row r="7026" spans="13:16">
      <c r="M7026">
        <v>0.29352594726383274</v>
      </c>
      <c r="N7026">
        <v>0.17625519118009755</v>
      </c>
      <c r="O7026">
        <v>0.25909451552130042</v>
      </c>
      <c r="P7026">
        <v>0.27112434603476926</v>
      </c>
    </row>
    <row r="7027" spans="13:16">
      <c r="M7027">
        <v>0.29652535828538318</v>
      </c>
      <c r="N7027">
        <v>0.18325856853787564</v>
      </c>
      <c r="O7027">
        <v>0.2581929151860799</v>
      </c>
      <c r="P7027">
        <v>0.26202315799066139</v>
      </c>
    </row>
    <row r="7028" spans="13:16">
      <c r="M7028">
        <v>0.29374187358905035</v>
      </c>
      <c r="N7028">
        <v>0.18629461690094309</v>
      </c>
      <c r="O7028">
        <v>0.23937247097853306</v>
      </c>
      <c r="P7028">
        <v>0.28059103853147349</v>
      </c>
    </row>
    <row r="7029" spans="13:16">
      <c r="M7029">
        <v>0.28805934058382154</v>
      </c>
      <c r="N7029">
        <v>0.17078238789797437</v>
      </c>
      <c r="O7029">
        <v>0.27608486563530787</v>
      </c>
      <c r="P7029">
        <v>0.26507340588289613</v>
      </c>
    </row>
    <row r="7030" spans="13:16">
      <c r="M7030">
        <v>0.27318573274835295</v>
      </c>
      <c r="N7030">
        <v>0.17251327608923228</v>
      </c>
      <c r="O7030">
        <v>0.29891893094392802</v>
      </c>
      <c r="P7030">
        <v>0.2553820602184867</v>
      </c>
    </row>
    <row r="7031" spans="13:16">
      <c r="M7031">
        <v>0.28751525885508872</v>
      </c>
      <c r="N7031">
        <v>0.17627563375664387</v>
      </c>
      <c r="O7031">
        <v>0.28861186508345366</v>
      </c>
      <c r="P7031">
        <v>0.24759724230481386</v>
      </c>
    </row>
    <row r="7032" spans="13:16">
      <c r="M7032">
        <v>0.2804177488956156</v>
      </c>
      <c r="N7032">
        <v>0.18652420775382253</v>
      </c>
      <c r="O7032">
        <v>0.26772622083424102</v>
      </c>
      <c r="P7032">
        <v>0.26533182251632081</v>
      </c>
    </row>
    <row r="7033" spans="13:16">
      <c r="M7033">
        <v>0.29830093935698127</v>
      </c>
      <c r="N7033">
        <v>0.18864729659429619</v>
      </c>
      <c r="O7033">
        <v>0.25209817741567631</v>
      </c>
      <c r="P7033">
        <v>0.2609535866330463</v>
      </c>
    </row>
    <row r="7034" spans="13:16">
      <c r="M7034">
        <v>0.28802441853523958</v>
      </c>
      <c r="N7034">
        <v>0.1963369043746851</v>
      </c>
      <c r="O7034">
        <v>0.26690540271977414</v>
      </c>
      <c r="P7034">
        <v>0.24873327437030113</v>
      </c>
    </row>
    <row r="7035" spans="13:16">
      <c r="M7035">
        <v>0.32477828043383672</v>
      </c>
      <c r="N7035">
        <v>0.17186082347966794</v>
      </c>
      <c r="O7035">
        <v>0.23357967684801467</v>
      </c>
      <c r="P7035">
        <v>0.26978121923848081</v>
      </c>
    </row>
    <row r="7036" spans="13:16">
      <c r="M7036">
        <v>0.28060772270038498</v>
      </c>
      <c r="N7036">
        <v>0.19602874370142051</v>
      </c>
      <c r="O7036">
        <v>0.24784259411418322</v>
      </c>
      <c r="P7036">
        <v>0.27552093948401124</v>
      </c>
    </row>
    <row r="7037" spans="13:16">
      <c r="M7037">
        <v>0.28755010988156599</v>
      </c>
      <c r="N7037">
        <v>0.18525867446749003</v>
      </c>
      <c r="O7037">
        <v>0.26251318601031404</v>
      </c>
      <c r="P7037">
        <v>0.26467802964062997</v>
      </c>
    </row>
    <row r="7038" spans="13:16">
      <c r="M7038">
        <v>0.26671535407831432</v>
      </c>
      <c r="N7038">
        <v>0.18943677773696008</v>
      </c>
      <c r="O7038">
        <v>0.27562627554739022</v>
      </c>
      <c r="P7038">
        <v>0.26822159263733542</v>
      </c>
    </row>
    <row r="7039" spans="13:16">
      <c r="M7039">
        <v>0.28219183807168863</v>
      </c>
      <c r="N7039">
        <v>0.18606845602698863</v>
      </c>
      <c r="O7039">
        <v>0.27226135695572623</v>
      </c>
      <c r="P7039">
        <v>0.25947834894559668</v>
      </c>
    </row>
    <row r="7040" spans="13:16">
      <c r="M7040">
        <v>0.28174818556396475</v>
      </c>
      <c r="N7040">
        <v>0.17765828065560044</v>
      </c>
      <c r="O7040">
        <v>0.27217342348004669</v>
      </c>
      <c r="P7040">
        <v>0.26842011030038804</v>
      </c>
    </row>
    <row r="7041" spans="13:16">
      <c r="M7041">
        <v>0.26429124271123161</v>
      </c>
      <c r="N7041">
        <v>0.20374989580186359</v>
      </c>
      <c r="O7041">
        <v>0.27538138458224787</v>
      </c>
      <c r="P7041">
        <v>0.25657747690465699</v>
      </c>
    </row>
    <row r="7042" spans="13:16">
      <c r="M7042">
        <v>0.27623668520129924</v>
      </c>
      <c r="N7042">
        <v>0.19592240126957988</v>
      </c>
      <c r="O7042">
        <v>0.26003653094902379</v>
      </c>
      <c r="P7042">
        <v>0.26780438258009714</v>
      </c>
    </row>
    <row r="7043" spans="13:16">
      <c r="M7043">
        <v>0.29211426786440781</v>
      </c>
      <c r="N7043">
        <v>0.19845410317958481</v>
      </c>
      <c r="O7043">
        <v>0.23609726243958604</v>
      </c>
      <c r="P7043">
        <v>0.27333436651642123</v>
      </c>
    </row>
    <row r="7044" spans="13:16">
      <c r="M7044">
        <v>0.31304497468872228</v>
      </c>
      <c r="N7044">
        <v>0.17791170217138563</v>
      </c>
      <c r="O7044">
        <v>0.24013729677259227</v>
      </c>
      <c r="P7044">
        <v>0.26890602636729977</v>
      </c>
    </row>
    <row r="7045" spans="13:16">
      <c r="M7045">
        <v>0.280718331857227</v>
      </c>
      <c r="N7045">
        <v>0.185489633702488</v>
      </c>
      <c r="O7045">
        <v>0.24604129335756414</v>
      </c>
      <c r="P7045">
        <v>0.28775074108272086</v>
      </c>
    </row>
    <row r="7046" spans="13:16">
      <c r="M7046">
        <v>0.27252424674713743</v>
      </c>
      <c r="N7046">
        <v>0.19216106724593787</v>
      </c>
      <c r="O7046">
        <v>0.25871725663262302</v>
      </c>
      <c r="P7046">
        <v>0.27659742937430171</v>
      </c>
    </row>
    <row r="7047" spans="13:16">
      <c r="M7047">
        <v>0.30057988738644092</v>
      </c>
      <c r="N7047">
        <v>0.19597902490422603</v>
      </c>
      <c r="O7047">
        <v>0.23001933567626143</v>
      </c>
      <c r="P7047">
        <v>0.27342175203307162</v>
      </c>
    </row>
    <row r="7048" spans="13:16">
      <c r="M7048">
        <v>0.27843204597724891</v>
      </c>
      <c r="N7048">
        <v>0.18278155877450294</v>
      </c>
      <c r="O7048">
        <v>0.2779382135950681</v>
      </c>
      <c r="P7048">
        <v>0.26084818165317997</v>
      </c>
    </row>
    <row r="7049" spans="13:16">
      <c r="M7049">
        <v>0.29398115330313296</v>
      </c>
      <c r="N7049">
        <v>0.17450971933288403</v>
      </c>
      <c r="O7049">
        <v>0.28938387814982153</v>
      </c>
      <c r="P7049">
        <v>0.24212524921416134</v>
      </c>
    </row>
    <row r="7050" spans="13:16">
      <c r="M7050">
        <v>0.25311429131152341</v>
      </c>
      <c r="N7050">
        <v>0.18552481014257144</v>
      </c>
      <c r="O7050">
        <v>0.30436924590521419</v>
      </c>
      <c r="P7050">
        <v>0.25699165264069096</v>
      </c>
    </row>
    <row r="7051" spans="13:16">
      <c r="M7051">
        <v>0.3100709164025407</v>
      </c>
      <c r="N7051">
        <v>0.17058743002118038</v>
      </c>
      <c r="O7051">
        <v>0.2612194131783534</v>
      </c>
      <c r="P7051">
        <v>0.25812224039792558</v>
      </c>
    </row>
    <row r="7052" spans="13:16">
      <c r="M7052">
        <v>0.28407030998733762</v>
      </c>
      <c r="N7052">
        <v>0.17717111190973803</v>
      </c>
      <c r="O7052">
        <v>0.26867572157668229</v>
      </c>
      <c r="P7052">
        <v>0.27008285652624214</v>
      </c>
    </row>
    <row r="7053" spans="13:16">
      <c r="M7053">
        <v>0.30361065785695879</v>
      </c>
      <c r="N7053">
        <v>0.16388993687957978</v>
      </c>
      <c r="O7053">
        <v>0.29073540690626365</v>
      </c>
      <c r="P7053">
        <v>0.24176399835719781</v>
      </c>
    </row>
    <row r="7054" spans="13:16">
      <c r="M7054">
        <v>0.2798972756232615</v>
      </c>
      <c r="N7054">
        <v>0.1762469868300815</v>
      </c>
      <c r="O7054">
        <v>0.27032011463099936</v>
      </c>
      <c r="P7054">
        <v>0.27353562291565775</v>
      </c>
    </row>
    <row r="7055" spans="13:16">
      <c r="M7055">
        <v>0.29570940841795501</v>
      </c>
      <c r="N7055">
        <v>0.16356830199202127</v>
      </c>
      <c r="O7055">
        <v>0.29463286017352297</v>
      </c>
      <c r="P7055">
        <v>0.24608942941650069</v>
      </c>
    </row>
    <row r="7056" spans="13:16">
      <c r="M7056">
        <v>0.30340855723248356</v>
      </c>
      <c r="N7056">
        <v>0.18158248413960426</v>
      </c>
      <c r="O7056">
        <v>0.24911771144589548</v>
      </c>
      <c r="P7056">
        <v>0.26589124718201673</v>
      </c>
    </row>
    <row r="7057" spans="13:16">
      <c r="M7057">
        <v>0.28969854870521877</v>
      </c>
      <c r="N7057">
        <v>0.19032736405890832</v>
      </c>
      <c r="O7057">
        <v>0.26715288915039198</v>
      </c>
      <c r="P7057">
        <v>0.25282119808548098</v>
      </c>
    </row>
    <row r="7058" spans="13:16">
      <c r="M7058">
        <v>0.31046548028897641</v>
      </c>
      <c r="N7058">
        <v>0.1875654755414852</v>
      </c>
      <c r="O7058">
        <v>0.22317545828393737</v>
      </c>
      <c r="P7058">
        <v>0.27879358588560105</v>
      </c>
    </row>
    <row r="7059" spans="13:16">
      <c r="M7059">
        <v>0.29129336638334141</v>
      </c>
      <c r="N7059">
        <v>0.2022446809852225</v>
      </c>
      <c r="O7059">
        <v>0.22730181978093617</v>
      </c>
      <c r="P7059">
        <v>0.27916013285049995</v>
      </c>
    </row>
    <row r="7060" spans="13:16">
      <c r="M7060">
        <v>0.3044593238984436</v>
      </c>
      <c r="N7060">
        <v>0.17771581496866709</v>
      </c>
      <c r="O7060">
        <v>0.24686743468188971</v>
      </c>
      <c r="P7060">
        <v>0.27095742645099968</v>
      </c>
    </row>
    <row r="7061" spans="13:16">
      <c r="M7061">
        <v>0.31934034828797631</v>
      </c>
      <c r="N7061">
        <v>0.17950247490539306</v>
      </c>
      <c r="O7061">
        <v>0.24143363208035418</v>
      </c>
      <c r="P7061">
        <v>0.25972354472627651</v>
      </c>
    </row>
    <row r="7062" spans="13:16">
      <c r="M7062">
        <v>0.31477254042114045</v>
      </c>
      <c r="N7062">
        <v>0.20610954705679344</v>
      </c>
      <c r="O7062">
        <v>0.2070292294870878</v>
      </c>
      <c r="P7062">
        <v>0.27208868303497835</v>
      </c>
    </row>
    <row r="7063" spans="13:16">
      <c r="M7063">
        <v>0.2651139293866458</v>
      </c>
      <c r="N7063">
        <v>0.19525170409916953</v>
      </c>
      <c r="O7063">
        <v>0.26995043795737722</v>
      </c>
      <c r="P7063">
        <v>0.26968392855680734</v>
      </c>
    </row>
    <row r="7064" spans="13:16">
      <c r="M7064">
        <v>0.28144322093811569</v>
      </c>
      <c r="N7064">
        <v>0.19790091351270839</v>
      </c>
      <c r="O7064">
        <v>0.26006353074992933</v>
      </c>
      <c r="P7064">
        <v>0.26059233479924665</v>
      </c>
    </row>
    <row r="7065" spans="13:16">
      <c r="M7065">
        <v>0.27323781378584228</v>
      </c>
      <c r="N7065">
        <v>0.17410589565481915</v>
      </c>
      <c r="O7065">
        <v>0.28844558287441174</v>
      </c>
      <c r="P7065">
        <v>0.26421070768492683</v>
      </c>
    </row>
    <row r="7066" spans="13:16">
      <c r="M7066">
        <v>0.28840889770001776</v>
      </c>
      <c r="N7066">
        <v>0.17929324176738759</v>
      </c>
      <c r="O7066">
        <v>0.2706307935186858</v>
      </c>
      <c r="P7066">
        <v>0.26166706701390902</v>
      </c>
    </row>
    <row r="7067" spans="13:16">
      <c r="M7067">
        <v>0.30612654341280804</v>
      </c>
      <c r="N7067">
        <v>0.16783694495873519</v>
      </c>
      <c r="O7067">
        <v>0.27542005548898124</v>
      </c>
      <c r="P7067">
        <v>0.25061645613947542</v>
      </c>
    </row>
    <row r="7068" spans="13:16">
      <c r="M7068">
        <v>0.29781278701562297</v>
      </c>
      <c r="N7068">
        <v>0.16722556374775552</v>
      </c>
      <c r="O7068">
        <v>0.28555912636411801</v>
      </c>
      <c r="P7068">
        <v>0.2494025228725035</v>
      </c>
    </row>
    <row r="7069" spans="13:16">
      <c r="M7069">
        <v>0.28798397725382768</v>
      </c>
      <c r="N7069">
        <v>0.20069494359259671</v>
      </c>
      <c r="O7069">
        <v>0.23628482657641695</v>
      </c>
      <c r="P7069">
        <v>0.27503625257715869</v>
      </c>
    </row>
    <row r="7070" spans="13:16">
      <c r="M7070">
        <v>0.27735394416970499</v>
      </c>
      <c r="N7070">
        <v>0.20108826985928621</v>
      </c>
      <c r="O7070">
        <v>0.25106274967515263</v>
      </c>
      <c r="P7070">
        <v>0.27049503629585619</v>
      </c>
    </row>
    <row r="7071" spans="13:16">
      <c r="M7071">
        <v>0.2757104060711012</v>
      </c>
      <c r="N7071">
        <v>0.21192642419873514</v>
      </c>
      <c r="O7071">
        <v>0.24144190169697455</v>
      </c>
      <c r="P7071">
        <v>0.27092126803318917</v>
      </c>
    </row>
    <row r="7072" spans="13:16">
      <c r="M7072">
        <v>0.28347058776232004</v>
      </c>
      <c r="N7072">
        <v>0.20069426378964147</v>
      </c>
      <c r="O7072">
        <v>0.24096333790424884</v>
      </c>
      <c r="P7072">
        <v>0.27487181054378973</v>
      </c>
    </row>
    <row r="7073" spans="13:16">
      <c r="M7073">
        <v>0.2899249765714827</v>
      </c>
      <c r="N7073">
        <v>0.20760091783026172</v>
      </c>
      <c r="O7073">
        <v>0.23524612724024471</v>
      </c>
      <c r="P7073">
        <v>0.26722797835801099</v>
      </c>
    </row>
    <row r="7074" spans="13:16">
      <c r="M7074">
        <v>0.31009926134916876</v>
      </c>
      <c r="N7074">
        <v>0.17447464653435388</v>
      </c>
      <c r="O7074">
        <v>0.25691883196223236</v>
      </c>
      <c r="P7074">
        <v>0.25850726015424491</v>
      </c>
    </row>
    <row r="7075" spans="13:16">
      <c r="M7075">
        <v>0.3075184029921128</v>
      </c>
      <c r="N7075">
        <v>0.17766354599737247</v>
      </c>
      <c r="O7075">
        <v>0.26406591736821655</v>
      </c>
      <c r="P7075">
        <v>0.25075213364229831</v>
      </c>
    </row>
    <row r="7076" spans="13:16">
      <c r="M7076">
        <v>0.28091187805025969</v>
      </c>
      <c r="N7076">
        <v>0.2020579399549392</v>
      </c>
      <c r="O7076">
        <v>0.25218282332023345</v>
      </c>
      <c r="P7076">
        <v>0.26484735867456766</v>
      </c>
    </row>
    <row r="7077" spans="13:16">
      <c r="M7077">
        <v>0.27115223376724285</v>
      </c>
      <c r="N7077">
        <v>0.18361840066424057</v>
      </c>
      <c r="O7077">
        <v>0.27998838977758667</v>
      </c>
      <c r="P7077">
        <v>0.26524097579092998</v>
      </c>
    </row>
    <row r="7078" spans="13:16">
      <c r="M7078">
        <v>0.30131768190048347</v>
      </c>
      <c r="N7078">
        <v>0.16353661551286292</v>
      </c>
      <c r="O7078">
        <v>0.28191478938543585</v>
      </c>
      <c r="P7078">
        <v>0.25323091320121771</v>
      </c>
    </row>
    <row r="7079" spans="13:16">
      <c r="M7079">
        <v>0.30557719711774106</v>
      </c>
      <c r="N7079">
        <v>0.17482980803127485</v>
      </c>
      <c r="O7079">
        <v>0.26544722634030982</v>
      </c>
      <c r="P7079">
        <v>0.25414576851067433</v>
      </c>
    </row>
    <row r="7080" spans="13:16">
      <c r="M7080">
        <v>0.27344599563980665</v>
      </c>
      <c r="N7080">
        <v>0.20091393449887052</v>
      </c>
      <c r="O7080">
        <v>0.25173889728727028</v>
      </c>
      <c r="P7080">
        <v>0.27390117257405255</v>
      </c>
    </row>
    <row r="7081" spans="13:16">
      <c r="M7081">
        <v>0.30665474256360614</v>
      </c>
      <c r="N7081">
        <v>0.18210592083134186</v>
      </c>
      <c r="O7081">
        <v>0.26578948055565521</v>
      </c>
      <c r="P7081">
        <v>0.2454498560493967</v>
      </c>
    </row>
    <row r="7082" spans="13:16">
      <c r="M7082">
        <v>0.28065054897259495</v>
      </c>
      <c r="N7082">
        <v>0.19343101933701573</v>
      </c>
      <c r="O7082">
        <v>0.27202706876227412</v>
      </c>
      <c r="P7082">
        <v>0.25389136292811537</v>
      </c>
    </row>
    <row r="7083" spans="13:16">
      <c r="M7083">
        <v>0.27946584227144572</v>
      </c>
      <c r="N7083">
        <v>0.175295005649761</v>
      </c>
      <c r="O7083">
        <v>0.2849514610733811</v>
      </c>
      <c r="P7083">
        <v>0.26028769100541221</v>
      </c>
    </row>
    <row r="7084" spans="13:16">
      <c r="M7084">
        <v>0.32711992068978774</v>
      </c>
      <c r="N7084">
        <v>0.17345606720124845</v>
      </c>
      <c r="O7084">
        <v>0.22619032206932554</v>
      </c>
      <c r="P7084">
        <v>0.27323369003963827</v>
      </c>
    </row>
    <row r="7085" spans="13:16">
      <c r="M7085">
        <v>0.28649844404173347</v>
      </c>
      <c r="N7085">
        <v>0.21003273541342177</v>
      </c>
      <c r="O7085">
        <v>0.23807853494871861</v>
      </c>
      <c r="P7085">
        <v>0.26539028559612615</v>
      </c>
    </row>
    <row r="7086" spans="13:16">
      <c r="M7086">
        <v>0.3147637561328181</v>
      </c>
      <c r="N7086">
        <v>0.20435506308606449</v>
      </c>
      <c r="O7086">
        <v>0.20716671058071739</v>
      </c>
      <c r="P7086">
        <v>0.27371447020040002</v>
      </c>
    </row>
    <row r="7087" spans="13:16">
      <c r="M7087">
        <v>0.28124466487032357</v>
      </c>
      <c r="N7087">
        <v>0.19307881056353624</v>
      </c>
      <c r="O7087">
        <v>0.25968766719025416</v>
      </c>
      <c r="P7087">
        <v>0.26598885737588612</v>
      </c>
    </row>
    <row r="7088" spans="13:16">
      <c r="M7088">
        <v>0.2648500671068853</v>
      </c>
      <c r="N7088">
        <v>0.19038193342562096</v>
      </c>
      <c r="O7088">
        <v>0.28540349674478338</v>
      </c>
      <c r="P7088">
        <v>0.25936450272271044</v>
      </c>
    </row>
    <row r="7089" spans="13:16">
      <c r="M7089">
        <v>0.28238454742993097</v>
      </c>
      <c r="N7089">
        <v>0.18144786274997526</v>
      </c>
      <c r="O7089">
        <v>0.2784516356356983</v>
      </c>
      <c r="P7089">
        <v>0.25771595418439536</v>
      </c>
    </row>
    <row r="7090" spans="13:16">
      <c r="M7090">
        <v>0.28739528517610008</v>
      </c>
      <c r="N7090">
        <v>0.1916661244207192</v>
      </c>
      <c r="O7090">
        <v>0.2462199451609598</v>
      </c>
      <c r="P7090">
        <v>0.27471864524222095</v>
      </c>
    </row>
    <row r="7091" spans="13:16">
      <c r="M7091">
        <v>0.31323440942712494</v>
      </c>
      <c r="N7091">
        <v>0.17185805505632382</v>
      </c>
      <c r="O7091">
        <v>0.27402671004254464</v>
      </c>
      <c r="P7091">
        <v>0.2408808254740066</v>
      </c>
    </row>
    <row r="7092" spans="13:16">
      <c r="M7092">
        <v>0.28971708168203003</v>
      </c>
      <c r="N7092">
        <v>0.1842795521385143</v>
      </c>
      <c r="O7092">
        <v>0.24953539636738015</v>
      </c>
      <c r="P7092">
        <v>0.27646796981207555</v>
      </c>
    </row>
    <row r="7093" spans="13:16">
      <c r="M7093">
        <v>0.27826795677240218</v>
      </c>
      <c r="N7093">
        <v>0.21436983712884697</v>
      </c>
      <c r="O7093">
        <v>0.23737482203918903</v>
      </c>
      <c r="P7093">
        <v>0.26998738405956185</v>
      </c>
    </row>
    <row r="7094" spans="13:16">
      <c r="M7094">
        <v>0.31985343201029059</v>
      </c>
      <c r="N7094">
        <v>0.16795084588020875</v>
      </c>
      <c r="O7094">
        <v>0.2621419452484865</v>
      </c>
      <c r="P7094">
        <v>0.25005377686101415</v>
      </c>
    </row>
    <row r="7095" spans="13:16">
      <c r="M7095">
        <v>0.27152085077734878</v>
      </c>
      <c r="N7095">
        <v>0.19637388827716548</v>
      </c>
      <c r="O7095">
        <v>0.25464168678532589</v>
      </c>
      <c r="P7095">
        <v>0.27746357416015971</v>
      </c>
    </row>
    <row r="7096" spans="13:16">
      <c r="M7096">
        <v>0.32453640681868162</v>
      </c>
      <c r="N7096">
        <v>0.18143361349326098</v>
      </c>
      <c r="O7096">
        <v>0.22848323843331625</v>
      </c>
      <c r="P7096">
        <v>0.26554674125474104</v>
      </c>
    </row>
    <row r="7097" spans="13:16">
      <c r="M7097">
        <v>0.28481491697155226</v>
      </c>
      <c r="N7097">
        <v>0.19651649301314048</v>
      </c>
      <c r="O7097">
        <v>0.22214895523838663</v>
      </c>
      <c r="P7097">
        <v>0.29651963477692062</v>
      </c>
    </row>
    <row r="7098" spans="13:16">
      <c r="M7098">
        <v>0.28507894521765814</v>
      </c>
      <c r="N7098">
        <v>0.17980810774902842</v>
      </c>
      <c r="O7098">
        <v>0.26205987179893175</v>
      </c>
      <c r="P7098">
        <v>0.2730530752343816</v>
      </c>
    </row>
    <row r="7099" spans="13:16">
      <c r="M7099">
        <v>0.26259131830580701</v>
      </c>
      <c r="N7099">
        <v>0.18730618003034968</v>
      </c>
      <c r="O7099">
        <v>0.288321174207049</v>
      </c>
      <c r="P7099">
        <v>0.26178132745679439</v>
      </c>
    </row>
    <row r="7100" spans="13:16">
      <c r="M7100">
        <v>0.26744884628528304</v>
      </c>
      <c r="N7100">
        <v>0.18697911683956156</v>
      </c>
      <c r="O7100">
        <v>0.27742759224305202</v>
      </c>
      <c r="P7100">
        <v>0.26814444463210346</v>
      </c>
    </row>
    <row r="7101" spans="13:16">
      <c r="M7101">
        <v>0.2673182065666258</v>
      </c>
      <c r="N7101">
        <v>0.20851596005964609</v>
      </c>
      <c r="O7101">
        <v>0.25627943109156437</v>
      </c>
      <c r="P7101">
        <v>0.26788640228216376</v>
      </c>
    </row>
    <row r="7102" spans="13:16">
      <c r="M7102">
        <v>0.26593750097675761</v>
      </c>
      <c r="N7102">
        <v>0.18403652752314073</v>
      </c>
      <c r="O7102">
        <v>0.28689931461151669</v>
      </c>
      <c r="P7102">
        <v>0.26312665688858489</v>
      </c>
    </row>
    <row r="7103" spans="13:16">
      <c r="M7103">
        <v>0.28900697897765143</v>
      </c>
      <c r="N7103">
        <v>0.19340322602272375</v>
      </c>
      <c r="O7103">
        <v>0.25559071165975539</v>
      </c>
      <c r="P7103">
        <v>0.26199908333986943</v>
      </c>
    </row>
    <row r="7104" spans="13:16">
      <c r="M7104">
        <v>0.30857909541020584</v>
      </c>
      <c r="N7104">
        <v>0.18595204041388097</v>
      </c>
      <c r="O7104">
        <v>0.22728930506624939</v>
      </c>
      <c r="P7104">
        <v>0.27817955910966374</v>
      </c>
    </row>
    <row r="7105" spans="13:16">
      <c r="M7105">
        <v>0.28957919117147052</v>
      </c>
      <c r="N7105">
        <v>0.19012426993042059</v>
      </c>
      <c r="O7105">
        <v>0.23595911661839858</v>
      </c>
      <c r="P7105">
        <v>0.28433742227971043</v>
      </c>
    </row>
    <row r="7106" spans="13:16">
      <c r="M7106">
        <v>0.32808639684438606</v>
      </c>
      <c r="N7106">
        <v>0.16603712296894013</v>
      </c>
      <c r="O7106">
        <v>0.24760205460117057</v>
      </c>
      <c r="P7106">
        <v>0.25827442558550323</v>
      </c>
    </row>
    <row r="7107" spans="13:16">
      <c r="M7107">
        <v>0.27828218919199038</v>
      </c>
      <c r="N7107">
        <v>0.18318818462597064</v>
      </c>
      <c r="O7107">
        <v>0.28655491304336744</v>
      </c>
      <c r="P7107">
        <v>0.25197471313867148</v>
      </c>
    </row>
    <row r="7108" spans="13:16">
      <c r="M7108">
        <v>0.2844395379247952</v>
      </c>
      <c r="N7108">
        <v>0.19617333100638945</v>
      </c>
      <c r="O7108">
        <v>0.24098109349001615</v>
      </c>
      <c r="P7108">
        <v>0.27840603757879911</v>
      </c>
    </row>
    <row r="7109" spans="13:16">
      <c r="M7109">
        <v>0.32072116259926492</v>
      </c>
      <c r="N7109">
        <v>0.1814521747079284</v>
      </c>
      <c r="O7109">
        <v>0.21972081814000946</v>
      </c>
      <c r="P7109">
        <v>0.2781058445527973</v>
      </c>
    </row>
    <row r="7110" spans="13:16">
      <c r="M7110">
        <v>0.28573117771425199</v>
      </c>
      <c r="N7110">
        <v>0.19835877530493312</v>
      </c>
      <c r="O7110">
        <v>0.25835137783229445</v>
      </c>
      <c r="P7110">
        <v>0.25755866914852033</v>
      </c>
    </row>
    <row r="7111" spans="13:16">
      <c r="M7111">
        <v>0.28693529740992429</v>
      </c>
      <c r="N7111">
        <v>0.19582261120713593</v>
      </c>
      <c r="O7111">
        <v>0.24226547859442243</v>
      </c>
      <c r="P7111">
        <v>0.27497661278851737</v>
      </c>
    </row>
    <row r="7112" spans="13:16">
      <c r="M7112">
        <v>0.27658252498940167</v>
      </c>
      <c r="N7112">
        <v>0.19820263923411205</v>
      </c>
      <c r="O7112">
        <v>0.26508153409581142</v>
      </c>
      <c r="P7112">
        <v>0.26013330168067489</v>
      </c>
    </row>
    <row r="7113" spans="13:16">
      <c r="M7113">
        <v>0.30696272711026618</v>
      </c>
      <c r="N7113">
        <v>0.16106129465171545</v>
      </c>
      <c r="O7113">
        <v>0.28982650694853196</v>
      </c>
      <c r="P7113">
        <v>0.24214947128948638</v>
      </c>
    </row>
    <row r="7114" spans="13:16">
      <c r="M7114">
        <v>0.2813474576622747</v>
      </c>
      <c r="N7114">
        <v>0.17769559323958387</v>
      </c>
      <c r="O7114">
        <v>0.28820619949182213</v>
      </c>
      <c r="P7114">
        <v>0.25275074960631938</v>
      </c>
    </row>
    <row r="7115" spans="13:16">
      <c r="M7115">
        <v>0.29664609823483823</v>
      </c>
      <c r="N7115">
        <v>0.1673022372140944</v>
      </c>
      <c r="O7115">
        <v>0.29063702444666262</v>
      </c>
      <c r="P7115">
        <v>0.24541464010440484</v>
      </c>
    </row>
    <row r="7116" spans="13:16">
      <c r="M7116">
        <v>0.28457380856922587</v>
      </c>
      <c r="N7116">
        <v>0.19528700701986898</v>
      </c>
      <c r="O7116">
        <v>0.2451452793111436</v>
      </c>
      <c r="P7116">
        <v>0.27499390509976152</v>
      </c>
    </row>
    <row r="7117" spans="13:16">
      <c r="M7117">
        <v>0.31178172023033873</v>
      </c>
      <c r="N7117">
        <v>0.17139325214725828</v>
      </c>
      <c r="O7117">
        <v>0.24961426251818758</v>
      </c>
      <c r="P7117">
        <v>0.26721076510421543</v>
      </c>
    </row>
    <row r="7118" spans="13:16">
      <c r="M7118">
        <v>0.27723406265616374</v>
      </c>
      <c r="N7118">
        <v>0.18083416466850999</v>
      </c>
      <c r="O7118">
        <v>0.2801818302788513</v>
      </c>
      <c r="P7118">
        <v>0.26174994239647503</v>
      </c>
    </row>
    <row r="7119" spans="13:16">
      <c r="M7119">
        <v>0.28158269079327086</v>
      </c>
      <c r="N7119">
        <v>0.19457788519719257</v>
      </c>
      <c r="O7119">
        <v>0.25589930700127866</v>
      </c>
      <c r="P7119">
        <v>0.26794011700825787</v>
      </c>
    </row>
    <row r="7120" spans="13:16">
      <c r="M7120">
        <v>0.30307075271262729</v>
      </c>
      <c r="N7120">
        <v>0.16765055655711233</v>
      </c>
      <c r="O7120">
        <v>0.27775038101504873</v>
      </c>
      <c r="P7120">
        <v>0.25152830971521173</v>
      </c>
    </row>
    <row r="7121" spans="13:16">
      <c r="M7121">
        <v>0.29817772584496521</v>
      </c>
      <c r="N7121">
        <v>0.16807622683372508</v>
      </c>
      <c r="O7121">
        <v>0.28045553385912664</v>
      </c>
      <c r="P7121">
        <v>0.25329051346218295</v>
      </c>
    </row>
    <row r="7122" spans="13:16">
      <c r="M7122">
        <v>0.28432762407784351</v>
      </c>
      <c r="N7122">
        <v>0.17272152874181601</v>
      </c>
      <c r="O7122">
        <v>0.28861585736206835</v>
      </c>
      <c r="P7122">
        <v>0.25433498981827207</v>
      </c>
    </row>
    <row r="7123" spans="13:16">
      <c r="M7123">
        <v>0.28358743553914861</v>
      </c>
      <c r="N7123">
        <v>0.19257774328344532</v>
      </c>
      <c r="O7123">
        <v>0.25766659722477958</v>
      </c>
      <c r="P7123">
        <v>0.26616822395262646</v>
      </c>
    </row>
    <row r="7124" spans="13:16">
      <c r="M7124">
        <v>0.28953845976768916</v>
      </c>
      <c r="N7124">
        <v>0.18359905499936527</v>
      </c>
      <c r="O7124">
        <v>0.26670209830368335</v>
      </c>
      <c r="P7124">
        <v>0.26016038692926213</v>
      </c>
    </row>
    <row r="7125" spans="13:16">
      <c r="M7125">
        <v>0.29822389021929485</v>
      </c>
      <c r="N7125">
        <v>0.18317616023230232</v>
      </c>
      <c r="O7125">
        <v>0.25519650510094144</v>
      </c>
      <c r="P7125">
        <v>0.26340344444746139</v>
      </c>
    </row>
    <row r="7126" spans="13:16">
      <c r="M7126">
        <v>0.27704949638601017</v>
      </c>
      <c r="N7126">
        <v>0.17776828092892386</v>
      </c>
      <c r="O7126">
        <v>0.27408905933844446</v>
      </c>
      <c r="P7126">
        <v>0.27109316334662142</v>
      </c>
    </row>
    <row r="7127" spans="13:16">
      <c r="M7127">
        <v>0.31210787636146176</v>
      </c>
      <c r="N7127">
        <v>0.18084267063536083</v>
      </c>
      <c r="O7127">
        <v>0.24690093767589666</v>
      </c>
      <c r="P7127">
        <v>0.26014851532728073</v>
      </c>
    </row>
    <row r="7128" spans="13:16">
      <c r="M7128">
        <v>0.29323505160154933</v>
      </c>
      <c r="N7128">
        <v>0.17838850883647131</v>
      </c>
      <c r="O7128">
        <v>0.29461212473889675</v>
      </c>
      <c r="P7128">
        <v>0.23376431482308266</v>
      </c>
    </row>
    <row r="7129" spans="13:16">
      <c r="M7129">
        <v>0.30728125641680831</v>
      </c>
      <c r="N7129">
        <v>0.17821339914506401</v>
      </c>
      <c r="O7129">
        <v>0.25808693745841083</v>
      </c>
      <c r="P7129">
        <v>0.25641840697971691</v>
      </c>
    </row>
    <row r="7130" spans="13:16">
      <c r="M7130">
        <v>0.274007972869794</v>
      </c>
      <c r="N7130">
        <v>0.18964804261641408</v>
      </c>
      <c r="O7130">
        <v>0.26357042538296999</v>
      </c>
      <c r="P7130">
        <v>0.27277355913082185</v>
      </c>
    </row>
    <row r="7131" spans="13:16">
      <c r="M7131">
        <v>0.26892136744517819</v>
      </c>
      <c r="N7131">
        <v>0.20701380234886671</v>
      </c>
      <c r="O7131">
        <v>0.24378945646079761</v>
      </c>
      <c r="P7131">
        <v>0.28027537374515737</v>
      </c>
    </row>
    <row r="7132" spans="13:16">
      <c r="M7132">
        <v>0.30502389855523332</v>
      </c>
      <c r="N7132">
        <v>0.18424810780580922</v>
      </c>
      <c r="O7132">
        <v>0.25243392892428135</v>
      </c>
      <c r="P7132">
        <v>0.2582940647146762</v>
      </c>
    </row>
    <row r="7133" spans="13:16">
      <c r="M7133">
        <v>0.28060701044347502</v>
      </c>
      <c r="N7133">
        <v>0.19151909774514408</v>
      </c>
      <c r="O7133">
        <v>0.27984758483454203</v>
      </c>
      <c r="P7133">
        <v>0.24802630697683897</v>
      </c>
    </row>
    <row r="7134" spans="13:16">
      <c r="M7134">
        <v>0.28921067321575444</v>
      </c>
      <c r="N7134">
        <v>0.18057974504646213</v>
      </c>
      <c r="O7134">
        <v>0.26945656394962808</v>
      </c>
      <c r="P7134">
        <v>0.26075301778815541</v>
      </c>
    </row>
    <row r="7135" spans="13:16">
      <c r="M7135">
        <v>0.31308212183992867</v>
      </c>
      <c r="N7135">
        <v>0.18363546500344491</v>
      </c>
      <c r="O7135">
        <v>0.24378461461843595</v>
      </c>
      <c r="P7135">
        <v>0.25949779853819055</v>
      </c>
    </row>
    <row r="7136" spans="13:16">
      <c r="M7136">
        <v>0.29758679436310581</v>
      </c>
      <c r="N7136">
        <v>0.18583416943807449</v>
      </c>
      <c r="O7136">
        <v>0.22873421042210185</v>
      </c>
      <c r="P7136">
        <v>0.28784482577671772</v>
      </c>
    </row>
    <row r="7137" spans="13:16">
      <c r="M7137">
        <v>0.28897123652258705</v>
      </c>
      <c r="N7137">
        <v>0.19214361836426755</v>
      </c>
      <c r="O7137">
        <v>0.26785898688086873</v>
      </c>
      <c r="P7137">
        <v>0.25102615823227664</v>
      </c>
    </row>
    <row r="7138" spans="13:16">
      <c r="M7138">
        <v>0.27209659816281356</v>
      </c>
      <c r="N7138">
        <v>0.19878006005147211</v>
      </c>
      <c r="O7138">
        <v>0.25933553875810472</v>
      </c>
      <c r="P7138">
        <v>0.2697878030276098</v>
      </c>
    </row>
    <row r="7139" spans="13:16">
      <c r="M7139">
        <v>0.30673544256747787</v>
      </c>
      <c r="N7139">
        <v>0.1758824500104364</v>
      </c>
      <c r="O7139">
        <v>0.26643731863543779</v>
      </c>
      <c r="P7139">
        <v>0.250944788786648</v>
      </c>
    </row>
    <row r="7140" spans="13:16">
      <c r="M7140">
        <v>0.28722773946344987</v>
      </c>
      <c r="N7140">
        <v>0.18964621391647926</v>
      </c>
      <c r="O7140">
        <v>0.27800766621238077</v>
      </c>
      <c r="P7140">
        <v>0.24511838040769013</v>
      </c>
    </row>
    <row r="7141" spans="13:16">
      <c r="M7141">
        <v>0.30604708244651252</v>
      </c>
      <c r="N7141">
        <v>0.18164858601337722</v>
      </c>
      <c r="O7141">
        <v>0.25366193563936906</v>
      </c>
      <c r="P7141">
        <v>0.25864239590074112</v>
      </c>
    </row>
    <row r="7142" spans="13:16">
      <c r="M7142">
        <v>0.29698321672812594</v>
      </c>
      <c r="N7142">
        <v>0.19329570593542172</v>
      </c>
      <c r="O7142">
        <v>0.24079131726824465</v>
      </c>
      <c r="P7142">
        <v>0.26892976006820768</v>
      </c>
    </row>
    <row r="7143" spans="13:16">
      <c r="M7143">
        <v>0.28626067364857272</v>
      </c>
      <c r="N7143">
        <v>0.17825332633029514</v>
      </c>
      <c r="O7143">
        <v>0.26990402264230734</v>
      </c>
      <c r="P7143">
        <v>0.26558197737882483</v>
      </c>
    </row>
    <row r="7144" spans="13:16">
      <c r="M7144">
        <v>0.28300050218271117</v>
      </c>
      <c r="N7144">
        <v>0.1830001400399722</v>
      </c>
      <c r="O7144">
        <v>0.25725639559054198</v>
      </c>
      <c r="P7144">
        <v>0.27674296218677463</v>
      </c>
    </row>
    <row r="7145" spans="13:16">
      <c r="M7145">
        <v>0.30942586102273562</v>
      </c>
      <c r="N7145">
        <v>0.17225138912315133</v>
      </c>
      <c r="O7145">
        <v>0.27491652992148807</v>
      </c>
      <c r="P7145">
        <v>0.24340621993262493</v>
      </c>
    </row>
    <row r="7146" spans="13:16">
      <c r="M7146">
        <v>0.27587143936777581</v>
      </c>
      <c r="N7146">
        <v>0.19307685330743057</v>
      </c>
      <c r="O7146">
        <v>0.2425726003698318</v>
      </c>
      <c r="P7146">
        <v>0.28847910695496182</v>
      </c>
    </row>
    <row r="7147" spans="13:16">
      <c r="M7147">
        <v>0.28180067272708598</v>
      </c>
      <c r="N7147">
        <v>0.19141944546554152</v>
      </c>
      <c r="O7147">
        <v>0.26745372030943526</v>
      </c>
      <c r="P7147">
        <v>0.25932616149793714</v>
      </c>
    </row>
    <row r="7148" spans="13:16">
      <c r="M7148">
        <v>0.29237881535821947</v>
      </c>
      <c r="N7148">
        <v>0.18803879647066227</v>
      </c>
      <c r="O7148">
        <v>0.25689497655892019</v>
      </c>
      <c r="P7148">
        <v>0.26268741161219805</v>
      </c>
    </row>
    <row r="7149" spans="13:16">
      <c r="M7149">
        <v>0.29571668787273331</v>
      </c>
      <c r="N7149">
        <v>0.19964946471127293</v>
      </c>
      <c r="O7149">
        <v>0.23404453287050903</v>
      </c>
      <c r="P7149">
        <v>0.27058931454548496</v>
      </c>
    </row>
    <row r="7150" spans="13:16">
      <c r="M7150">
        <v>0.26623059082387446</v>
      </c>
      <c r="N7150">
        <v>0.18775560372747377</v>
      </c>
      <c r="O7150">
        <v>0.28205806317936949</v>
      </c>
      <c r="P7150">
        <v>0.26395574226928237</v>
      </c>
    </row>
    <row r="7151" spans="13:16">
      <c r="M7151">
        <v>0.29862189630793617</v>
      </c>
      <c r="N7151">
        <v>0.19154355088898964</v>
      </c>
      <c r="O7151">
        <v>0.25017368633894865</v>
      </c>
      <c r="P7151">
        <v>0.25966086646412551</v>
      </c>
    </row>
    <row r="7152" spans="13:16">
      <c r="M7152">
        <v>0.28871470231181806</v>
      </c>
      <c r="N7152">
        <v>0.1720798699812561</v>
      </c>
      <c r="O7152">
        <v>0.26728586044910396</v>
      </c>
      <c r="P7152">
        <v>0.27191956725782185</v>
      </c>
    </row>
    <row r="7153" spans="13:16">
      <c r="M7153">
        <v>0.30333139164051709</v>
      </c>
      <c r="N7153">
        <v>0.18631716373225879</v>
      </c>
      <c r="O7153">
        <v>0.23931583319012223</v>
      </c>
      <c r="P7153">
        <v>0.27103561143710203</v>
      </c>
    </row>
    <row r="7154" spans="13:16">
      <c r="M7154">
        <v>0.31536218620494949</v>
      </c>
      <c r="N7154">
        <v>0.19642932044723316</v>
      </c>
      <c r="O7154">
        <v>0.22857111408682476</v>
      </c>
      <c r="P7154">
        <v>0.25963737926099262</v>
      </c>
    </row>
    <row r="7155" spans="13:16">
      <c r="M7155">
        <v>0.29628575927302542</v>
      </c>
      <c r="N7155">
        <v>0.1803534036399192</v>
      </c>
      <c r="O7155">
        <v>0.26172306758599001</v>
      </c>
      <c r="P7155">
        <v>0.26163776950106538</v>
      </c>
    </row>
    <row r="7156" spans="13:16">
      <c r="M7156">
        <v>0.27493620517535849</v>
      </c>
      <c r="N7156">
        <v>0.19008645706354832</v>
      </c>
      <c r="O7156">
        <v>0.2625149744995906</v>
      </c>
      <c r="P7156">
        <v>0.27246236326150242</v>
      </c>
    </row>
    <row r="7157" spans="13:16">
      <c r="M7157">
        <v>0.31845679847592123</v>
      </c>
      <c r="N7157">
        <v>0.16132209027322708</v>
      </c>
      <c r="O7157">
        <v>0.26796575452511956</v>
      </c>
      <c r="P7157">
        <v>0.25225535672573213</v>
      </c>
    </row>
    <row r="7158" spans="13:16">
      <c r="M7158">
        <v>0.31166495240789671</v>
      </c>
      <c r="N7158">
        <v>0.19296028611036303</v>
      </c>
      <c r="O7158">
        <v>0.23337223160475096</v>
      </c>
      <c r="P7158">
        <v>0.2620025298769893</v>
      </c>
    </row>
    <row r="7159" spans="13:16">
      <c r="M7159">
        <v>0.27031244107114327</v>
      </c>
      <c r="N7159">
        <v>0.19865229927343614</v>
      </c>
      <c r="O7159">
        <v>0.26240840917048541</v>
      </c>
      <c r="P7159">
        <v>0.26862685048493518</v>
      </c>
    </row>
    <row r="7160" spans="13:16">
      <c r="M7160">
        <v>0.27921328780549037</v>
      </c>
      <c r="N7160">
        <v>0.18311149408711283</v>
      </c>
      <c r="O7160">
        <v>0.26141954995428535</v>
      </c>
      <c r="P7160">
        <v>0.27625566815311148</v>
      </c>
    </row>
    <row r="7161" spans="13:16">
      <c r="M7161">
        <v>0.30784735842830974</v>
      </c>
      <c r="N7161">
        <v>0.16399594473092802</v>
      </c>
      <c r="O7161">
        <v>0.27613453817526634</v>
      </c>
      <c r="P7161">
        <v>0.25202215866549582</v>
      </c>
    </row>
    <row r="7162" spans="13:16">
      <c r="M7162">
        <v>0.30247223192484374</v>
      </c>
      <c r="N7162">
        <v>0.16546051128863534</v>
      </c>
      <c r="O7162">
        <v>0.28709331538135208</v>
      </c>
      <c r="P7162">
        <v>0.24497394140516876</v>
      </c>
    </row>
    <row r="7163" spans="13:16">
      <c r="M7163">
        <v>0.29956223974346008</v>
      </c>
      <c r="N7163">
        <v>0.19661229634129537</v>
      </c>
      <c r="O7163">
        <v>0.24053851161218684</v>
      </c>
      <c r="P7163">
        <v>0.26328695230305765</v>
      </c>
    </row>
    <row r="7164" spans="13:16">
      <c r="M7164">
        <v>0.33435189185162395</v>
      </c>
      <c r="N7164">
        <v>0.17116272243452968</v>
      </c>
      <c r="O7164">
        <v>0.23615166062909129</v>
      </c>
      <c r="P7164">
        <v>0.25833372508475511</v>
      </c>
    </row>
    <row r="7165" spans="13:16">
      <c r="M7165">
        <v>0.25502358258914454</v>
      </c>
      <c r="N7165">
        <v>0.18741542127228578</v>
      </c>
      <c r="O7165">
        <v>0.30040801072256307</v>
      </c>
      <c r="P7165">
        <v>0.25715298541600656</v>
      </c>
    </row>
    <row r="7166" spans="13:16">
      <c r="M7166">
        <v>0.31939173883837046</v>
      </c>
      <c r="N7166">
        <v>0.17622735047071914</v>
      </c>
      <c r="O7166">
        <v>0.24048722715364912</v>
      </c>
      <c r="P7166">
        <v>0.26389368353726117</v>
      </c>
    </row>
    <row r="7167" spans="13:16">
      <c r="M7167">
        <v>0.28919793017014911</v>
      </c>
      <c r="N7167">
        <v>0.19030854299339994</v>
      </c>
      <c r="O7167">
        <v>0.25689324553006077</v>
      </c>
      <c r="P7167">
        <v>0.26360028130639013</v>
      </c>
    </row>
    <row r="7168" spans="13:16">
      <c r="M7168">
        <v>0.27492235499535767</v>
      </c>
      <c r="N7168">
        <v>0.18198085791306776</v>
      </c>
      <c r="O7168">
        <v>0.26560417652510676</v>
      </c>
      <c r="P7168">
        <v>0.27749261056646779</v>
      </c>
    </row>
    <row r="7169" spans="13:16">
      <c r="M7169">
        <v>0.30715692059050903</v>
      </c>
      <c r="N7169">
        <v>0.1808234656078635</v>
      </c>
      <c r="O7169">
        <v>0.24510905955949516</v>
      </c>
      <c r="P7169">
        <v>0.26691055424213234</v>
      </c>
    </row>
    <row r="7170" spans="13:16">
      <c r="M7170">
        <v>0.32158363443704574</v>
      </c>
      <c r="N7170">
        <v>0.19078240983758701</v>
      </c>
      <c r="O7170">
        <v>0.22178802876838449</v>
      </c>
      <c r="P7170">
        <v>0.26584592695698267</v>
      </c>
    </row>
    <row r="7171" spans="13:16">
      <c r="M7171">
        <v>0.30252850537998488</v>
      </c>
      <c r="N7171">
        <v>0.17116498755075177</v>
      </c>
      <c r="O7171">
        <v>0.26841508845626455</v>
      </c>
      <c r="P7171">
        <v>0.25789141861299891</v>
      </c>
    </row>
    <row r="7172" spans="13:16">
      <c r="M7172">
        <v>0.2795502348154808</v>
      </c>
      <c r="N7172">
        <v>0.1967939031663764</v>
      </c>
      <c r="O7172">
        <v>0.26415989821956914</v>
      </c>
      <c r="P7172">
        <v>0.25949596379857359</v>
      </c>
    </row>
    <row r="7173" spans="13:16">
      <c r="M7173">
        <v>0.30589460224333465</v>
      </c>
      <c r="N7173">
        <v>0.16542736423768234</v>
      </c>
      <c r="O7173">
        <v>0.27933836792625028</v>
      </c>
      <c r="P7173">
        <v>0.24933966559273277</v>
      </c>
    </row>
    <row r="7174" spans="13:16">
      <c r="M7174">
        <v>0.30588449106763133</v>
      </c>
      <c r="N7174">
        <v>0.17407817804082645</v>
      </c>
      <c r="O7174">
        <v>0.26812712133631866</v>
      </c>
      <c r="P7174">
        <v>0.25191020955522359</v>
      </c>
    </row>
    <row r="7175" spans="13:16">
      <c r="M7175">
        <v>0.30714358315857271</v>
      </c>
      <c r="N7175">
        <v>0.18010577216466209</v>
      </c>
      <c r="O7175">
        <v>0.24196289265264304</v>
      </c>
      <c r="P7175">
        <v>0.2707877520241222</v>
      </c>
    </row>
    <row r="7176" spans="13:16">
      <c r="M7176">
        <v>0.29456149125588893</v>
      </c>
      <c r="N7176">
        <v>0.18878749983623597</v>
      </c>
      <c r="O7176">
        <v>0.25190967272681308</v>
      </c>
      <c r="P7176">
        <v>0.2647413361810621</v>
      </c>
    </row>
    <row r="7177" spans="13:16">
      <c r="M7177">
        <v>0.28187776712002643</v>
      </c>
      <c r="N7177">
        <v>0.19038445395210213</v>
      </c>
      <c r="O7177">
        <v>0.25771773386362068</v>
      </c>
      <c r="P7177">
        <v>0.27002004506425081</v>
      </c>
    </row>
    <row r="7178" spans="13:16">
      <c r="M7178">
        <v>0.29041137516220195</v>
      </c>
      <c r="N7178">
        <v>0.18731272543202704</v>
      </c>
      <c r="O7178">
        <v>0.25674920156207737</v>
      </c>
      <c r="P7178">
        <v>0.26552669784369359</v>
      </c>
    </row>
    <row r="7179" spans="13:16">
      <c r="M7179">
        <v>0.27971982725464523</v>
      </c>
      <c r="N7179">
        <v>0.20187477367756673</v>
      </c>
      <c r="O7179">
        <v>0.2628116029442743</v>
      </c>
      <c r="P7179">
        <v>0.25559379612351385</v>
      </c>
    </row>
    <row r="7180" spans="13:16">
      <c r="M7180">
        <v>0.2714163008433626</v>
      </c>
      <c r="N7180">
        <v>0.19837241888983442</v>
      </c>
      <c r="O7180">
        <v>0.28162542946009533</v>
      </c>
      <c r="P7180">
        <v>0.24858585080670759</v>
      </c>
    </row>
    <row r="7181" spans="13:16">
      <c r="M7181">
        <v>0.28535871609826308</v>
      </c>
      <c r="N7181">
        <v>0.20111715477226097</v>
      </c>
      <c r="O7181">
        <v>0.24725282906676621</v>
      </c>
      <c r="P7181">
        <v>0.26627130006270977</v>
      </c>
    </row>
    <row r="7182" spans="13:16">
      <c r="M7182">
        <v>0.27573772671064584</v>
      </c>
      <c r="N7182">
        <v>0.20487238263321145</v>
      </c>
      <c r="O7182">
        <v>0.23408088653302186</v>
      </c>
      <c r="P7182">
        <v>0.28530900412312088</v>
      </c>
    </row>
    <row r="7183" spans="13:16">
      <c r="M7183">
        <v>0.29609880174865189</v>
      </c>
      <c r="N7183">
        <v>0.17852348730832127</v>
      </c>
      <c r="O7183">
        <v>0.25854204378082096</v>
      </c>
      <c r="P7183">
        <v>0.2668356671622058</v>
      </c>
    </row>
    <row r="7184" spans="13:16">
      <c r="M7184">
        <v>0.29927705226988216</v>
      </c>
      <c r="N7184">
        <v>0.20835878612454867</v>
      </c>
      <c r="O7184">
        <v>0.23034609532701011</v>
      </c>
      <c r="P7184">
        <v>0.26201806627855906</v>
      </c>
    </row>
    <row r="7185" spans="13:16">
      <c r="M7185">
        <v>0.28785649879626646</v>
      </c>
      <c r="N7185">
        <v>0.19336979277363672</v>
      </c>
      <c r="O7185">
        <v>0.23004073891817237</v>
      </c>
      <c r="P7185">
        <v>0.28873296951192451</v>
      </c>
    </row>
    <row r="7186" spans="13:16">
      <c r="M7186">
        <v>0.26845006300711627</v>
      </c>
      <c r="N7186">
        <v>0.19850363761493406</v>
      </c>
      <c r="O7186">
        <v>0.26664426103558003</v>
      </c>
      <c r="P7186">
        <v>0.26640203834236975</v>
      </c>
    </row>
    <row r="7187" spans="13:16">
      <c r="M7187">
        <v>0.28040000671963927</v>
      </c>
      <c r="N7187">
        <v>0.20183996605341215</v>
      </c>
      <c r="O7187">
        <v>0.23702498303584935</v>
      </c>
      <c r="P7187">
        <v>0.28073504419109924</v>
      </c>
    </row>
    <row r="7188" spans="13:16">
      <c r="M7188">
        <v>0.28783322850742071</v>
      </c>
      <c r="N7188">
        <v>0.18883048009245226</v>
      </c>
      <c r="O7188">
        <v>0.25154723193759693</v>
      </c>
      <c r="P7188">
        <v>0.27178905946253012</v>
      </c>
    </row>
    <row r="7189" spans="13:16">
      <c r="M7189">
        <v>0.2707752303816563</v>
      </c>
      <c r="N7189">
        <v>0.18898916739666738</v>
      </c>
      <c r="O7189">
        <v>0.26477742568206564</v>
      </c>
      <c r="P7189">
        <v>0.27545817653961058</v>
      </c>
    </row>
    <row r="7190" spans="13:16">
      <c r="M7190">
        <v>0.28209853532181578</v>
      </c>
      <c r="N7190">
        <v>0.17992122712541622</v>
      </c>
      <c r="O7190">
        <v>0.2779753929467344</v>
      </c>
      <c r="P7190">
        <v>0.26000484460603368</v>
      </c>
    </row>
    <row r="7191" spans="13:16">
      <c r="M7191">
        <v>0.30671009179088288</v>
      </c>
      <c r="N7191">
        <v>0.1776046030159204</v>
      </c>
      <c r="O7191">
        <v>0.24596221023645151</v>
      </c>
      <c r="P7191">
        <v>0.26972309495674512</v>
      </c>
    </row>
    <row r="7192" spans="13:16">
      <c r="M7192">
        <v>0.31306450421334869</v>
      </c>
      <c r="N7192">
        <v>0.16820543340078364</v>
      </c>
      <c r="O7192">
        <v>0.26682657830405176</v>
      </c>
      <c r="P7192">
        <v>0.25190348408181584</v>
      </c>
    </row>
    <row r="7193" spans="13:16">
      <c r="M7193">
        <v>0.28871606363151758</v>
      </c>
      <c r="N7193">
        <v>0.19285235539498874</v>
      </c>
      <c r="O7193">
        <v>0.25563737132581238</v>
      </c>
      <c r="P7193">
        <v>0.26279420964768135</v>
      </c>
    </row>
    <row r="7194" spans="13:16">
      <c r="M7194">
        <v>0.27844979527950203</v>
      </c>
      <c r="N7194">
        <v>0.19028781255915778</v>
      </c>
      <c r="O7194">
        <v>0.24665183587192141</v>
      </c>
      <c r="P7194">
        <v>0.28461055628941878</v>
      </c>
    </row>
    <row r="7195" spans="13:16">
      <c r="M7195">
        <v>0.30424897488587244</v>
      </c>
      <c r="N7195">
        <v>0.18125595727573049</v>
      </c>
      <c r="O7195">
        <v>0.25612673745522652</v>
      </c>
      <c r="P7195">
        <v>0.25836833038317047</v>
      </c>
    </row>
    <row r="7196" spans="13:16">
      <c r="M7196">
        <v>0.29303089888228612</v>
      </c>
      <c r="N7196">
        <v>0.1799346636445652</v>
      </c>
      <c r="O7196">
        <v>0.24754026568396961</v>
      </c>
      <c r="P7196">
        <v>0.27949417178917912</v>
      </c>
    </row>
    <row r="7197" spans="13:16">
      <c r="M7197">
        <v>0.26724991563967698</v>
      </c>
      <c r="N7197">
        <v>0.20282317049023837</v>
      </c>
      <c r="O7197">
        <v>0.26897889664889946</v>
      </c>
      <c r="P7197">
        <v>0.26094801722118516</v>
      </c>
    </row>
    <row r="7198" spans="13:16">
      <c r="M7198">
        <v>0.3049868915804686</v>
      </c>
      <c r="N7198">
        <v>0.19994349567344938</v>
      </c>
      <c r="O7198">
        <v>0.23924032403437209</v>
      </c>
      <c r="P7198">
        <v>0.25582928871171001</v>
      </c>
    </row>
    <row r="7199" spans="13:16">
      <c r="M7199">
        <v>0.27849927194933427</v>
      </c>
      <c r="N7199">
        <v>0.19316035194154271</v>
      </c>
      <c r="O7199">
        <v>0.26702120242368582</v>
      </c>
      <c r="P7199">
        <v>0.26131917368543722</v>
      </c>
    </row>
    <row r="7200" spans="13:16">
      <c r="M7200">
        <v>0.31158518783409078</v>
      </c>
      <c r="N7200">
        <v>0.18888148260025256</v>
      </c>
      <c r="O7200">
        <v>0.24377122119245245</v>
      </c>
      <c r="P7200">
        <v>0.25576210837320412</v>
      </c>
    </row>
    <row r="7201" spans="13:16">
      <c r="M7201">
        <v>0.29722000171156843</v>
      </c>
      <c r="N7201">
        <v>0.19056599630057147</v>
      </c>
      <c r="O7201">
        <v>0.23508485511240038</v>
      </c>
      <c r="P7201">
        <v>0.27712914687545981</v>
      </c>
    </row>
    <row r="7202" spans="13:16">
      <c r="M7202">
        <v>0.26999892604961739</v>
      </c>
      <c r="N7202">
        <v>0.19021259864974022</v>
      </c>
      <c r="O7202">
        <v>0.25853351123690871</v>
      </c>
      <c r="P7202">
        <v>0.28125496406373368</v>
      </c>
    </row>
    <row r="7203" spans="13:16">
      <c r="M7203">
        <v>0.27689999917181968</v>
      </c>
      <c r="N7203">
        <v>0.20051422922388118</v>
      </c>
      <c r="O7203">
        <v>0.2622658661877656</v>
      </c>
      <c r="P7203">
        <v>0.2603199054165336</v>
      </c>
    </row>
    <row r="7204" spans="13:16">
      <c r="M7204">
        <v>0.28057838573960703</v>
      </c>
      <c r="N7204">
        <v>0.18485961940010931</v>
      </c>
      <c r="O7204">
        <v>0.28549953959441426</v>
      </c>
      <c r="P7204">
        <v>0.24906245526586931</v>
      </c>
    </row>
    <row r="7205" spans="13:16">
      <c r="M7205">
        <v>0.2673580517295866</v>
      </c>
      <c r="N7205">
        <v>0.18891742961111391</v>
      </c>
      <c r="O7205">
        <v>0.28102647494684901</v>
      </c>
      <c r="P7205">
        <v>0.26269804371245048</v>
      </c>
    </row>
    <row r="7206" spans="13:16">
      <c r="M7206">
        <v>0.27503502835360183</v>
      </c>
      <c r="N7206">
        <v>0.17835787177667733</v>
      </c>
      <c r="O7206">
        <v>0.27375235529632752</v>
      </c>
      <c r="P7206">
        <v>0.27285474457339337</v>
      </c>
    </row>
    <row r="7207" spans="13:16">
      <c r="M7207">
        <v>0.29978675500599328</v>
      </c>
      <c r="N7207">
        <v>0.20122175591861763</v>
      </c>
      <c r="O7207">
        <v>0.24514422219391754</v>
      </c>
      <c r="P7207">
        <v>0.25384726688147163</v>
      </c>
    </row>
    <row r="7208" spans="13:16">
      <c r="M7208">
        <v>0.30217654463107829</v>
      </c>
      <c r="N7208">
        <v>0.19083894959106554</v>
      </c>
      <c r="O7208">
        <v>0.25514548818862609</v>
      </c>
      <c r="P7208">
        <v>0.25183901758923016</v>
      </c>
    </row>
    <row r="7209" spans="13:16">
      <c r="M7209">
        <v>0.27507303594178545</v>
      </c>
      <c r="N7209">
        <v>0.20499133477085385</v>
      </c>
      <c r="O7209">
        <v>0.24930508081081554</v>
      </c>
      <c r="P7209">
        <v>0.27063054847654533</v>
      </c>
    </row>
    <row r="7210" spans="13:16">
      <c r="M7210">
        <v>0.28035488064500064</v>
      </c>
      <c r="N7210">
        <v>0.20279758688215624</v>
      </c>
      <c r="O7210">
        <v>0.2395960409234936</v>
      </c>
      <c r="P7210">
        <v>0.27725149154934947</v>
      </c>
    </row>
    <row r="7211" spans="13:16">
      <c r="M7211">
        <v>0.26181991201586657</v>
      </c>
      <c r="N7211">
        <v>0.19135711753212248</v>
      </c>
      <c r="O7211">
        <v>0.29518706809447826</v>
      </c>
      <c r="P7211">
        <v>0.25163590235753275</v>
      </c>
    </row>
    <row r="7212" spans="13:16">
      <c r="M7212">
        <v>0.30611209839423748</v>
      </c>
      <c r="N7212">
        <v>0.19420840623826297</v>
      </c>
      <c r="O7212">
        <v>0.23976365913571301</v>
      </c>
      <c r="P7212">
        <v>0.25991583623178666</v>
      </c>
    </row>
    <row r="7213" spans="13:16">
      <c r="M7213">
        <v>0.29845262287366348</v>
      </c>
      <c r="N7213">
        <v>0.1803762483424135</v>
      </c>
      <c r="O7213">
        <v>0.25030846635491627</v>
      </c>
      <c r="P7213">
        <v>0.27086266242900675</v>
      </c>
    </row>
    <row r="7214" spans="13:16">
      <c r="M7214">
        <v>0.30520762519624017</v>
      </c>
      <c r="N7214">
        <v>0.17866726936833105</v>
      </c>
      <c r="O7214">
        <v>0.26252323870493777</v>
      </c>
      <c r="P7214">
        <v>0.25360186673049101</v>
      </c>
    </row>
    <row r="7215" spans="13:16">
      <c r="M7215">
        <v>0.29023944387634582</v>
      </c>
      <c r="N7215">
        <v>0.19194476788477488</v>
      </c>
      <c r="O7215">
        <v>0.24895495909539112</v>
      </c>
      <c r="P7215">
        <v>0.26886082914348813</v>
      </c>
    </row>
    <row r="7216" spans="13:16">
      <c r="M7216">
        <v>0.32398349718843666</v>
      </c>
      <c r="N7216">
        <v>0.16517302725392977</v>
      </c>
      <c r="O7216">
        <v>0.26547030574088015</v>
      </c>
      <c r="P7216">
        <v>0.24537316981675342</v>
      </c>
    </row>
    <row r="7217" spans="13:16">
      <c r="M7217">
        <v>0.28078437044442528</v>
      </c>
      <c r="N7217">
        <v>0.18875775473264619</v>
      </c>
      <c r="O7217">
        <v>0.26643826089361711</v>
      </c>
      <c r="P7217">
        <v>0.26401961392931139</v>
      </c>
    </row>
    <row r="7218" spans="13:16">
      <c r="M7218">
        <v>0.28585319401114279</v>
      </c>
      <c r="N7218">
        <v>0.1760129540407932</v>
      </c>
      <c r="O7218">
        <v>0.26525756721103116</v>
      </c>
      <c r="P7218">
        <v>0.27287628473703274</v>
      </c>
    </row>
    <row r="7219" spans="13:16">
      <c r="M7219">
        <v>0.30844587690523761</v>
      </c>
      <c r="N7219">
        <v>0.18078882199704721</v>
      </c>
      <c r="O7219">
        <v>0.25338081944025276</v>
      </c>
      <c r="P7219">
        <v>0.25738448165746231</v>
      </c>
    </row>
    <row r="7220" spans="13:16">
      <c r="M7220">
        <v>0.28872697938195363</v>
      </c>
      <c r="N7220">
        <v>0.18271630179488008</v>
      </c>
      <c r="O7220">
        <v>0.27831524410381742</v>
      </c>
      <c r="P7220">
        <v>0.25024147471934904</v>
      </c>
    </row>
    <row r="7221" spans="13:16">
      <c r="M7221">
        <v>0.29621233672454078</v>
      </c>
      <c r="N7221">
        <v>0.20299379441804899</v>
      </c>
      <c r="O7221">
        <v>0.22770673352061827</v>
      </c>
      <c r="P7221">
        <v>0.27308713533679202</v>
      </c>
    </row>
    <row r="7222" spans="13:16">
      <c r="M7222">
        <v>0.26699212581660769</v>
      </c>
      <c r="N7222">
        <v>0.17049897955018675</v>
      </c>
      <c r="O7222">
        <v>0.30164853094790273</v>
      </c>
      <c r="P7222">
        <v>0.2608603636853028</v>
      </c>
    </row>
    <row r="7223" spans="13:16">
      <c r="M7223">
        <v>0.33070278699499084</v>
      </c>
      <c r="N7223">
        <v>0.17802864397960727</v>
      </c>
      <c r="O7223">
        <v>0.23443405049846974</v>
      </c>
      <c r="P7223">
        <v>0.25683451852693218</v>
      </c>
    </row>
    <row r="7224" spans="13:16">
      <c r="M7224">
        <v>0.31128968165132204</v>
      </c>
      <c r="N7224">
        <v>0.18544983760511574</v>
      </c>
      <c r="O7224">
        <v>0.24137958164549608</v>
      </c>
      <c r="P7224">
        <v>0.26188089909806611</v>
      </c>
    </row>
    <row r="7225" spans="13:16">
      <c r="M7225">
        <v>0.2889889543056296</v>
      </c>
      <c r="N7225">
        <v>0.19673345731973343</v>
      </c>
      <c r="O7225">
        <v>0.25785326094757227</v>
      </c>
      <c r="P7225">
        <v>0.25642432742706472</v>
      </c>
    </row>
    <row r="7226" spans="13:16">
      <c r="M7226">
        <v>0.28925847316716852</v>
      </c>
      <c r="N7226">
        <v>0.18363877528639139</v>
      </c>
      <c r="O7226">
        <v>0.24193959583883778</v>
      </c>
      <c r="P7226">
        <v>0.28516315570760237</v>
      </c>
    </row>
    <row r="7227" spans="13:16">
      <c r="M7227">
        <v>0.29344825842122307</v>
      </c>
      <c r="N7227">
        <v>0.18211245887171826</v>
      </c>
      <c r="O7227">
        <v>0.27150044329899187</v>
      </c>
      <c r="P7227">
        <v>0.25293883940806694</v>
      </c>
    </row>
    <row r="7228" spans="13:16">
      <c r="M7228">
        <v>0.29567578771800918</v>
      </c>
      <c r="N7228">
        <v>0.16918440091849835</v>
      </c>
      <c r="O7228">
        <v>0.28182796489622086</v>
      </c>
      <c r="P7228">
        <v>0.25331184646727167</v>
      </c>
    </row>
    <row r="7229" spans="13:16">
      <c r="M7229">
        <v>0.28511441013819233</v>
      </c>
      <c r="N7229">
        <v>0.2044077914458568</v>
      </c>
      <c r="O7229">
        <v>0.23830969387649067</v>
      </c>
      <c r="P7229">
        <v>0.27216810453946017</v>
      </c>
    </row>
    <row r="7230" spans="13:16">
      <c r="M7230">
        <v>0.30024239473414827</v>
      </c>
      <c r="N7230">
        <v>0.19532285089640178</v>
      </c>
      <c r="O7230">
        <v>0.23444148314999427</v>
      </c>
      <c r="P7230">
        <v>0.2699932712194556</v>
      </c>
    </row>
    <row r="7231" spans="13:16">
      <c r="M7231">
        <v>0.28504267420804202</v>
      </c>
      <c r="N7231">
        <v>0.16715542847233369</v>
      </c>
      <c r="O7231">
        <v>0.28855433721602319</v>
      </c>
      <c r="P7231">
        <v>0.25924756010360117</v>
      </c>
    </row>
    <row r="7232" spans="13:16">
      <c r="M7232">
        <v>0.30029631039832344</v>
      </c>
      <c r="N7232">
        <v>0.17959038234760849</v>
      </c>
      <c r="O7232">
        <v>0.25234763879845357</v>
      </c>
      <c r="P7232">
        <v>0.2677656684556145</v>
      </c>
    </row>
    <row r="7233" spans="13:16">
      <c r="M7233">
        <v>0.27354834014735341</v>
      </c>
      <c r="N7233">
        <v>0.19240006217701014</v>
      </c>
      <c r="O7233">
        <v>0.26495472468144732</v>
      </c>
      <c r="P7233">
        <v>0.26909687299418916</v>
      </c>
    </row>
    <row r="7234" spans="13:16">
      <c r="M7234">
        <v>0.29160517612638814</v>
      </c>
      <c r="N7234">
        <v>0.19890206565099211</v>
      </c>
      <c r="O7234">
        <v>0.22647059909772316</v>
      </c>
      <c r="P7234">
        <v>0.2830221591248967</v>
      </c>
    </row>
    <row r="7235" spans="13:16">
      <c r="M7235">
        <v>0.31858101723746068</v>
      </c>
      <c r="N7235">
        <v>0.18040776131317829</v>
      </c>
      <c r="O7235">
        <v>0.23216527726162645</v>
      </c>
      <c r="P7235">
        <v>0.2688459441877345</v>
      </c>
    </row>
    <row r="7236" spans="13:16">
      <c r="M7236">
        <v>0.29867216860823304</v>
      </c>
      <c r="N7236">
        <v>0.18626166892635929</v>
      </c>
      <c r="O7236">
        <v>0.25416185456047657</v>
      </c>
      <c r="P7236">
        <v>0.26090430790493119</v>
      </c>
    </row>
    <row r="7237" spans="13:16">
      <c r="M7237">
        <v>0.27081506466876015</v>
      </c>
      <c r="N7237">
        <v>0.18650585692717581</v>
      </c>
      <c r="O7237">
        <v>0.28409755606699288</v>
      </c>
      <c r="P7237">
        <v>0.2585815223370711</v>
      </c>
    </row>
    <row r="7238" spans="13:16">
      <c r="M7238">
        <v>0.3112689320125836</v>
      </c>
      <c r="N7238">
        <v>0.16689710616509801</v>
      </c>
      <c r="O7238">
        <v>0.26152336426061451</v>
      </c>
      <c r="P7238">
        <v>0.26031059756170399</v>
      </c>
    </row>
    <row r="7239" spans="13:16">
      <c r="M7239">
        <v>0.28966898821051468</v>
      </c>
      <c r="N7239">
        <v>0.16989829122589925</v>
      </c>
      <c r="O7239">
        <v>0.29395272360908375</v>
      </c>
      <c r="P7239">
        <v>0.2464799969545024</v>
      </c>
    </row>
    <row r="7240" spans="13:16">
      <c r="M7240">
        <v>0.29281371827982655</v>
      </c>
      <c r="N7240">
        <v>0.18010087987248749</v>
      </c>
      <c r="O7240">
        <v>0.27685806384086842</v>
      </c>
      <c r="P7240">
        <v>0.25022733800681768</v>
      </c>
    </row>
    <row r="7241" spans="13:16">
      <c r="M7241">
        <v>0.26476016059555885</v>
      </c>
      <c r="N7241">
        <v>0.18994193539403117</v>
      </c>
      <c r="O7241">
        <v>0.2814932360061948</v>
      </c>
      <c r="P7241">
        <v>0.26380466800421504</v>
      </c>
    </row>
    <row r="7242" spans="13:16">
      <c r="M7242">
        <v>0.29787042855725177</v>
      </c>
      <c r="N7242">
        <v>0.17312284524493085</v>
      </c>
      <c r="O7242">
        <v>0.27298729748027639</v>
      </c>
      <c r="P7242">
        <v>0.25601942871754091</v>
      </c>
    </row>
    <row r="7243" spans="13:16">
      <c r="M7243">
        <v>0.31002880718666942</v>
      </c>
      <c r="N7243">
        <v>0.19081812495305261</v>
      </c>
      <c r="O7243">
        <v>0.21992636499431004</v>
      </c>
      <c r="P7243">
        <v>0.27922670286596785</v>
      </c>
    </row>
    <row r="7244" spans="13:16">
      <c r="M7244">
        <v>0.2872595685778645</v>
      </c>
      <c r="N7244">
        <v>0.19427173550362831</v>
      </c>
      <c r="O7244">
        <v>0.26114778528236865</v>
      </c>
      <c r="P7244">
        <v>0.25732091063613877</v>
      </c>
    </row>
    <row r="7245" spans="13:16">
      <c r="M7245">
        <v>0.28391468522681673</v>
      </c>
      <c r="N7245">
        <v>0.17971999568252192</v>
      </c>
      <c r="O7245">
        <v>0.25517546143532321</v>
      </c>
      <c r="P7245">
        <v>0.2811898576553381</v>
      </c>
    </row>
    <row r="7246" spans="13:16">
      <c r="M7246">
        <v>0.27488490576671909</v>
      </c>
      <c r="N7246">
        <v>0.18876885357837539</v>
      </c>
      <c r="O7246">
        <v>0.27578117692357573</v>
      </c>
      <c r="P7246">
        <v>0.26056506373132987</v>
      </c>
    </row>
    <row r="7247" spans="13:16">
      <c r="M7247">
        <v>0.28417412394522856</v>
      </c>
      <c r="N7247">
        <v>0.18268870781736662</v>
      </c>
      <c r="O7247">
        <v>0.24816437223185231</v>
      </c>
      <c r="P7247">
        <v>0.28497279600555253</v>
      </c>
    </row>
    <row r="7248" spans="13:16">
      <c r="M7248">
        <v>0.27795202841832217</v>
      </c>
      <c r="N7248">
        <v>0.20292255354854868</v>
      </c>
      <c r="O7248">
        <v>0.26292452056284299</v>
      </c>
      <c r="P7248">
        <v>0.25620089747028613</v>
      </c>
    </row>
    <row r="7249" spans="13:16">
      <c r="M7249">
        <v>0.31553164350735696</v>
      </c>
      <c r="N7249">
        <v>0.17523306839086064</v>
      </c>
      <c r="O7249">
        <v>0.24214989054253752</v>
      </c>
      <c r="P7249">
        <v>0.26708539755924487</v>
      </c>
    </row>
    <row r="7250" spans="13:16">
      <c r="M7250">
        <v>0.29669502062060943</v>
      </c>
      <c r="N7250">
        <v>0.18974384627315172</v>
      </c>
      <c r="O7250">
        <v>0.24740063802951739</v>
      </c>
      <c r="P7250">
        <v>0.26616049507672157</v>
      </c>
    </row>
    <row r="7251" spans="13:16">
      <c r="M7251">
        <v>0.31035185881311145</v>
      </c>
      <c r="N7251">
        <v>0.1758548164682385</v>
      </c>
      <c r="O7251">
        <v>0.23074199380632276</v>
      </c>
      <c r="P7251">
        <v>0.2830513309123272</v>
      </c>
    </row>
    <row r="7252" spans="13:16">
      <c r="M7252">
        <v>0.27328487498118342</v>
      </c>
      <c r="N7252">
        <v>0.18636326404991777</v>
      </c>
      <c r="O7252">
        <v>0.27946711426857351</v>
      </c>
      <c r="P7252">
        <v>0.2608847467003253</v>
      </c>
    </row>
    <row r="7253" spans="13:16">
      <c r="M7253">
        <v>0.29110014148912916</v>
      </c>
      <c r="N7253">
        <v>0.16724968093405029</v>
      </c>
      <c r="O7253">
        <v>0.29503889104243819</v>
      </c>
      <c r="P7253">
        <v>0.24661128653438238</v>
      </c>
    </row>
    <row r="7254" spans="13:16">
      <c r="M7254">
        <v>0.30211174917883915</v>
      </c>
      <c r="N7254">
        <v>0.17248342466155081</v>
      </c>
      <c r="O7254">
        <v>0.24817380057071295</v>
      </c>
      <c r="P7254">
        <v>0.27723102558889706</v>
      </c>
    </row>
    <row r="7255" spans="13:16">
      <c r="M7255">
        <v>0.27478965171540487</v>
      </c>
      <c r="N7255">
        <v>0.19221048155189494</v>
      </c>
      <c r="O7255">
        <v>0.26203007205426726</v>
      </c>
      <c r="P7255">
        <v>0.27096979467843302</v>
      </c>
    </row>
    <row r="7256" spans="13:16">
      <c r="M7256">
        <v>0.30029137361409547</v>
      </c>
      <c r="N7256">
        <v>0.20023271573594789</v>
      </c>
      <c r="O7256">
        <v>0.23297366925088298</v>
      </c>
      <c r="P7256">
        <v>0.26650224139907369</v>
      </c>
    </row>
    <row r="7257" spans="13:16">
      <c r="M7257">
        <v>0.30418233784828952</v>
      </c>
      <c r="N7257">
        <v>0.16658034286277515</v>
      </c>
      <c r="O7257">
        <v>0.2890778402323459</v>
      </c>
      <c r="P7257">
        <v>0.24015947905658944</v>
      </c>
    </row>
    <row r="7258" spans="13:16">
      <c r="M7258">
        <v>0.28161985286499425</v>
      </c>
      <c r="N7258">
        <v>0.17341334741567366</v>
      </c>
      <c r="O7258">
        <v>0.2769909114604468</v>
      </c>
      <c r="P7258">
        <v>0.2679758882588853</v>
      </c>
    </row>
    <row r="7259" spans="13:16">
      <c r="M7259">
        <v>0.32549595802186743</v>
      </c>
      <c r="N7259">
        <v>0.16728621790596548</v>
      </c>
      <c r="O7259">
        <v>0.25112280326805814</v>
      </c>
      <c r="P7259">
        <v>0.2560950208041089</v>
      </c>
    </row>
    <row r="7260" spans="13:16">
      <c r="M7260">
        <v>0.31541954300603109</v>
      </c>
      <c r="N7260">
        <v>0.15987710759896148</v>
      </c>
      <c r="O7260">
        <v>0.28751090238404786</v>
      </c>
      <c r="P7260">
        <v>0.23719244701095968</v>
      </c>
    </row>
    <row r="7261" spans="13:16">
      <c r="M7261">
        <v>0.31068315855856915</v>
      </c>
      <c r="N7261">
        <v>0.18927664644549055</v>
      </c>
      <c r="O7261">
        <v>0.21764713074216874</v>
      </c>
      <c r="P7261">
        <v>0.28239306425377164</v>
      </c>
    </row>
    <row r="7262" spans="13:16">
      <c r="M7262">
        <v>0.28826155942939485</v>
      </c>
      <c r="N7262">
        <v>0.19681168044669364</v>
      </c>
      <c r="O7262">
        <v>0.23112450753766833</v>
      </c>
      <c r="P7262">
        <v>0.2838022525862432</v>
      </c>
    </row>
    <row r="7263" spans="13:16">
      <c r="M7263">
        <v>0.30865558990262626</v>
      </c>
      <c r="N7263">
        <v>0.17751767852273742</v>
      </c>
      <c r="O7263">
        <v>0.25204186782350052</v>
      </c>
      <c r="P7263">
        <v>0.2617848637511358</v>
      </c>
    </row>
    <row r="7264" spans="13:16">
      <c r="M7264">
        <v>0.29400370891696387</v>
      </c>
      <c r="N7264">
        <v>0.20866266581231616</v>
      </c>
      <c r="O7264">
        <v>0.2348994798333755</v>
      </c>
      <c r="P7264">
        <v>0.2624341454373445</v>
      </c>
    </row>
    <row r="7265" spans="13:16">
      <c r="M7265">
        <v>0.2854516363643102</v>
      </c>
      <c r="N7265">
        <v>0.18842345500525859</v>
      </c>
      <c r="O7265">
        <v>0.25812682878666587</v>
      </c>
      <c r="P7265">
        <v>0.26799807984376534</v>
      </c>
    </row>
    <row r="7266" spans="13:16">
      <c r="M7266">
        <v>0.30425600746962378</v>
      </c>
      <c r="N7266">
        <v>0.18561707552454393</v>
      </c>
      <c r="O7266">
        <v>0.23384772518610139</v>
      </c>
      <c r="P7266">
        <v>0.27627919181973087</v>
      </c>
    </row>
    <row r="7267" spans="13:16">
      <c r="M7267">
        <v>0.31682907926915499</v>
      </c>
      <c r="N7267">
        <v>0.18117538094494898</v>
      </c>
      <c r="O7267">
        <v>0.21188663461905591</v>
      </c>
      <c r="P7267">
        <v>0.29010890516684007</v>
      </c>
    </row>
    <row r="7268" spans="13:16">
      <c r="M7268">
        <v>0.29115011380647987</v>
      </c>
      <c r="N7268">
        <v>0.20688420729045418</v>
      </c>
      <c r="O7268">
        <v>0.23121853864662301</v>
      </c>
      <c r="P7268">
        <v>0.27074714025644292</v>
      </c>
    </row>
    <row r="7269" spans="13:16">
      <c r="M7269">
        <v>0.29098240728671826</v>
      </c>
      <c r="N7269">
        <v>0.17738687487153984</v>
      </c>
      <c r="O7269">
        <v>0.26443532366295064</v>
      </c>
      <c r="P7269">
        <v>0.26719539417879112</v>
      </c>
    </row>
    <row r="7270" spans="13:16">
      <c r="M7270">
        <v>0.30051824268765293</v>
      </c>
      <c r="N7270">
        <v>0.16466096925779133</v>
      </c>
      <c r="O7270">
        <v>0.28868731251645213</v>
      </c>
      <c r="P7270">
        <v>0.24613347553810377</v>
      </c>
    </row>
    <row r="7271" spans="13:16">
      <c r="M7271">
        <v>0.29458940197957506</v>
      </c>
      <c r="N7271">
        <v>0.19258710085153222</v>
      </c>
      <c r="O7271">
        <v>0.24492633722130036</v>
      </c>
      <c r="P7271">
        <v>0.26789715994759222</v>
      </c>
    </row>
    <row r="7272" spans="13:16">
      <c r="M7272">
        <v>0.26901713114366949</v>
      </c>
      <c r="N7272">
        <v>0.1821519998256094</v>
      </c>
      <c r="O7272">
        <v>0.28983590113215246</v>
      </c>
      <c r="P7272">
        <v>0.25899496789856868</v>
      </c>
    </row>
    <row r="7273" spans="13:16">
      <c r="M7273">
        <v>0.32645253425769971</v>
      </c>
      <c r="N7273">
        <v>0.16860438908751926</v>
      </c>
      <c r="O7273">
        <v>0.24679512084275948</v>
      </c>
      <c r="P7273">
        <v>0.25814795581202143</v>
      </c>
    </row>
    <row r="7274" spans="13:16">
      <c r="M7274">
        <v>0.30131195908638314</v>
      </c>
      <c r="N7274">
        <v>0.19979823375554326</v>
      </c>
      <c r="O7274">
        <v>0.22794922585427194</v>
      </c>
      <c r="P7274">
        <v>0.27094058130380178</v>
      </c>
    </row>
    <row r="7275" spans="13:16">
      <c r="M7275">
        <v>0.30762568780002608</v>
      </c>
      <c r="N7275">
        <v>0.18534412929821786</v>
      </c>
      <c r="O7275">
        <v>0.23214366497959704</v>
      </c>
      <c r="P7275">
        <v>0.27488651792215907</v>
      </c>
    </row>
    <row r="7276" spans="13:16">
      <c r="M7276">
        <v>0.31014684611184989</v>
      </c>
      <c r="N7276">
        <v>0.16844887861594612</v>
      </c>
      <c r="O7276">
        <v>0.27668612460833197</v>
      </c>
      <c r="P7276">
        <v>0.24471815066387215</v>
      </c>
    </row>
    <row r="7277" spans="13:16">
      <c r="M7277">
        <v>0.2647155572588652</v>
      </c>
      <c r="N7277">
        <v>0.1910501923626603</v>
      </c>
      <c r="O7277">
        <v>0.28387355653297919</v>
      </c>
      <c r="P7277">
        <v>0.26036069384549526</v>
      </c>
    </row>
    <row r="7278" spans="13:16">
      <c r="M7278">
        <v>0.30850032838289015</v>
      </c>
      <c r="N7278">
        <v>0.17966474570442517</v>
      </c>
      <c r="O7278">
        <v>0.24030117918313657</v>
      </c>
      <c r="P7278">
        <v>0.27153374672954811</v>
      </c>
    </row>
    <row r="7279" spans="13:16">
      <c r="M7279">
        <v>0.28336746536498569</v>
      </c>
      <c r="N7279">
        <v>0.18659713537500938</v>
      </c>
      <c r="O7279">
        <v>0.27079629100713726</v>
      </c>
      <c r="P7279">
        <v>0.25923910825286778</v>
      </c>
    </row>
    <row r="7280" spans="13:16">
      <c r="M7280">
        <v>0.31020394430624271</v>
      </c>
      <c r="N7280">
        <v>0.17519344480270518</v>
      </c>
      <c r="O7280">
        <v>0.24993436386782494</v>
      </c>
      <c r="P7280">
        <v>0.26466824702322717</v>
      </c>
    </row>
    <row r="7281" spans="13:16">
      <c r="M7281">
        <v>0.32572263999547257</v>
      </c>
      <c r="N7281">
        <v>0.17003123187417485</v>
      </c>
      <c r="O7281">
        <v>0.26604022910885927</v>
      </c>
      <c r="P7281">
        <v>0.23820589902149325</v>
      </c>
    </row>
    <row r="7282" spans="13:16">
      <c r="M7282">
        <v>0.26204651726965877</v>
      </c>
      <c r="N7282">
        <v>0.20787141521991589</v>
      </c>
      <c r="O7282">
        <v>0.26079295594369684</v>
      </c>
      <c r="P7282">
        <v>0.26928911156672858</v>
      </c>
    </row>
    <row r="7283" spans="13:16">
      <c r="M7283">
        <v>0.28980472700751853</v>
      </c>
      <c r="N7283">
        <v>0.18461708503386631</v>
      </c>
      <c r="O7283">
        <v>0.25915672649928495</v>
      </c>
      <c r="P7283">
        <v>0.26642146145933038</v>
      </c>
    </row>
    <row r="7284" spans="13:16">
      <c r="M7284">
        <v>0.27618845509727591</v>
      </c>
      <c r="N7284">
        <v>0.18825560226777757</v>
      </c>
      <c r="O7284">
        <v>0.28455592005369112</v>
      </c>
      <c r="P7284">
        <v>0.25100002258125553</v>
      </c>
    </row>
    <row r="7285" spans="13:16">
      <c r="M7285">
        <v>0.2866050050402868</v>
      </c>
      <c r="N7285">
        <v>0.18530475573706631</v>
      </c>
      <c r="O7285">
        <v>0.27197226480086478</v>
      </c>
      <c r="P7285">
        <v>0.25611797442178219</v>
      </c>
    </row>
    <row r="7286" spans="13:16">
      <c r="M7286">
        <v>0.29822705712929742</v>
      </c>
      <c r="N7286">
        <v>0.17609424036777241</v>
      </c>
      <c r="O7286">
        <v>0.25726011629343309</v>
      </c>
      <c r="P7286">
        <v>0.2684185862094971</v>
      </c>
    </row>
    <row r="7287" spans="13:16">
      <c r="M7287">
        <v>0.29299773271884327</v>
      </c>
      <c r="N7287">
        <v>0.1916195951953491</v>
      </c>
      <c r="O7287">
        <v>0.25881308083652754</v>
      </c>
      <c r="P7287">
        <v>0.25656959124928014</v>
      </c>
    </row>
    <row r="7288" spans="13:16">
      <c r="M7288">
        <v>0.28064156201842433</v>
      </c>
      <c r="N7288">
        <v>0.19936142911744512</v>
      </c>
      <c r="O7288">
        <v>0.25937319375101475</v>
      </c>
      <c r="P7288">
        <v>0.26062381511311578</v>
      </c>
    </row>
    <row r="7289" spans="13:16">
      <c r="M7289">
        <v>0.29603359439424493</v>
      </c>
      <c r="N7289">
        <v>0.18230910012265553</v>
      </c>
      <c r="O7289">
        <v>0.2651619793515046</v>
      </c>
      <c r="P7289">
        <v>0.25649532613159487</v>
      </c>
    </row>
    <row r="7290" spans="13:16">
      <c r="M7290">
        <v>0.26444718560726888</v>
      </c>
      <c r="N7290">
        <v>0.19432215212276713</v>
      </c>
      <c r="O7290">
        <v>0.26933414050022175</v>
      </c>
      <c r="P7290">
        <v>0.27189652176974227</v>
      </c>
    </row>
    <row r="7291" spans="13:16">
      <c r="M7291">
        <v>0.29906230582271082</v>
      </c>
      <c r="N7291">
        <v>0.1889716907743485</v>
      </c>
      <c r="O7291">
        <v>0.22527518986153727</v>
      </c>
      <c r="P7291">
        <v>0.28669081354140347</v>
      </c>
    </row>
    <row r="7292" spans="13:16">
      <c r="M7292">
        <v>0.30380767089285615</v>
      </c>
      <c r="N7292">
        <v>0.1701570468769272</v>
      </c>
      <c r="O7292">
        <v>0.28033101881272582</v>
      </c>
      <c r="P7292">
        <v>0.24570426341749069</v>
      </c>
    </row>
    <row r="7293" spans="13:16">
      <c r="M7293">
        <v>0.28351857179076856</v>
      </c>
      <c r="N7293">
        <v>0.18806057571574841</v>
      </c>
      <c r="O7293">
        <v>0.23594222588261113</v>
      </c>
      <c r="P7293">
        <v>0.29247862661087187</v>
      </c>
    </row>
    <row r="7294" spans="13:16">
      <c r="M7294">
        <v>0.28779019950741402</v>
      </c>
      <c r="N7294">
        <v>0.19011516399799588</v>
      </c>
      <c r="O7294">
        <v>0.25267059602094361</v>
      </c>
      <c r="P7294">
        <v>0.26942404047364654</v>
      </c>
    </row>
    <row r="7295" spans="13:16">
      <c r="M7295">
        <v>0.31057184037188007</v>
      </c>
      <c r="N7295">
        <v>0.16815877977028276</v>
      </c>
      <c r="O7295">
        <v>0.26897189157532642</v>
      </c>
      <c r="P7295">
        <v>0.25229748828251064</v>
      </c>
    </row>
    <row r="7296" spans="13:16">
      <c r="M7296">
        <v>0.30123173075795689</v>
      </c>
      <c r="N7296">
        <v>0.19931497895890313</v>
      </c>
      <c r="O7296">
        <v>0.22840041984981996</v>
      </c>
      <c r="P7296">
        <v>0.27105287043331988</v>
      </c>
    </row>
    <row r="7297" spans="13:16">
      <c r="M7297">
        <v>0.29766132303668835</v>
      </c>
      <c r="N7297">
        <v>0.19777261188036427</v>
      </c>
      <c r="O7297">
        <v>0.24591953969053124</v>
      </c>
      <c r="P7297">
        <v>0.25864652539241612</v>
      </c>
    </row>
    <row r="7298" spans="13:16">
      <c r="M7298">
        <v>0.29134299218289111</v>
      </c>
      <c r="N7298">
        <v>0.19976575969009339</v>
      </c>
      <c r="O7298">
        <v>0.22842044886798779</v>
      </c>
      <c r="P7298">
        <v>0.28047079925902768</v>
      </c>
    </row>
    <row r="7299" spans="13:16">
      <c r="M7299">
        <v>0.29235486504519992</v>
      </c>
      <c r="N7299">
        <v>0.1755863879689222</v>
      </c>
      <c r="O7299">
        <v>0.28360768429198069</v>
      </c>
      <c r="P7299">
        <v>0.24845106269389719</v>
      </c>
    </row>
    <row r="7300" spans="13:16">
      <c r="M7300">
        <v>0.27028506345363401</v>
      </c>
      <c r="N7300">
        <v>0.19209095992724526</v>
      </c>
      <c r="O7300">
        <v>0.26017465755006913</v>
      </c>
      <c r="P7300">
        <v>0.27744931906905163</v>
      </c>
    </row>
    <row r="7301" spans="13:16">
      <c r="M7301">
        <v>0.31277114329571432</v>
      </c>
      <c r="N7301">
        <v>0.17814303172453363</v>
      </c>
      <c r="O7301">
        <v>0.25173451285301007</v>
      </c>
      <c r="P7301">
        <v>0.257351312126742</v>
      </c>
    </row>
    <row r="7302" spans="13:16">
      <c r="M7302">
        <v>0.26605474696740961</v>
      </c>
      <c r="N7302">
        <v>0.19571521096846051</v>
      </c>
      <c r="O7302">
        <v>0.28319852495997827</v>
      </c>
      <c r="P7302">
        <v>0.25503151710415162</v>
      </c>
    </row>
    <row r="7303" spans="13:16">
      <c r="M7303">
        <v>0.31941536261503267</v>
      </c>
      <c r="N7303">
        <v>0.17100107008375262</v>
      </c>
      <c r="O7303">
        <v>0.24620185311773382</v>
      </c>
      <c r="P7303">
        <v>0.26338171418348089</v>
      </c>
    </row>
    <row r="7304" spans="13:16">
      <c r="M7304">
        <v>0.26881765940788738</v>
      </c>
      <c r="N7304">
        <v>0.19049402367781559</v>
      </c>
      <c r="O7304">
        <v>0.27370679422707012</v>
      </c>
      <c r="P7304">
        <v>0.26698152268722691</v>
      </c>
    </row>
    <row r="7305" spans="13:16">
      <c r="M7305">
        <v>0.28126942324956994</v>
      </c>
      <c r="N7305">
        <v>0.20685611188285327</v>
      </c>
      <c r="O7305">
        <v>0.23894008289193394</v>
      </c>
      <c r="P7305">
        <v>0.27293438197564285</v>
      </c>
    </row>
    <row r="7306" spans="13:16">
      <c r="M7306">
        <v>0.29122793625911769</v>
      </c>
      <c r="N7306">
        <v>0.17205780324249514</v>
      </c>
      <c r="O7306">
        <v>0.26832336720927114</v>
      </c>
      <c r="P7306">
        <v>0.26839089328911608</v>
      </c>
    </row>
    <row r="7307" spans="13:16">
      <c r="M7307">
        <v>0.30686945199304133</v>
      </c>
      <c r="N7307">
        <v>0.17561439627239031</v>
      </c>
      <c r="O7307">
        <v>0.26048416277399827</v>
      </c>
      <c r="P7307">
        <v>0.25703198896057017</v>
      </c>
    </row>
    <row r="7308" spans="13:16">
      <c r="M7308">
        <v>0.30196929769434239</v>
      </c>
      <c r="N7308">
        <v>0.19306137009685403</v>
      </c>
      <c r="O7308">
        <v>0.23874884163349946</v>
      </c>
      <c r="P7308">
        <v>0.26622049057530417</v>
      </c>
    </row>
    <row r="7309" spans="13:16">
      <c r="M7309">
        <v>0.29839552323088098</v>
      </c>
      <c r="N7309">
        <v>0.17078985774555419</v>
      </c>
      <c r="O7309">
        <v>0.2659939107920643</v>
      </c>
      <c r="P7309">
        <v>0.2648207082315005</v>
      </c>
    </row>
    <row r="7310" spans="13:16">
      <c r="M7310">
        <v>0.31182568125983212</v>
      </c>
      <c r="N7310">
        <v>0.20291802933328248</v>
      </c>
      <c r="O7310">
        <v>0.21353608571186986</v>
      </c>
      <c r="P7310">
        <v>0.27172020369501571</v>
      </c>
    </row>
    <row r="7311" spans="13:16">
      <c r="M7311">
        <v>0.30157900746219068</v>
      </c>
      <c r="N7311">
        <v>0.17731980050610774</v>
      </c>
      <c r="O7311">
        <v>0.26909172734101333</v>
      </c>
      <c r="P7311">
        <v>0.25200946469068819</v>
      </c>
    </row>
    <row r="7312" spans="13:16">
      <c r="M7312">
        <v>0.32846366091849649</v>
      </c>
      <c r="N7312">
        <v>0.17617393640498491</v>
      </c>
      <c r="O7312">
        <v>0.21651338515285767</v>
      </c>
      <c r="P7312">
        <v>0.27884901752366087</v>
      </c>
    </row>
    <row r="7313" spans="13:16">
      <c r="M7313">
        <v>0.26731384498597277</v>
      </c>
      <c r="N7313">
        <v>0.20240415425831279</v>
      </c>
      <c r="O7313">
        <v>0.26814390684040479</v>
      </c>
      <c r="P7313">
        <v>0.26213809391530962</v>
      </c>
    </row>
    <row r="7314" spans="13:16">
      <c r="M7314">
        <v>0.30151264824650703</v>
      </c>
      <c r="N7314">
        <v>0.16462638367379429</v>
      </c>
      <c r="O7314">
        <v>0.27910171896735037</v>
      </c>
      <c r="P7314">
        <v>0.25475924911234826</v>
      </c>
    </row>
    <row r="7315" spans="13:16">
      <c r="M7315">
        <v>0.26688374901947665</v>
      </c>
      <c r="N7315">
        <v>0.19321947928860955</v>
      </c>
      <c r="O7315">
        <v>0.27215747507412141</v>
      </c>
      <c r="P7315">
        <v>0.26773929661779233</v>
      </c>
    </row>
    <row r="7316" spans="13:16">
      <c r="M7316">
        <v>0.26408503844030162</v>
      </c>
      <c r="N7316">
        <v>0.20786415423338347</v>
      </c>
      <c r="O7316">
        <v>0.26503711993911006</v>
      </c>
      <c r="P7316">
        <v>0.26301368738720476</v>
      </c>
    </row>
    <row r="7317" spans="13:16">
      <c r="M7317">
        <v>0.29238505471220244</v>
      </c>
      <c r="N7317">
        <v>0.1656341537133213</v>
      </c>
      <c r="O7317">
        <v>0.29006491174709814</v>
      </c>
      <c r="P7317">
        <v>0.25191587982737806</v>
      </c>
    </row>
    <row r="7318" spans="13:16">
      <c r="M7318">
        <v>0.31446887464155904</v>
      </c>
      <c r="N7318">
        <v>0.16901626714426818</v>
      </c>
      <c r="O7318">
        <v>0.26098171945838189</v>
      </c>
      <c r="P7318">
        <v>0.25553313875579098</v>
      </c>
    </row>
    <row r="7319" spans="13:16">
      <c r="M7319">
        <v>0.31682925641966864</v>
      </c>
      <c r="N7319">
        <v>0.18196783230750435</v>
      </c>
      <c r="O7319">
        <v>0.2592462242463146</v>
      </c>
      <c r="P7319">
        <v>0.24195668702651241</v>
      </c>
    </row>
    <row r="7320" spans="13:16">
      <c r="M7320">
        <v>0.30841406610304911</v>
      </c>
      <c r="N7320">
        <v>0.19297302774179265</v>
      </c>
      <c r="O7320">
        <v>0.22827288329934198</v>
      </c>
      <c r="P7320">
        <v>0.27034002285581632</v>
      </c>
    </row>
    <row r="7321" spans="13:16">
      <c r="M7321">
        <v>0.27088239545919707</v>
      </c>
      <c r="N7321">
        <v>0.19933603258695934</v>
      </c>
      <c r="O7321">
        <v>0.24836915364186585</v>
      </c>
      <c r="P7321">
        <v>0.28141241831197777</v>
      </c>
    </row>
    <row r="7322" spans="13:16">
      <c r="M7322">
        <v>0.30004540329189799</v>
      </c>
      <c r="N7322">
        <v>0.20054860936344576</v>
      </c>
      <c r="O7322">
        <v>0.20771160020059956</v>
      </c>
      <c r="P7322">
        <v>0.29169438714405665</v>
      </c>
    </row>
    <row r="7323" spans="13:16">
      <c r="M7323">
        <v>0.31262839511040019</v>
      </c>
      <c r="N7323">
        <v>0.16183352383574487</v>
      </c>
      <c r="O7323">
        <v>0.28093058411031374</v>
      </c>
      <c r="P7323">
        <v>0.24460749694354109</v>
      </c>
    </row>
    <row r="7324" spans="13:16">
      <c r="M7324">
        <v>0.30625412232288779</v>
      </c>
      <c r="N7324">
        <v>0.16428969478687683</v>
      </c>
      <c r="O7324">
        <v>0.27665316840021259</v>
      </c>
      <c r="P7324">
        <v>0.25280301449002279</v>
      </c>
    </row>
    <row r="7325" spans="13:16">
      <c r="M7325">
        <v>0.29927828565230868</v>
      </c>
      <c r="N7325">
        <v>0.18867534798169952</v>
      </c>
      <c r="O7325">
        <v>0.23882455031411132</v>
      </c>
      <c r="P7325">
        <v>0.27322181605188045</v>
      </c>
    </row>
    <row r="7326" spans="13:16">
      <c r="M7326">
        <v>0.27824477585746987</v>
      </c>
      <c r="N7326">
        <v>0.20341156565854085</v>
      </c>
      <c r="O7326">
        <v>0.23764919373434931</v>
      </c>
      <c r="P7326">
        <v>0.28069446474963994</v>
      </c>
    </row>
    <row r="7327" spans="13:16">
      <c r="M7327">
        <v>0.27509051694312914</v>
      </c>
      <c r="N7327">
        <v>0.17950702865466356</v>
      </c>
      <c r="O7327">
        <v>0.28173092194959964</v>
      </c>
      <c r="P7327">
        <v>0.26367153245260772</v>
      </c>
    </row>
    <row r="7328" spans="13:16">
      <c r="M7328">
        <v>0.28829168869737665</v>
      </c>
      <c r="N7328">
        <v>0.1869373302578797</v>
      </c>
      <c r="O7328">
        <v>0.26578528094881776</v>
      </c>
      <c r="P7328">
        <v>0.25898570009592575</v>
      </c>
    </row>
    <row r="7329" spans="13:16">
      <c r="M7329">
        <v>0.28988383075557012</v>
      </c>
      <c r="N7329">
        <v>0.19148542172507615</v>
      </c>
      <c r="O7329">
        <v>0.24463125292129639</v>
      </c>
      <c r="P7329">
        <v>0.27399949459805734</v>
      </c>
    </row>
    <row r="7330" spans="13:16">
      <c r="M7330">
        <v>0.26876528796089794</v>
      </c>
      <c r="N7330">
        <v>0.18004931299939683</v>
      </c>
      <c r="O7330">
        <v>0.28480923895394655</v>
      </c>
      <c r="P7330">
        <v>0.2663761600857586</v>
      </c>
    </row>
    <row r="7331" spans="13:16">
      <c r="M7331">
        <v>0.28835601309704612</v>
      </c>
      <c r="N7331">
        <v>0.19615478866252145</v>
      </c>
      <c r="O7331">
        <v>0.238290162300755</v>
      </c>
      <c r="P7331">
        <v>0.27719903593967743</v>
      </c>
    </row>
    <row r="7332" spans="13:16">
      <c r="M7332">
        <v>0.28533260030672802</v>
      </c>
      <c r="N7332">
        <v>0.17981430388777403</v>
      </c>
      <c r="O7332">
        <v>0.24828430476789459</v>
      </c>
      <c r="P7332">
        <v>0.28656879103760335</v>
      </c>
    </row>
    <row r="7333" spans="13:16">
      <c r="M7333">
        <v>0.27110869032636331</v>
      </c>
      <c r="N7333">
        <v>0.1981237459223294</v>
      </c>
      <c r="O7333">
        <v>0.27430341002675557</v>
      </c>
      <c r="P7333">
        <v>0.25646415372455172</v>
      </c>
    </row>
    <row r="7334" spans="13:16">
      <c r="M7334">
        <v>0.28699828041860365</v>
      </c>
      <c r="N7334">
        <v>0.18601257432128834</v>
      </c>
      <c r="O7334">
        <v>0.26858255228591404</v>
      </c>
      <c r="P7334">
        <v>0.25840659297419394</v>
      </c>
    </row>
    <row r="7335" spans="13:16">
      <c r="M7335">
        <v>0.27004334789437234</v>
      </c>
      <c r="N7335">
        <v>0.18900384018017799</v>
      </c>
      <c r="O7335">
        <v>0.28386433583270965</v>
      </c>
      <c r="P7335">
        <v>0.25708847609274005</v>
      </c>
    </row>
    <row r="7336" spans="13:16">
      <c r="M7336">
        <v>0.28768254841591495</v>
      </c>
      <c r="N7336">
        <v>0.18354486606745596</v>
      </c>
      <c r="O7336">
        <v>0.26426507616779948</v>
      </c>
      <c r="P7336">
        <v>0.26450750934882955</v>
      </c>
    </row>
    <row r="7337" spans="13:16">
      <c r="M7337">
        <v>0.27957545735087735</v>
      </c>
      <c r="N7337">
        <v>0.17890819976948388</v>
      </c>
      <c r="O7337">
        <v>0.28880625691896877</v>
      </c>
      <c r="P7337">
        <v>0.25271008596066996</v>
      </c>
    </row>
    <row r="7338" spans="13:16">
      <c r="M7338">
        <v>0.28914375336176384</v>
      </c>
      <c r="N7338">
        <v>0.20846107719349152</v>
      </c>
      <c r="O7338">
        <v>0.22423401016332756</v>
      </c>
      <c r="P7338">
        <v>0.27816115928141716</v>
      </c>
    </row>
    <row r="7339" spans="13:16">
      <c r="M7339">
        <v>0.29134861848623783</v>
      </c>
      <c r="N7339">
        <v>0.17929255823124587</v>
      </c>
      <c r="O7339">
        <v>0.26367189547371395</v>
      </c>
      <c r="P7339">
        <v>0.26568692780880226</v>
      </c>
    </row>
    <row r="7340" spans="13:16">
      <c r="M7340">
        <v>0.29694442989597886</v>
      </c>
      <c r="N7340">
        <v>0.20445089041691278</v>
      </c>
      <c r="O7340">
        <v>0.21950420556613451</v>
      </c>
      <c r="P7340">
        <v>0.27910047412097383</v>
      </c>
    </row>
    <row r="7341" spans="13:16">
      <c r="M7341">
        <v>0.28793488269811013</v>
      </c>
      <c r="N7341">
        <v>0.20254667083680114</v>
      </c>
      <c r="O7341">
        <v>0.22727706546676846</v>
      </c>
      <c r="P7341">
        <v>0.2822413809983203</v>
      </c>
    </row>
    <row r="7342" spans="13:16">
      <c r="M7342">
        <v>0.31569137293129462</v>
      </c>
      <c r="N7342">
        <v>0.17779367885923311</v>
      </c>
      <c r="O7342">
        <v>0.24143184968429884</v>
      </c>
      <c r="P7342">
        <v>0.26508309852517348</v>
      </c>
    </row>
    <row r="7343" spans="13:16">
      <c r="M7343">
        <v>0.29048343689352141</v>
      </c>
      <c r="N7343">
        <v>0.20042729726548164</v>
      </c>
      <c r="O7343">
        <v>0.23922203823809132</v>
      </c>
      <c r="P7343">
        <v>0.26986722760290555</v>
      </c>
    </row>
    <row r="7344" spans="13:16">
      <c r="M7344">
        <v>0.29077935370764685</v>
      </c>
      <c r="N7344">
        <v>0.1730092768857833</v>
      </c>
      <c r="O7344">
        <v>0.28066192488254244</v>
      </c>
      <c r="P7344">
        <v>0.25554944452402734</v>
      </c>
    </row>
    <row r="7345" spans="13:16">
      <c r="M7345">
        <v>0.27688054784188276</v>
      </c>
      <c r="N7345">
        <v>0.17291856896422594</v>
      </c>
      <c r="O7345">
        <v>0.29189140672108949</v>
      </c>
      <c r="P7345">
        <v>0.25830947647280189</v>
      </c>
    </row>
    <row r="7346" spans="13:16">
      <c r="M7346">
        <v>0.29217147242911601</v>
      </c>
      <c r="N7346">
        <v>0.18145894230713089</v>
      </c>
      <c r="O7346">
        <v>0.26649024570000146</v>
      </c>
      <c r="P7346">
        <v>0.25987933956375164</v>
      </c>
    </row>
    <row r="7347" spans="13:16">
      <c r="M7347">
        <v>0.34414016250052093</v>
      </c>
      <c r="N7347">
        <v>0.1722861884306153</v>
      </c>
      <c r="O7347">
        <v>0.22931500842805133</v>
      </c>
      <c r="P7347">
        <v>0.25425864064081227</v>
      </c>
    </row>
    <row r="7348" spans="13:16">
      <c r="M7348">
        <v>0.27966480560137774</v>
      </c>
      <c r="N7348">
        <v>0.20581597818476891</v>
      </c>
      <c r="O7348">
        <v>0.23506303128831862</v>
      </c>
      <c r="P7348">
        <v>0.27945618492553476</v>
      </c>
    </row>
    <row r="7349" spans="13:16">
      <c r="M7349">
        <v>0.28554966796341613</v>
      </c>
      <c r="N7349">
        <v>0.20058563974667221</v>
      </c>
      <c r="O7349">
        <v>0.2481892551049438</v>
      </c>
      <c r="P7349">
        <v>0.26567543718496778</v>
      </c>
    </row>
    <row r="7350" spans="13:16">
      <c r="M7350">
        <v>0.30515818427353647</v>
      </c>
      <c r="N7350">
        <v>0.18392011734691846</v>
      </c>
      <c r="O7350">
        <v>0.24193821433405543</v>
      </c>
      <c r="P7350">
        <v>0.26898348404548961</v>
      </c>
    </row>
    <row r="7351" spans="13:16">
      <c r="M7351">
        <v>0.28907511207594588</v>
      </c>
      <c r="N7351">
        <v>0.18784780327453274</v>
      </c>
      <c r="O7351">
        <v>0.27920842220801917</v>
      </c>
      <c r="P7351">
        <v>0.24386866244150215</v>
      </c>
    </row>
    <row r="7352" spans="13:16">
      <c r="M7352">
        <v>0.31079613818370277</v>
      </c>
      <c r="N7352">
        <v>0.17549148904233955</v>
      </c>
      <c r="O7352">
        <v>0.25034331688525441</v>
      </c>
      <c r="P7352">
        <v>0.26336905588870319</v>
      </c>
    </row>
    <row r="7353" spans="13:16">
      <c r="M7353">
        <v>0.27153023046822244</v>
      </c>
      <c r="N7353">
        <v>0.18867991473047035</v>
      </c>
      <c r="O7353">
        <v>0.25838010970599845</v>
      </c>
      <c r="P7353">
        <v>0.28140974509530875</v>
      </c>
    </row>
    <row r="7354" spans="13:16">
      <c r="M7354">
        <v>0.3042652506346048</v>
      </c>
      <c r="N7354">
        <v>0.18667982267309</v>
      </c>
      <c r="O7354">
        <v>0.2268698743234068</v>
      </c>
      <c r="P7354">
        <v>0.28218505236889846</v>
      </c>
    </row>
    <row r="7355" spans="13:16">
      <c r="M7355">
        <v>0.30231225537853762</v>
      </c>
      <c r="N7355">
        <v>0.17511607913988386</v>
      </c>
      <c r="O7355">
        <v>0.24618566477638293</v>
      </c>
      <c r="P7355">
        <v>0.27638600070519548</v>
      </c>
    </row>
    <row r="7356" spans="13:16">
      <c r="M7356">
        <v>0.27756754722566895</v>
      </c>
      <c r="N7356">
        <v>0.19861073068022272</v>
      </c>
      <c r="O7356">
        <v>0.25460673370553544</v>
      </c>
      <c r="P7356">
        <v>0.269214988388573</v>
      </c>
    </row>
    <row r="7357" spans="13:16">
      <c r="M7357">
        <v>0.29214132118499975</v>
      </c>
      <c r="N7357">
        <v>0.17858245673502762</v>
      </c>
      <c r="O7357">
        <v>0.27096732362667564</v>
      </c>
      <c r="P7357">
        <v>0.25830889845329696</v>
      </c>
    </row>
    <row r="7358" spans="13:16">
      <c r="M7358">
        <v>0.30734694163933857</v>
      </c>
      <c r="N7358">
        <v>0.18321025973382801</v>
      </c>
      <c r="O7358">
        <v>0.25210297186043779</v>
      </c>
      <c r="P7358">
        <v>0.25733982676639555</v>
      </c>
    </row>
    <row r="7359" spans="13:16">
      <c r="M7359">
        <v>0.27599712281101474</v>
      </c>
      <c r="N7359">
        <v>0.18953860643122905</v>
      </c>
      <c r="O7359">
        <v>0.27200329743497065</v>
      </c>
      <c r="P7359">
        <v>0.26246097332278551</v>
      </c>
    </row>
    <row r="7360" spans="13:16">
      <c r="M7360">
        <v>0.30784712453216334</v>
      </c>
      <c r="N7360">
        <v>0.18293090970845849</v>
      </c>
      <c r="O7360">
        <v>0.22354287823160726</v>
      </c>
      <c r="P7360">
        <v>0.28567908752777083</v>
      </c>
    </row>
    <row r="7361" spans="13:16">
      <c r="M7361">
        <v>0.30469795593825894</v>
      </c>
      <c r="N7361">
        <v>0.17970574609124695</v>
      </c>
      <c r="O7361">
        <v>0.26135721111267662</v>
      </c>
      <c r="P7361">
        <v>0.25423908685781749</v>
      </c>
    </row>
    <row r="7362" spans="13:16">
      <c r="M7362">
        <v>0.29882906974294943</v>
      </c>
      <c r="N7362">
        <v>0.18155025306126768</v>
      </c>
      <c r="O7362">
        <v>0.23665948219790667</v>
      </c>
      <c r="P7362">
        <v>0.28296119499787625</v>
      </c>
    </row>
    <row r="7363" spans="13:16">
      <c r="M7363">
        <v>0.33880954768176152</v>
      </c>
      <c r="N7363">
        <v>0.17119423618637464</v>
      </c>
      <c r="O7363">
        <v>0.22460621917965362</v>
      </c>
      <c r="P7363">
        <v>0.26538999695221033</v>
      </c>
    </row>
    <row r="7364" spans="13:16">
      <c r="M7364">
        <v>0.26278657283129314</v>
      </c>
      <c r="N7364">
        <v>0.20371039334710747</v>
      </c>
      <c r="O7364">
        <v>0.26769711347918651</v>
      </c>
      <c r="P7364">
        <v>0.2658059203424129</v>
      </c>
    </row>
    <row r="7365" spans="13:16">
      <c r="M7365">
        <v>0.30127724847132442</v>
      </c>
      <c r="N7365">
        <v>0.1744827316226423</v>
      </c>
      <c r="O7365">
        <v>0.25708179697943084</v>
      </c>
      <c r="P7365">
        <v>0.26715822292660241</v>
      </c>
    </row>
    <row r="7366" spans="13:16">
      <c r="M7366">
        <v>0.27839546810701365</v>
      </c>
      <c r="N7366">
        <v>0.19067383787093123</v>
      </c>
      <c r="O7366">
        <v>0.26060681615252895</v>
      </c>
      <c r="P7366">
        <v>0.27032387786952611</v>
      </c>
    </row>
    <row r="7367" spans="13:16">
      <c r="M7367">
        <v>0.28764215274013749</v>
      </c>
      <c r="N7367">
        <v>0.21438077567913977</v>
      </c>
      <c r="O7367">
        <v>0.22560343096883353</v>
      </c>
      <c r="P7367">
        <v>0.27237364061188923</v>
      </c>
    </row>
    <row r="7368" spans="13:16">
      <c r="M7368">
        <v>0.30221639501807879</v>
      </c>
      <c r="N7368">
        <v>0.16505926777894042</v>
      </c>
      <c r="O7368">
        <v>0.28545703755850405</v>
      </c>
      <c r="P7368">
        <v>0.24726729964447675</v>
      </c>
    </row>
    <row r="7369" spans="13:16">
      <c r="M7369">
        <v>0.28404245791819077</v>
      </c>
      <c r="N7369">
        <v>0.17376296323000393</v>
      </c>
      <c r="O7369">
        <v>0.28395404046279871</v>
      </c>
      <c r="P7369">
        <v>0.25824053838900662</v>
      </c>
    </row>
    <row r="7370" spans="13:16">
      <c r="M7370">
        <v>0.29393416768619302</v>
      </c>
      <c r="N7370">
        <v>0.21358686738715671</v>
      </c>
      <c r="O7370">
        <v>0.22017975357834366</v>
      </c>
      <c r="P7370">
        <v>0.2722992113483067</v>
      </c>
    </row>
    <row r="7371" spans="13:16">
      <c r="M7371">
        <v>0.26749918841093506</v>
      </c>
      <c r="N7371">
        <v>0.18255122790854519</v>
      </c>
      <c r="O7371">
        <v>0.28358234611474736</v>
      </c>
      <c r="P7371">
        <v>0.2663672375657723</v>
      </c>
    </row>
    <row r="7372" spans="13:16">
      <c r="M7372">
        <v>0.32472815754113443</v>
      </c>
      <c r="N7372">
        <v>0.16764298689625035</v>
      </c>
      <c r="O7372">
        <v>0.26571858533902143</v>
      </c>
      <c r="P7372">
        <v>0.24191027022359382</v>
      </c>
    </row>
    <row r="7373" spans="13:16">
      <c r="M7373">
        <v>0.26627143403260417</v>
      </c>
      <c r="N7373">
        <v>0.17872400874895361</v>
      </c>
      <c r="O7373">
        <v>0.28764770067844331</v>
      </c>
      <c r="P7373">
        <v>0.26735685653999874</v>
      </c>
    </row>
    <row r="7374" spans="13:16">
      <c r="M7374">
        <v>0.28547411921514998</v>
      </c>
      <c r="N7374">
        <v>0.20473769399096653</v>
      </c>
      <c r="O7374">
        <v>0.2484382804917156</v>
      </c>
      <c r="P7374">
        <v>0.26134990630216787</v>
      </c>
    </row>
    <row r="7375" spans="13:16">
      <c r="M7375">
        <v>0.308575757867048</v>
      </c>
      <c r="N7375">
        <v>0.1905058898635055</v>
      </c>
      <c r="O7375">
        <v>0.23578504969038774</v>
      </c>
      <c r="P7375">
        <v>0.26513330257905871</v>
      </c>
    </row>
    <row r="7376" spans="13:16">
      <c r="M7376">
        <v>0.31657932577447628</v>
      </c>
      <c r="N7376">
        <v>0.17137542125752966</v>
      </c>
      <c r="O7376">
        <v>0.23947954347010314</v>
      </c>
      <c r="P7376">
        <v>0.27256570949789083</v>
      </c>
    </row>
    <row r="7377" spans="13:16">
      <c r="M7377">
        <v>0.29797952128422595</v>
      </c>
      <c r="N7377">
        <v>0.19292323068985034</v>
      </c>
      <c r="O7377">
        <v>0.22585801033770256</v>
      </c>
      <c r="P7377">
        <v>0.28323923768822112</v>
      </c>
    </row>
    <row r="7378" spans="13:16">
      <c r="M7378">
        <v>0.30668486968357928</v>
      </c>
      <c r="N7378">
        <v>0.18337796974892251</v>
      </c>
      <c r="O7378">
        <v>0.24819677306732743</v>
      </c>
      <c r="P7378">
        <v>0.26174038750017076</v>
      </c>
    </row>
    <row r="7379" spans="13:16">
      <c r="M7379">
        <v>0.31580563650259713</v>
      </c>
      <c r="N7379">
        <v>0.17310825034845639</v>
      </c>
      <c r="O7379">
        <v>0.2510471419079231</v>
      </c>
      <c r="P7379">
        <v>0.26003897124102343</v>
      </c>
    </row>
    <row r="7380" spans="13:16">
      <c r="M7380">
        <v>0.30089062366515862</v>
      </c>
      <c r="N7380">
        <v>0.17235040842880922</v>
      </c>
      <c r="O7380">
        <v>0.2756015910400032</v>
      </c>
      <c r="P7380">
        <v>0.2511573768660289</v>
      </c>
    </row>
    <row r="7381" spans="13:16">
      <c r="M7381">
        <v>0.31198110388896177</v>
      </c>
      <c r="N7381">
        <v>0.17790600543795401</v>
      </c>
      <c r="O7381">
        <v>0.25630873293183687</v>
      </c>
      <c r="P7381">
        <v>0.25380415774124737</v>
      </c>
    </row>
    <row r="7382" spans="13:16">
      <c r="M7382">
        <v>0.29892568431026673</v>
      </c>
      <c r="N7382">
        <v>0.16522735533368341</v>
      </c>
      <c r="O7382">
        <v>0.29342949299539661</v>
      </c>
      <c r="P7382">
        <v>0.2424174673606532</v>
      </c>
    </row>
    <row r="7383" spans="13:16">
      <c r="M7383">
        <v>0.3079502980169086</v>
      </c>
      <c r="N7383">
        <v>0.17529561544222971</v>
      </c>
      <c r="O7383">
        <v>0.26739214631918989</v>
      </c>
      <c r="P7383">
        <v>0.24936194022167177</v>
      </c>
    </row>
    <row r="7384" spans="13:16">
      <c r="M7384">
        <v>0.2801598170779242</v>
      </c>
      <c r="N7384">
        <v>0.20874289298288143</v>
      </c>
      <c r="O7384">
        <v>0.24377214397802877</v>
      </c>
      <c r="P7384">
        <v>0.26732514596116563</v>
      </c>
    </row>
    <row r="7385" spans="13:16">
      <c r="M7385">
        <v>0.28317446516846012</v>
      </c>
      <c r="N7385">
        <v>0.19427908171834077</v>
      </c>
      <c r="O7385">
        <v>0.26736771737161014</v>
      </c>
      <c r="P7385">
        <v>0.25517873574158895</v>
      </c>
    </row>
    <row r="7386" spans="13:16">
      <c r="M7386">
        <v>0.28375937701692877</v>
      </c>
      <c r="N7386">
        <v>0.18007903676128928</v>
      </c>
      <c r="O7386">
        <v>0.27069308604127623</v>
      </c>
      <c r="P7386">
        <v>0.26546850018050572</v>
      </c>
    </row>
    <row r="7387" spans="13:16">
      <c r="M7387">
        <v>0.28719344624114324</v>
      </c>
      <c r="N7387">
        <v>0.19191812475958114</v>
      </c>
      <c r="O7387">
        <v>0.24857424398575942</v>
      </c>
      <c r="P7387">
        <v>0.27231418501351623</v>
      </c>
    </row>
    <row r="7388" spans="13:16">
      <c r="M7388">
        <v>0.2987600391240216</v>
      </c>
      <c r="N7388">
        <v>0.18913910925867375</v>
      </c>
      <c r="O7388">
        <v>0.23863419150492735</v>
      </c>
      <c r="P7388">
        <v>0.27346666011237725</v>
      </c>
    </row>
    <row r="7389" spans="13:16">
      <c r="M7389">
        <v>0.29100378474303729</v>
      </c>
      <c r="N7389">
        <v>0.19521696365748306</v>
      </c>
      <c r="O7389">
        <v>0.26155825781033842</v>
      </c>
      <c r="P7389">
        <v>0.25222099378914126</v>
      </c>
    </row>
    <row r="7390" spans="13:16">
      <c r="M7390">
        <v>0.27729600572069441</v>
      </c>
      <c r="N7390">
        <v>0.19620049914975166</v>
      </c>
      <c r="O7390">
        <v>0.26580083378292985</v>
      </c>
      <c r="P7390">
        <v>0.26070266134662406</v>
      </c>
    </row>
    <row r="7391" spans="13:16">
      <c r="M7391">
        <v>0.28055876659379192</v>
      </c>
      <c r="N7391">
        <v>0.18938392673482415</v>
      </c>
      <c r="O7391">
        <v>0.24705972930492426</v>
      </c>
      <c r="P7391">
        <v>0.28299757736645959</v>
      </c>
    </row>
    <row r="7392" spans="13:16">
      <c r="M7392">
        <v>0.28067407993777799</v>
      </c>
      <c r="N7392">
        <v>0.18637568647118843</v>
      </c>
      <c r="O7392">
        <v>0.2559207656083618</v>
      </c>
      <c r="P7392">
        <v>0.27702946798267186</v>
      </c>
    </row>
    <row r="7393" spans="13:16">
      <c r="M7393">
        <v>0.28241104745854778</v>
      </c>
      <c r="N7393">
        <v>0.1943188699623829</v>
      </c>
      <c r="O7393">
        <v>0.23262197891672967</v>
      </c>
      <c r="P7393">
        <v>0.29064810366233951</v>
      </c>
    </row>
    <row r="7394" spans="13:16">
      <c r="M7394">
        <v>0.28478845859152851</v>
      </c>
      <c r="N7394">
        <v>0.17563424078451587</v>
      </c>
      <c r="O7394">
        <v>0.28153715611133662</v>
      </c>
      <c r="P7394">
        <v>0.25804014451261903</v>
      </c>
    </row>
    <row r="7395" spans="13:16">
      <c r="M7395">
        <v>0.33055888136866407</v>
      </c>
      <c r="N7395">
        <v>0.1839536826219528</v>
      </c>
      <c r="O7395">
        <v>0.22275504938914195</v>
      </c>
      <c r="P7395">
        <v>0.26273238662024123</v>
      </c>
    </row>
    <row r="7396" spans="13:16">
      <c r="M7396">
        <v>0.2932894950577809</v>
      </c>
      <c r="N7396">
        <v>0.18772497879875152</v>
      </c>
      <c r="O7396">
        <v>0.25061235809373267</v>
      </c>
      <c r="P7396">
        <v>0.26837316804973504</v>
      </c>
    </row>
    <row r="7397" spans="13:16">
      <c r="M7397">
        <v>0.31137619799893812</v>
      </c>
      <c r="N7397">
        <v>0.16780280440463588</v>
      </c>
      <c r="O7397">
        <v>0.26579648341048839</v>
      </c>
      <c r="P7397">
        <v>0.25502451418593752</v>
      </c>
    </row>
    <row r="7398" spans="13:16">
      <c r="M7398">
        <v>0.2908982195094294</v>
      </c>
      <c r="N7398">
        <v>0.1785292976549829</v>
      </c>
      <c r="O7398">
        <v>0.25818165622451111</v>
      </c>
      <c r="P7398">
        <v>0.27239082661107661</v>
      </c>
    </row>
    <row r="7399" spans="13:16">
      <c r="M7399">
        <v>0.30531963253955907</v>
      </c>
      <c r="N7399">
        <v>0.17808494096898778</v>
      </c>
      <c r="O7399">
        <v>0.23966655264274642</v>
      </c>
      <c r="P7399">
        <v>0.27692887384870668</v>
      </c>
    </row>
    <row r="7400" spans="13:16">
      <c r="M7400">
        <v>0.2957374269548998</v>
      </c>
      <c r="N7400">
        <v>0.18644858103591791</v>
      </c>
      <c r="O7400">
        <v>0.25652005234698866</v>
      </c>
      <c r="P7400">
        <v>0.26129393966219366</v>
      </c>
    </row>
    <row r="7401" spans="13:16">
      <c r="M7401">
        <v>0.30689658850005175</v>
      </c>
      <c r="N7401">
        <v>0.19215725024251393</v>
      </c>
      <c r="O7401">
        <v>0.23289853913422226</v>
      </c>
      <c r="P7401">
        <v>0.26804762212321209</v>
      </c>
    </row>
    <row r="7402" spans="13:16">
      <c r="M7402">
        <v>0.29474847701395562</v>
      </c>
      <c r="N7402">
        <v>0.19203598966770635</v>
      </c>
      <c r="O7402">
        <v>0.25799509532850345</v>
      </c>
      <c r="P7402">
        <v>0.25522043798983463</v>
      </c>
    </row>
    <row r="7403" spans="13:16">
      <c r="M7403">
        <v>0.31227415850820517</v>
      </c>
      <c r="N7403">
        <v>0.16229926181284002</v>
      </c>
      <c r="O7403">
        <v>0.28663199702785136</v>
      </c>
      <c r="P7403">
        <v>0.23879458265110351</v>
      </c>
    </row>
    <row r="7404" spans="13:16">
      <c r="M7404">
        <v>0.2828314097533387</v>
      </c>
      <c r="N7404">
        <v>0.1879423283316142</v>
      </c>
      <c r="O7404">
        <v>0.27345980568369804</v>
      </c>
      <c r="P7404">
        <v>0.25576645623134908</v>
      </c>
    </row>
    <row r="7405" spans="13:16">
      <c r="M7405">
        <v>0.29636117835924808</v>
      </c>
      <c r="N7405">
        <v>0.17792876045814682</v>
      </c>
      <c r="O7405">
        <v>0.27767419028001222</v>
      </c>
      <c r="P7405">
        <v>0.24803587090259283</v>
      </c>
    </row>
    <row r="7406" spans="13:16">
      <c r="M7406">
        <v>0.29024318863471832</v>
      </c>
      <c r="N7406">
        <v>0.18822363654646398</v>
      </c>
      <c r="O7406">
        <v>0.25408213837936616</v>
      </c>
      <c r="P7406">
        <v>0.26745103643945151</v>
      </c>
    </row>
    <row r="7407" spans="13:16">
      <c r="M7407">
        <v>0.28483761318392875</v>
      </c>
      <c r="N7407">
        <v>0.20651040326306813</v>
      </c>
      <c r="O7407">
        <v>0.23754748406651402</v>
      </c>
      <c r="P7407">
        <v>0.27110449948648918</v>
      </c>
    </row>
    <row r="7408" spans="13:16">
      <c r="M7408">
        <v>0.30993392266072428</v>
      </c>
      <c r="N7408">
        <v>0.17578830094136932</v>
      </c>
      <c r="O7408">
        <v>0.26134301637020135</v>
      </c>
      <c r="P7408">
        <v>0.25293476002770504</v>
      </c>
    </row>
    <row r="7409" spans="13:16">
      <c r="M7409">
        <v>0.31818607023314205</v>
      </c>
      <c r="N7409">
        <v>0.17458191073274509</v>
      </c>
      <c r="O7409">
        <v>0.2500566188532225</v>
      </c>
      <c r="P7409">
        <v>0.25717540018089041</v>
      </c>
    </row>
    <row r="7410" spans="13:16">
      <c r="M7410">
        <v>0.28150938444312051</v>
      </c>
      <c r="N7410">
        <v>0.19538681766006069</v>
      </c>
      <c r="O7410">
        <v>0.2511297969897664</v>
      </c>
      <c r="P7410">
        <v>0.27197400090705243</v>
      </c>
    </row>
    <row r="7411" spans="13:16">
      <c r="M7411">
        <v>0.29423082222062663</v>
      </c>
      <c r="N7411">
        <v>0.18027924769703207</v>
      </c>
      <c r="O7411">
        <v>0.25065403364703026</v>
      </c>
      <c r="P7411">
        <v>0.27483589643531114</v>
      </c>
    </row>
    <row r="7412" spans="13:16">
      <c r="M7412">
        <v>0.30620117642737671</v>
      </c>
      <c r="N7412">
        <v>0.18034083447519811</v>
      </c>
      <c r="O7412">
        <v>0.25034528557744279</v>
      </c>
      <c r="P7412">
        <v>0.26311270351998234</v>
      </c>
    </row>
    <row r="7413" spans="13:16">
      <c r="M7413">
        <v>0.29209051500499367</v>
      </c>
      <c r="N7413">
        <v>0.1842068901957957</v>
      </c>
      <c r="O7413">
        <v>0.26498688167401263</v>
      </c>
      <c r="P7413">
        <v>0.25871571312519809</v>
      </c>
    </row>
    <row r="7414" spans="13:16">
      <c r="M7414">
        <v>0.28664747262139367</v>
      </c>
      <c r="N7414">
        <v>0.18887684145165645</v>
      </c>
      <c r="O7414">
        <v>0.26216581980351367</v>
      </c>
      <c r="P7414">
        <v>0.26230986612343632</v>
      </c>
    </row>
    <row r="7415" spans="13:16">
      <c r="M7415">
        <v>0.27914792780648129</v>
      </c>
      <c r="N7415">
        <v>0.19371487625197703</v>
      </c>
      <c r="O7415">
        <v>0.26330342636075771</v>
      </c>
      <c r="P7415">
        <v>0.26383376958078397</v>
      </c>
    </row>
    <row r="7416" spans="13:16">
      <c r="M7416">
        <v>0.30225877275026025</v>
      </c>
      <c r="N7416">
        <v>0.18430014470526471</v>
      </c>
      <c r="O7416">
        <v>0.23248433196258009</v>
      </c>
      <c r="P7416">
        <v>0.28095675058189495</v>
      </c>
    </row>
    <row r="7417" spans="13:16">
      <c r="M7417">
        <v>0.26538092565039689</v>
      </c>
      <c r="N7417">
        <v>0.19185294284957879</v>
      </c>
      <c r="O7417">
        <v>0.28547791151028107</v>
      </c>
      <c r="P7417">
        <v>0.25728821998974338</v>
      </c>
    </row>
    <row r="7418" spans="13:16">
      <c r="M7418">
        <v>0.27620325710337473</v>
      </c>
      <c r="N7418">
        <v>0.19711772705253502</v>
      </c>
      <c r="O7418">
        <v>0.25924932151258473</v>
      </c>
      <c r="P7418">
        <v>0.26742969433150554</v>
      </c>
    </row>
    <row r="7419" spans="13:16">
      <c r="M7419">
        <v>0.28441641542035034</v>
      </c>
      <c r="N7419">
        <v>0.19992291039104884</v>
      </c>
      <c r="O7419">
        <v>0.23872692081916555</v>
      </c>
      <c r="P7419">
        <v>0.27693375336943532</v>
      </c>
    </row>
    <row r="7420" spans="13:16">
      <c r="M7420">
        <v>0.29745113589538297</v>
      </c>
      <c r="N7420">
        <v>0.18453085473129718</v>
      </c>
      <c r="O7420">
        <v>0.26179876494284549</v>
      </c>
      <c r="P7420">
        <v>0.25621924443047439</v>
      </c>
    </row>
    <row r="7421" spans="13:16">
      <c r="M7421">
        <v>0.2800312657042015</v>
      </c>
      <c r="N7421">
        <v>0.19053122047528304</v>
      </c>
      <c r="O7421">
        <v>0.24863344910909238</v>
      </c>
      <c r="P7421">
        <v>0.28080406471142316</v>
      </c>
    </row>
    <row r="7422" spans="13:16">
      <c r="M7422">
        <v>0.29556896907110469</v>
      </c>
      <c r="N7422">
        <v>0.19510748650468618</v>
      </c>
      <c r="O7422">
        <v>0.24403367993835712</v>
      </c>
      <c r="P7422">
        <v>0.26528986448585201</v>
      </c>
    </row>
    <row r="7423" spans="13:16">
      <c r="M7423">
        <v>0.29959609238784141</v>
      </c>
      <c r="N7423">
        <v>0.19609676591284847</v>
      </c>
      <c r="O7423">
        <v>0.23156746199396619</v>
      </c>
      <c r="P7423">
        <v>0.27273967970534402</v>
      </c>
    </row>
    <row r="7424" spans="13:16">
      <c r="M7424">
        <v>0.28028953487894226</v>
      </c>
      <c r="N7424">
        <v>0.20962414490833453</v>
      </c>
      <c r="O7424">
        <v>0.22596304653288654</v>
      </c>
      <c r="P7424">
        <v>0.28412327367983659</v>
      </c>
    </row>
    <row r="7425" spans="13:16">
      <c r="M7425">
        <v>0.28803159483717861</v>
      </c>
      <c r="N7425">
        <v>0.18723205893649278</v>
      </c>
      <c r="O7425">
        <v>0.25763327462624885</v>
      </c>
      <c r="P7425">
        <v>0.26710307160007973</v>
      </c>
    </row>
    <row r="7426" spans="13:16">
      <c r="M7426">
        <v>0.28668210532718769</v>
      </c>
      <c r="N7426">
        <v>0.19220398818785586</v>
      </c>
      <c r="O7426">
        <v>0.22654375798870069</v>
      </c>
      <c r="P7426">
        <v>0.29457014849625573</v>
      </c>
    </row>
    <row r="7427" spans="13:16">
      <c r="M7427">
        <v>0.29812995529036063</v>
      </c>
      <c r="N7427">
        <v>0.20527276860135177</v>
      </c>
      <c r="O7427">
        <v>0.23542745480386215</v>
      </c>
      <c r="P7427">
        <v>0.2611698213044254</v>
      </c>
    </row>
    <row r="7428" spans="13:16">
      <c r="M7428">
        <v>0.30892285446363388</v>
      </c>
      <c r="N7428">
        <v>0.18225592440989904</v>
      </c>
      <c r="O7428">
        <v>0.24724244836587861</v>
      </c>
      <c r="P7428">
        <v>0.2615787727605885</v>
      </c>
    </row>
    <row r="7429" spans="13:16">
      <c r="M7429">
        <v>0.31119288478792906</v>
      </c>
      <c r="N7429">
        <v>0.17024407364419758</v>
      </c>
      <c r="O7429">
        <v>0.27017242652955148</v>
      </c>
      <c r="P7429">
        <v>0.24839061503832191</v>
      </c>
    </row>
    <row r="7430" spans="13:16">
      <c r="M7430">
        <v>0.28975781468853462</v>
      </c>
      <c r="N7430">
        <v>0.16569597144129244</v>
      </c>
      <c r="O7430">
        <v>0.28313450183008326</v>
      </c>
      <c r="P7430">
        <v>0.26141171204008967</v>
      </c>
    </row>
    <row r="7431" spans="13:16">
      <c r="M7431">
        <v>0.27577670132283477</v>
      </c>
      <c r="N7431">
        <v>0.19779102681629354</v>
      </c>
      <c r="O7431">
        <v>0.25987786303722765</v>
      </c>
      <c r="P7431">
        <v>0.26655440882364406</v>
      </c>
    </row>
    <row r="7432" spans="13:16">
      <c r="M7432">
        <v>0.26373646810080514</v>
      </c>
      <c r="N7432">
        <v>0.20496493495235049</v>
      </c>
      <c r="O7432">
        <v>0.26425946486334601</v>
      </c>
      <c r="P7432">
        <v>0.2670391320834985</v>
      </c>
    </row>
    <row r="7433" spans="13:16">
      <c r="M7433">
        <v>0.30219703016615923</v>
      </c>
      <c r="N7433">
        <v>0.18884329093666155</v>
      </c>
      <c r="O7433">
        <v>0.24231805620617633</v>
      </c>
      <c r="P7433">
        <v>0.26664162269100294</v>
      </c>
    </row>
    <row r="7434" spans="13:16">
      <c r="M7434">
        <v>0.27826480142669485</v>
      </c>
      <c r="N7434">
        <v>0.19247699533740162</v>
      </c>
      <c r="O7434">
        <v>0.25720441798100918</v>
      </c>
      <c r="P7434">
        <v>0.27205378525489432</v>
      </c>
    </row>
    <row r="7435" spans="13:16">
      <c r="M7435">
        <v>0.26725024229705463</v>
      </c>
      <c r="N7435">
        <v>0.21324108438720354</v>
      </c>
      <c r="O7435">
        <v>0.25337240836467911</v>
      </c>
      <c r="P7435">
        <v>0.26613626495106257</v>
      </c>
    </row>
    <row r="7436" spans="13:16">
      <c r="M7436">
        <v>0.2851644345985857</v>
      </c>
      <c r="N7436">
        <v>0.18135953767397531</v>
      </c>
      <c r="O7436">
        <v>0.26620317362459162</v>
      </c>
      <c r="P7436">
        <v>0.26727285410284746</v>
      </c>
    </row>
    <row r="7437" spans="13:16">
      <c r="M7437">
        <v>0.31101057340247268</v>
      </c>
      <c r="N7437">
        <v>0.1775892589445181</v>
      </c>
      <c r="O7437">
        <v>0.25339405343770638</v>
      </c>
      <c r="P7437">
        <v>0.25800611421530284</v>
      </c>
    </row>
    <row r="7438" spans="13:16">
      <c r="M7438">
        <v>0.29072947168227542</v>
      </c>
      <c r="N7438">
        <v>0.18976928537208332</v>
      </c>
      <c r="O7438">
        <v>0.25991548884617094</v>
      </c>
      <c r="P7438">
        <v>0.25958575409947032</v>
      </c>
    </row>
    <row r="7439" spans="13:16">
      <c r="M7439">
        <v>0.3338014640020856</v>
      </c>
      <c r="N7439">
        <v>0.17581535480040139</v>
      </c>
      <c r="O7439">
        <v>0.23123119065624514</v>
      </c>
      <c r="P7439">
        <v>0.25915199054126781</v>
      </c>
    </row>
    <row r="7440" spans="13:16">
      <c r="M7440">
        <v>0.32727150320466625</v>
      </c>
      <c r="N7440">
        <v>0.18637225045756922</v>
      </c>
      <c r="O7440">
        <v>0.23476923406660968</v>
      </c>
      <c r="P7440">
        <v>0.25158701227115476</v>
      </c>
    </row>
    <row r="7441" spans="13:16">
      <c r="M7441">
        <v>0.27378453988035029</v>
      </c>
      <c r="N7441">
        <v>0.19693714189430817</v>
      </c>
      <c r="O7441">
        <v>0.25667659206878496</v>
      </c>
      <c r="P7441">
        <v>0.27260172615655659</v>
      </c>
    </row>
    <row r="7442" spans="13:16">
      <c r="M7442">
        <v>0.26597979342037725</v>
      </c>
      <c r="N7442">
        <v>0.20752063789950514</v>
      </c>
      <c r="O7442">
        <v>0.25655982622348872</v>
      </c>
      <c r="P7442">
        <v>0.26993974245662883</v>
      </c>
    </row>
    <row r="7443" spans="13:16">
      <c r="M7443">
        <v>0.31031424348827624</v>
      </c>
      <c r="N7443">
        <v>0.16427539237904543</v>
      </c>
      <c r="O7443">
        <v>0.26803652909672832</v>
      </c>
      <c r="P7443">
        <v>0.25737383503595007</v>
      </c>
    </row>
    <row r="7444" spans="13:16">
      <c r="M7444">
        <v>0.3133529564515079</v>
      </c>
      <c r="N7444">
        <v>0.18826447140299357</v>
      </c>
      <c r="O7444">
        <v>0.24193754513785665</v>
      </c>
      <c r="P7444">
        <v>0.25644502700764193</v>
      </c>
    </row>
    <row r="7445" spans="13:16">
      <c r="M7445">
        <v>0.27284559090580152</v>
      </c>
      <c r="N7445">
        <v>0.17356294570812145</v>
      </c>
      <c r="O7445">
        <v>0.27991992480079314</v>
      </c>
      <c r="P7445">
        <v>0.27367153858528376</v>
      </c>
    </row>
    <row r="7446" spans="13:16">
      <c r="M7446">
        <v>0.28969230455863709</v>
      </c>
      <c r="N7446">
        <v>0.20117072042011444</v>
      </c>
      <c r="O7446">
        <v>0.25366806348427512</v>
      </c>
      <c r="P7446">
        <v>0.25546891153697332</v>
      </c>
    </row>
    <row r="7447" spans="13:16">
      <c r="M7447">
        <v>0.26904124840833021</v>
      </c>
      <c r="N7447">
        <v>0.19409595178805947</v>
      </c>
      <c r="O7447">
        <v>0.27142202981140706</v>
      </c>
      <c r="P7447">
        <v>0.2654407699922034</v>
      </c>
    </row>
    <row r="7448" spans="13:16">
      <c r="M7448">
        <v>0.29537178032584349</v>
      </c>
      <c r="N7448">
        <v>0.17980953201946021</v>
      </c>
      <c r="O7448">
        <v>0.27197406190853957</v>
      </c>
      <c r="P7448">
        <v>0.25284462574615663</v>
      </c>
    </row>
    <row r="7449" spans="13:16">
      <c r="M7449">
        <v>0.30884953509540658</v>
      </c>
      <c r="N7449">
        <v>0.18247604200116999</v>
      </c>
      <c r="O7449">
        <v>0.22766173478517579</v>
      </c>
      <c r="P7449">
        <v>0.2810126881182477</v>
      </c>
    </row>
    <row r="7450" spans="13:16">
      <c r="M7450">
        <v>0.30347472575814749</v>
      </c>
      <c r="N7450">
        <v>0.16005684151666413</v>
      </c>
      <c r="O7450">
        <v>0.3026052163467558</v>
      </c>
      <c r="P7450">
        <v>0.23386321637843258</v>
      </c>
    </row>
    <row r="7451" spans="13:16">
      <c r="M7451">
        <v>0.29296114926019678</v>
      </c>
      <c r="N7451">
        <v>0.17790896698079361</v>
      </c>
      <c r="O7451">
        <v>0.28042750422781099</v>
      </c>
      <c r="P7451">
        <v>0.2487023795311985</v>
      </c>
    </row>
    <row r="7452" spans="13:16">
      <c r="M7452">
        <v>0.2918163992840806</v>
      </c>
      <c r="N7452">
        <v>0.18194772898462275</v>
      </c>
      <c r="O7452">
        <v>0.28326002078818452</v>
      </c>
      <c r="P7452">
        <v>0.24297585094311214</v>
      </c>
    </row>
    <row r="7453" spans="13:16">
      <c r="M7453">
        <v>0.29056544994971895</v>
      </c>
      <c r="N7453">
        <v>0.20498100098032812</v>
      </c>
      <c r="O7453">
        <v>0.25090724255745139</v>
      </c>
      <c r="P7453">
        <v>0.2535463065125016</v>
      </c>
    </row>
    <row r="7454" spans="13:16">
      <c r="M7454">
        <v>0.30493639439142045</v>
      </c>
      <c r="N7454">
        <v>0.18743399952738926</v>
      </c>
      <c r="O7454">
        <v>0.23856058318297096</v>
      </c>
      <c r="P7454">
        <v>0.26906902289821938</v>
      </c>
    </row>
    <row r="7455" spans="13:16">
      <c r="M7455">
        <v>0.28617580245552027</v>
      </c>
      <c r="N7455">
        <v>0.18505402230591203</v>
      </c>
      <c r="O7455">
        <v>0.25397915645364805</v>
      </c>
      <c r="P7455">
        <v>0.27479101878491963</v>
      </c>
    </row>
    <row r="7456" spans="13:16">
      <c r="M7456">
        <v>0.2934181969894053</v>
      </c>
      <c r="N7456">
        <v>0.18668158996274717</v>
      </c>
      <c r="O7456">
        <v>0.26433500897087514</v>
      </c>
      <c r="P7456">
        <v>0.25556520407697242</v>
      </c>
    </row>
    <row r="7457" spans="13:16">
      <c r="M7457">
        <v>0.29243823278951658</v>
      </c>
      <c r="N7457">
        <v>0.18685592943116441</v>
      </c>
      <c r="O7457">
        <v>0.27289374514914327</v>
      </c>
      <c r="P7457">
        <v>0.24781209263017565</v>
      </c>
    </row>
    <row r="7458" spans="13:16">
      <c r="M7458">
        <v>0.29961999748676726</v>
      </c>
      <c r="N7458">
        <v>0.1971022381805356</v>
      </c>
      <c r="O7458">
        <v>0.2358794407012266</v>
      </c>
      <c r="P7458">
        <v>0.26739832363147059</v>
      </c>
    </row>
    <row r="7459" spans="13:16">
      <c r="M7459">
        <v>0.30110414546139469</v>
      </c>
      <c r="N7459">
        <v>0.18825807367522324</v>
      </c>
      <c r="O7459">
        <v>0.2361252665600532</v>
      </c>
      <c r="P7459">
        <v>0.27451251430332885</v>
      </c>
    </row>
    <row r="7460" spans="13:16">
      <c r="M7460">
        <v>0.29162033032515039</v>
      </c>
      <c r="N7460">
        <v>0.17868632981656607</v>
      </c>
      <c r="O7460">
        <v>0.26069892360177038</v>
      </c>
      <c r="P7460">
        <v>0.26899441625651321</v>
      </c>
    </row>
    <row r="7461" spans="13:16">
      <c r="M7461">
        <v>0.31083430918720817</v>
      </c>
      <c r="N7461">
        <v>0.17112577461706538</v>
      </c>
      <c r="O7461">
        <v>0.26243910446790891</v>
      </c>
      <c r="P7461">
        <v>0.25560081172781757</v>
      </c>
    </row>
    <row r="7462" spans="13:16">
      <c r="M7462">
        <v>0.28135946589497873</v>
      </c>
      <c r="N7462">
        <v>0.18342172168021229</v>
      </c>
      <c r="O7462">
        <v>0.2489275762366942</v>
      </c>
      <c r="P7462">
        <v>0.28629123618811475</v>
      </c>
    </row>
    <row r="7463" spans="13:16">
      <c r="M7463">
        <v>0.27932016187555941</v>
      </c>
      <c r="N7463">
        <v>0.19793615557757169</v>
      </c>
      <c r="O7463">
        <v>0.25217642559309095</v>
      </c>
      <c r="P7463">
        <v>0.27056725695377803</v>
      </c>
    </row>
    <row r="7464" spans="13:16">
      <c r="M7464">
        <v>0.30372886069857247</v>
      </c>
      <c r="N7464">
        <v>0.2003836105908709</v>
      </c>
      <c r="O7464">
        <v>0.22402492731553009</v>
      </c>
      <c r="P7464">
        <v>0.27186260139502655</v>
      </c>
    </row>
    <row r="7465" spans="13:16">
      <c r="M7465">
        <v>0.28477691331629212</v>
      </c>
      <c r="N7465">
        <v>0.1782929588183364</v>
      </c>
      <c r="O7465">
        <v>0.28731097355498064</v>
      </c>
      <c r="P7465">
        <v>0.24961915431039089</v>
      </c>
    </row>
    <row r="7466" spans="13:16">
      <c r="M7466">
        <v>0.30515414253283796</v>
      </c>
      <c r="N7466">
        <v>0.17684309521027475</v>
      </c>
      <c r="O7466">
        <v>0.25029094005988251</v>
      </c>
      <c r="P7466">
        <v>0.26771182219700479</v>
      </c>
    </row>
    <row r="7467" spans="13:16">
      <c r="M7467">
        <v>0.26540384337300449</v>
      </c>
      <c r="N7467">
        <v>0.18585915519323579</v>
      </c>
      <c r="O7467">
        <v>0.28790569556223183</v>
      </c>
      <c r="P7467">
        <v>0.26083130587152792</v>
      </c>
    </row>
    <row r="7468" spans="13:16">
      <c r="M7468">
        <v>0.29873657932893</v>
      </c>
      <c r="N7468">
        <v>0.18954088611696232</v>
      </c>
      <c r="O7468">
        <v>0.23467739690180658</v>
      </c>
      <c r="P7468">
        <v>0.2770451376523011</v>
      </c>
    </row>
    <row r="7469" spans="13:16">
      <c r="M7469">
        <v>0.29866763165192567</v>
      </c>
      <c r="N7469">
        <v>0.18262157518227953</v>
      </c>
      <c r="O7469">
        <v>0.25346833603657615</v>
      </c>
      <c r="P7469">
        <v>0.26524245712921868</v>
      </c>
    </row>
    <row r="7470" spans="13:16">
      <c r="M7470">
        <v>0.28766117018697257</v>
      </c>
      <c r="N7470">
        <v>0.2017155624824383</v>
      </c>
      <c r="O7470">
        <v>0.25859149090977285</v>
      </c>
      <c r="P7470">
        <v>0.2520317764208162</v>
      </c>
    </row>
    <row r="7471" spans="13:16">
      <c r="M7471">
        <v>0.30939692644137151</v>
      </c>
      <c r="N7471">
        <v>0.18372818217478834</v>
      </c>
      <c r="O7471">
        <v>0.23939871943628452</v>
      </c>
      <c r="P7471">
        <v>0.26747617194755569</v>
      </c>
    </row>
    <row r="7472" spans="13:16">
      <c r="M7472">
        <v>0.32587807317531353</v>
      </c>
      <c r="N7472">
        <v>0.19190934251464728</v>
      </c>
      <c r="O7472">
        <v>0.21407629779994997</v>
      </c>
      <c r="P7472">
        <v>0.26813628651008914</v>
      </c>
    </row>
    <row r="7473" spans="13:16">
      <c r="M7473">
        <v>0.29494329677839415</v>
      </c>
      <c r="N7473">
        <v>0.18198772293122326</v>
      </c>
      <c r="O7473">
        <v>0.2472825956560521</v>
      </c>
      <c r="P7473">
        <v>0.27578638463433047</v>
      </c>
    </row>
    <row r="7474" spans="13:16">
      <c r="M7474">
        <v>0.30572055388223346</v>
      </c>
      <c r="N7474">
        <v>0.18087280153019028</v>
      </c>
      <c r="O7474">
        <v>0.24357692514962276</v>
      </c>
      <c r="P7474">
        <v>0.26982971943795342</v>
      </c>
    </row>
    <row r="7475" spans="13:16">
      <c r="M7475">
        <v>0.28091163078640674</v>
      </c>
      <c r="N7475">
        <v>0.17809514010911495</v>
      </c>
      <c r="O7475">
        <v>0.26870937430628306</v>
      </c>
      <c r="P7475">
        <v>0.27228385479819528</v>
      </c>
    </row>
    <row r="7476" spans="13:16">
      <c r="M7476">
        <v>0.27634536938560006</v>
      </c>
      <c r="N7476">
        <v>0.16984149891317057</v>
      </c>
      <c r="O7476">
        <v>0.29502452935721035</v>
      </c>
      <c r="P7476">
        <v>0.25878860234401913</v>
      </c>
    </row>
    <row r="7477" spans="13:16">
      <c r="M7477">
        <v>0.32158718931763486</v>
      </c>
      <c r="N7477">
        <v>0.17358493780667483</v>
      </c>
      <c r="O7477">
        <v>0.23894214488576521</v>
      </c>
      <c r="P7477">
        <v>0.26588572798992499</v>
      </c>
    </row>
    <row r="7478" spans="13:16">
      <c r="M7478">
        <v>0.27957208987390986</v>
      </c>
      <c r="N7478">
        <v>0.1932937234959792</v>
      </c>
      <c r="O7478">
        <v>0.2417162687618945</v>
      </c>
      <c r="P7478">
        <v>0.28541791786821646</v>
      </c>
    </row>
    <row r="7479" spans="13:16">
      <c r="M7479">
        <v>0.27115627206774895</v>
      </c>
      <c r="N7479">
        <v>0.18618296151937508</v>
      </c>
      <c r="O7479">
        <v>0.27869726343508178</v>
      </c>
      <c r="P7479">
        <v>0.26396350297779414</v>
      </c>
    </row>
    <row r="7480" spans="13:16">
      <c r="M7480">
        <v>0.29368252902951947</v>
      </c>
      <c r="N7480">
        <v>0.18752683843786114</v>
      </c>
      <c r="O7480">
        <v>0.23921012182913273</v>
      </c>
      <c r="P7480">
        <v>0.27958051070348672</v>
      </c>
    </row>
    <row r="7481" spans="13:16">
      <c r="M7481">
        <v>0.28216146904874734</v>
      </c>
      <c r="N7481">
        <v>0.19528682254114602</v>
      </c>
      <c r="O7481">
        <v>0.26372177172651196</v>
      </c>
      <c r="P7481">
        <v>0.25882993668359472</v>
      </c>
    </row>
    <row r="7482" spans="13:16">
      <c r="M7482">
        <v>0.29179344636439525</v>
      </c>
      <c r="N7482">
        <v>0.20233913490138217</v>
      </c>
      <c r="O7482">
        <v>0.23703159151305797</v>
      </c>
      <c r="P7482">
        <v>0.26883582722116472</v>
      </c>
    </row>
    <row r="7483" spans="13:16">
      <c r="M7483">
        <v>0.30317886464994231</v>
      </c>
      <c r="N7483">
        <v>0.17868907733266387</v>
      </c>
      <c r="O7483">
        <v>0.26771488808495353</v>
      </c>
      <c r="P7483">
        <v>0.25041716993244029</v>
      </c>
    </row>
    <row r="7484" spans="13:16">
      <c r="M7484">
        <v>0.30396951306936798</v>
      </c>
      <c r="N7484">
        <v>0.17957898195571809</v>
      </c>
      <c r="O7484">
        <v>0.25237009681437972</v>
      </c>
      <c r="P7484">
        <v>0.26408140816053416</v>
      </c>
    </row>
    <row r="7485" spans="13:16">
      <c r="M7485">
        <v>0.31565265959604755</v>
      </c>
      <c r="N7485">
        <v>0.17334142198884447</v>
      </c>
      <c r="O7485">
        <v>0.26467071523898344</v>
      </c>
      <c r="P7485">
        <v>0.24633520317612456</v>
      </c>
    </row>
    <row r="7486" spans="13:16">
      <c r="M7486">
        <v>0.31532324712345378</v>
      </c>
      <c r="N7486">
        <v>0.17699869857318173</v>
      </c>
      <c r="O7486">
        <v>0.25627770546024042</v>
      </c>
      <c r="P7486">
        <v>0.25140034884312412</v>
      </c>
    </row>
    <row r="7487" spans="13:16">
      <c r="M7487">
        <v>0.28804962586834565</v>
      </c>
      <c r="N7487">
        <v>0.1815459731514171</v>
      </c>
      <c r="O7487">
        <v>0.27446737500892771</v>
      </c>
      <c r="P7487">
        <v>0.25593702597130952</v>
      </c>
    </row>
    <row r="7488" spans="13:16">
      <c r="M7488">
        <v>0.2799136949444464</v>
      </c>
      <c r="N7488">
        <v>0.17931304561028616</v>
      </c>
      <c r="O7488">
        <v>0.28057057291449605</v>
      </c>
      <c r="P7488">
        <v>0.26020268653077144</v>
      </c>
    </row>
    <row r="7489" spans="13:16">
      <c r="M7489">
        <v>0.30981379169220896</v>
      </c>
      <c r="N7489">
        <v>0.1850444259033372</v>
      </c>
      <c r="O7489">
        <v>0.23961903260746831</v>
      </c>
      <c r="P7489">
        <v>0.26552274979698554</v>
      </c>
    </row>
    <row r="7490" spans="13:16">
      <c r="M7490">
        <v>0.31541523174405695</v>
      </c>
      <c r="N7490">
        <v>0.18367173673384449</v>
      </c>
      <c r="O7490">
        <v>0.24301131799107134</v>
      </c>
      <c r="P7490">
        <v>0.2579017135310272</v>
      </c>
    </row>
    <row r="7491" spans="13:16">
      <c r="M7491">
        <v>0.31196670044248465</v>
      </c>
      <c r="N7491">
        <v>0.19218605479244072</v>
      </c>
      <c r="O7491">
        <v>0.21902087929018788</v>
      </c>
      <c r="P7491">
        <v>0.27682636547488665</v>
      </c>
    </row>
    <row r="7492" spans="13:16">
      <c r="M7492">
        <v>0.28566774853401189</v>
      </c>
      <c r="N7492">
        <v>0.17934068463230476</v>
      </c>
      <c r="O7492">
        <v>0.28228883514810416</v>
      </c>
      <c r="P7492">
        <v>0.25270273168557911</v>
      </c>
    </row>
    <row r="7493" spans="13:16">
      <c r="M7493">
        <v>0.27489224537055895</v>
      </c>
      <c r="N7493">
        <v>0.19271840710813185</v>
      </c>
      <c r="O7493">
        <v>0.26523980351070064</v>
      </c>
      <c r="P7493">
        <v>0.26714954401060853</v>
      </c>
    </row>
    <row r="7494" spans="13:16">
      <c r="M7494">
        <v>0.30785963358945723</v>
      </c>
      <c r="N7494">
        <v>0.19440236879032857</v>
      </c>
      <c r="O7494">
        <v>0.24616460335825052</v>
      </c>
      <c r="P7494">
        <v>0.25157339426196368</v>
      </c>
    </row>
    <row r="7495" spans="13:16">
      <c r="M7495">
        <v>0.28676417939234355</v>
      </c>
      <c r="N7495">
        <v>0.19668851127201795</v>
      </c>
      <c r="O7495">
        <v>0.24345150910735824</v>
      </c>
      <c r="P7495">
        <v>0.27309580022828023</v>
      </c>
    </row>
    <row r="7496" spans="13:16">
      <c r="M7496">
        <v>0.30280939063995727</v>
      </c>
      <c r="N7496">
        <v>0.17974844943891791</v>
      </c>
      <c r="O7496">
        <v>0.26491817687692615</v>
      </c>
      <c r="P7496">
        <v>0.2525239830441986</v>
      </c>
    </row>
    <row r="7497" spans="13:16">
      <c r="M7497">
        <v>0.31065568769427276</v>
      </c>
      <c r="N7497">
        <v>0.17622257221532991</v>
      </c>
      <c r="O7497">
        <v>0.24127307188749894</v>
      </c>
      <c r="P7497">
        <v>0.27184866820289832</v>
      </c>
    </row>
    <row r="7498" spans="13:16">
      <c r="M7498">
        <v>0.29016208971560159</v>
      </c>
      <c r="N7498">
        <v>0.19234396744418925</v>
      </c>
      <c r="O7498">
        <v>0.23172913455486263</v>
      </c>
      <c r="P7498">
        <v>0.28576480828534651</v>
      </c>
    </row>
    <row r="7499" spans="13:16">
      <c r="M7499">
        <v>0.29783577255185345</v>
      </c>
      <c r="N7499">
        <v>0.18533512825878082</v>
      </c>
      <c r="O7499">
        <v>0.25782427731535906</v>
      </c>
      <c r="P7499">
        <v>0.25900482187400659</v>
      </c>
    </row>
    <row r="7500" spans="13:16">
      <c r="M7500">
        <v>0.27421152870058052</v>
      </c>
      <c r="N7500">
        <v>0.19672785782054752</v>
      </c>
      <c r="O7500">
        <v>0.25377782873137822</v>
      </c>
      <c r="P7500">
        <v>0.27528278474749368</v>
      </c>
    </row>
    <row r="7501" spans="13:16">
      <c r="M7501">
        <v>0.28366510951418195</v>
      </c>
      <c r="N7501">
        <v>0.20117954757742121</v>
      </c>
      <c r="O7501">
        <v>0.26096723380589754</v>
      </c>
      <c r="P7501">
        <v>0.25418810910249934</v>
      </c>
    </row>
    <row r="7502" spans="13:16">
      <c r="M7502">
        <v>0.281071261763151</v>
      </c>
      <c r="N7502">
        <v>0.2098845545280876</v>
      </c>
      <c r="O7502">
        <v>0.23495336284627188</v>
      </c>
      <c r="P7502">
        <v>0.27409082086248937</v>
      </c>
    </row>
    <row r="7503" spans="13:16">
      <c r="M7503">
        <v>0.29535468929503134</v>
      </c>
      <c r="N7503">
        <v>0.17659206040113837</v>
      </c>
      <c r="O7503">
        <v>0.27391216339125823</v>
      </c>
      <c r="P7503">
        <v>0.25414108691257209</v>
      </c>
    </row>
    <row r="7504" spans="13:16">
      <c r="M7504">
        <v>0.27956478129432638</v>
      </c>
      <c r="N7504">
        <v>0.18879084407714669</v>
      </c>
      <c r="O7504">
        <v>0.27452007553110086</v>
      </c>
      <c r="P7504">
        <v>0.25712429909742612</v>
      </c>
    </row>
    <row r="7505" spans="13:16">
      <c r="M7505">
        <v>0.31778953226193957</v>
      </c>
      <c r="N7505">
        <v>0.17408073903333948</v>
      </c>
      <c r="O7505">
        <v>0.25695394289307005</v>
      </c>
      <c r="P7505">
        <v>0.2511757858116509</v>
      </c>
    </row>
    <row r="7506" spans="13:16">
      <c r="M7506">
        <v>0.2740856520708102</v>
      </c>
      <c r="N7506">
        <v>0.19582271356206662</v>
      </c>
      <c r="O7506">
        <v>0.25253368693495987</v>
      </c>
      <c r="P7506">
        <v>0.27755794743216328</v>
      </c>
    </row>
    <row r="7507" spans="13:16">
      <c r="M7507">
        <v>0.29083823169913237</v>
      </c>
      <c r="N7507">
        <v>0.20649786184245453</v>
      </c>
      <c r="O7507">
        <v>0.24189504055867808</v>
      </c>
      <c r="P7507">
        <v>0.26076886589973503</v>
      </c>
    </row>
    <row r="7508" spans="13:16">
      <c r="M7508">
        <v>0.28296255646660656</v>
      </c>
      <c r="N7508">
        <v>0.17862795021139738</v>
      </c>
      <c r="O7508">
        <v>0.28356436648622907</v>
      </c>
      <c r="P7508">
        <v>0.25484512683576704</v>
      </c>
    </row>
    <row r="7509" spans="13:16">
      <c r="M7509">
        <v>0.28567665742085835</v>
      </c>
      <c r="N7509">
        <v>0.19228182484042594</v>
      </c>
      <c r="O7509">
        <v>0.25828654207410473</v>
      </c>
      <c r="P7509">
        <v>0.26375497566461098</v>
      </c>
    </row>
    <row r="7510" spans="13:16">
      <c r="M7510">
        <v>0.28019081491568382</v>
      </c>
      <c r="N7510">
        <v>0.18626090429650005</v>
      </c>
      <c r="O7510">
        <v>0.25320263660039571</v>
      </c>
      <c r="P7510">
        <v>0.28034564418742053</v>
      </c>
    </row>
    <row r="7511" spans="13:16">
      <c r="M7511">
        <v>0.31049238065189466</v>
      </c>
      <c r="N7511">
        <v>0.19622846377624231</v>
      </c>
      <c r="O7511">
        <v>0.22242602994767965</v>
      </c>
      <c r="P7511">
        <v>0.2708531256241834</v>
      </c>
    </row>
    <row r="7512" spans="13:16">
      <c r="M7512">
        <v>0.27805519297476561</v>
      </c>
      <c r="N7512">
        <v>0.19048319405662303</v>
      </c>
      <c r="O7512">
        <v>0.27662467288038101</v>
      </c>
      <c r="P7512">
        <v>0.25483694008823027</v>
      </c>
    </row>
    <row r="7513" spans="13:16">
      <c r="M7513">
        <v>0.25896527434191746</v>
      </c>
      <c r="N7513">
        <v>0.19629539272066832</v>
      </c>
      <c r="O7513">
        <v>0.27440048402008343</v>
      </c>
      <c r="P7513">
        <v>0.27033884891733073</v>
      </c>
    </row>
    <row r="7514" spans="13:16">
      <c r="M7514">
        <v>0.28154643719194944</v>
      </c>
      <c r="N7514">
        <v>0.18687464525910277</v>
      </c>
      <c r="O7514">
        <v>0.26481126433474023</v>
      </c>
      <c r="P7514">
        <v>0.26676765321420759</v>
      </c>
    </row>
    <row r="7515" spans="13:16">
      <c r="M7515">
        <v>0.29909083185328489</v>
      </c>
      <c r="N7515">
        <v>0.18159221148916063</v>
      </c>
      <c r="O7515">
        <v>0.26125481565342834</v>
      </c>
      <c r="P7515">
        <v>0.25806214100412611</v>
      </c>
    </row>
    <row r="7516" spans="13:16">
      <c r="M7516">
        <v>0.29131409774570227</v>
      </c>
      <c r="N7516">
        <v>0.19682063279864959</v>
      </c>
      <c r="O7516">
        <v>0.22832890694638419</v>
      </c>
      <c r="P7516">
        <v>0.28353636250926406</v>
      </c>
    </row>
    <row r="7517" spans="13:16">
      <c r="M7517">
        <v>0.28730414510698182</v>
      </c>
      <c r="N7517">
        <v>0.18233838044252257</v>
      </c>
      <c r="O7517">
        <v>0.26626350491971468</v>
      </c>
      <c r="P7517">
        <v>0.26409396953078085</v>
      </c>
    </row>
    <row r="7518" spans="13:16">
      <c r="M7518">
        <v>0.28669566833475774</v>
      </c>
      <c r="N7518">
        <v>0.18599321124775514</v>
      </c>
      <c r="O7518">
        <v>0.26310695465666184</v>
      </c>
      <c r="P7518">
        <v>0.26420416576082528</v>
      </c>
    </row>
    <row r="7519" spans="13:16">
      <c r="M7519">
        <v>0.29626571147406217</v>
      </c>
      <c r="N7519">
        <v>0.18704925189499591</v>
      </c>
      <c r="O7519">
        <v>0.25664123063661048</v>
      </c>
      <c r="P7519">
        <v>0.26004380599433147</v>
      </c>
    </row>
    <row r="7520" spans="13:16">
      <c r="M7520">
        <v>0.29790495798099642</v>
      </c>
      <c r="N7520">
        <v>0.17159603203634255</v>
      </c>
      <c r="O7520">
        <v>0.28065913395572029</v>
      </c>
      <c r="P7520">
        <v>0.24983987602694069</v>
      </c>
    </row>
    <row r="7521" spans="13:16">
      <c r="M7521">
        <v>0.26494074797992856</v>
      </c>
      <c r="N7521">
        <v>0.19745785916449929</v>
      </c>
      <c r="O7521">
        <v>0.28144824944109292</v>
      </c>
      <c r="P7521">
        <v>0.2561531434144792</v>
      </c>
    </row>
    <row r="7522" spans="13:16">
      <c r="M7522">
        <v>0.32632368572533166</v>
      </c>
      <c r="N7522">
        <v>0.18122748977576428</v>
      </c>
      <c r="O7522">
        <v>0.24349433402492701</v>
      </c>
      <c r="P7522">
        <v>0.24895449047397708</v>
      </c>
    </row>
    <row r="7523" spans="13:16">
      <c r="M7523">
        <v>0.28385927970436986</v>
      </c>
      <c r="N7523">
        <v>0.19055164107666189</v>
      </c>
      <c r="O7523">
        <v>0.2507023110461124</v>
      </c>
      <c r="P7523">
        <v>0.27488676817285596</v>
      </c>
    </row>
    <row r="7524" spans="13:16">
      <c r="M7524">
        <v>0.28797484028630937</v>
      </c>
      <c r="N7524">
        <v>0.20110197202379115</v>
      </c>
      <c r="O7524">
        <v>0.22023827839139895</v>
      </c>
      <c r="P7524">
        <v>0.2906849092985006</v>
      </c>
    </row>
    <row r="7525" spans="13:16">
      <c r="M7525">
        <v>0.29151786950147607</v>
      </c>
      <c r="N7525">
        <v>0.17951530720861042</v>
      </c>
      <c r="O7525">
        <v>0.26929609438195162</v>
      </c>
      <c r="P7525">
        <v>0.25967072890796189</v>
      </c>
    </row>
    <row r="7526" spans="13:16">
      <c r="M7526">
        <v>0.2833615418956818</v>
      </c>
      <c r="N7526">
        <v>0.19433389378863578</v>
      </c>
      <c r="O7526">
        <v>0.23306176491348696</v>
      </c>
      <c r="P7526">
        <v>0.28924279940219555</v>
      </c>
    </row>
    <row r="7527" spans="13:16">
      <c r="M7527">
        <v>0.29505105503932355</v>
      </c>
      <c r="N7527">
        <v>0.19866225608689952</v>
      </c>
      <c r="O7527">
        <v>0.23914895197092448</v>
      </c>
      <c r="P7527">
        <v>0.26713773690285247</v>
      </c>
    </row>
    <row r="7528" spans="13:16">
      <c r="M7528">
        <v>0.29943336653875924</v>
      </c>
      <c r="N7528">
        <v>0.17845035152860508</v>
      </c>
      <c r="O7528">
        <v>0.28087338341221374</v>
      </c>
      <c r="P7528">
        <v>0.24124289852042186</v>
      </c>
    </row>
    <row r="7529" spans="13:16">
      <c r="M7529">
        <v>0.29416978007540695</v>
      </c>
      <c r="N7529">
        <v>0.20241904387719711</v>
      </c>
      <c r="O7529">
        <v>0.23183795746266633</v>
      </c>
      <c r="P7529">
        <v>0.27157321858472955</v>
      </c>
    </row>
    <row r="7530" spans="13:16">
      <c r="M7530">
        <v>0.28630831552517688</v>
      </c>
      <c r="N7530">
        <v>0.183730408904065</v>
      </c>
      <c r="O7530">
        <v>0.27913386286803216</v>
      </c>
      <c r="P7530">
        <v>0.25082741270272585</v>
      </c>
    </row>
    <row r="7531" spans="13:16">
      <c r="M7531">
        <v>0.29037671182262431</v>
      </c>
      <c r="N7531">
        <v>0.17960751356079913</v>
      </c>
      <c r="O7531">
        <v>0.28602719787101588</v>
      </c>
      <c r="P7531">
        <v>0.24398857674556074</v>
      </c>
    </row>
    <row r="7532" spans="13:16">
      <c r="M7532">
        <v>0.29743259074120337</v>
      </c>
      <c r="N7532">
        <v>0.16162600129817742</v>
      </c>
      <c r="O7532">
        <v>0.29889219662197553</v>
      </c>
      <c r="P7532">
        <v>0.24204921133864368</v>
      </c>
    </row>
    <row r="7533" spans="13:16">
      <c r="M7533">
        <v>0.28728664115053304</v>
      </c>
      <c r="N7533">
        <v>0.19819889242948666</v>
      </c>
      <c r="O7533">
        <v>0.26180282035119451</v>
      </c>
      <c r="P7533">
        <v>0.25271164606878599</v>
      </c>
    </row>
    <row r="7534" spans="13:16">
      <c r="M7534">
        <v>0.30113779901163867</v>
      </c>
      <c r="N7534">
        <v>0.17241819277152259</v>
      </c>
      <c r="O7534">
        <v>0.2929744595082876</v>
      </c>
      <c r="P7534">
        <v>0.23346954870855124</v>
      </c>
    </row>
    <row r="7535" spans="13:16">
      <c r="M7535">
        <v>0.26928237522089116</v>
      </c>
      <c r="N7535">
        <v>0.17631342496570576</v>
      </c>
      <c r="O7535">
        <v>0.2768836912737051</v>
      </c>
      <c r="P7535">
        <v>0.2775205085396979</v>
      </c>
    </row>
    <row r="7536" spans="13:16">
      <c r="M7536">
        <v>0.28755555794697607</v>
      </c>
      <c r="N7536">
        <v>0.1813873779748075</v>
      </c>
      <c r="O7536">
        <v>0.26680820666829191</v>
      </c>
      <c r="P7536">
        <v>0.26424885740992454</v>
      </c>
    </row>
    <row r="7537" spans="13:16">
      <c r="M7537">
        <v>0.2996270064921347</v>
      </c>
      <c r="N7537">
        <v>0.19770065026605921</v>
      </c>
      <c r="O7537">
        <v>0.2271428146969626</v>
      </c>
      <c r="P7537">
        <v>0.27552952854484358</v>
      </c>
    </row>
    <row r="7538" spans="13:16">
      <c r="M7538">
        <v>0.28428595965598169</v>
      </c>
      <c r="N7538">
        <v>0.19214225143124139</v>
      </c>
      <c r="O7538">
        <v>0.24703187312539357</v>
      </c>
      <c r="P7538">
        <v>0.27653991578738341</v>
      </c>
    </row>
    <row r="7539" spans="13:16">
      <c r="M7539">
        <v>0.29520076914369975</v>
      </c>
      <c r="N7539">
        <v>0.19441263184364121</v>
      </c>
      <c r="O7539">
        <v>0.25921076727297515</v>
      </c>
      <c r="P7539">
        <v>0.25117583173968394</v>
      </c>
    </row>
    <row r="7540" spans="13:16">
      <c r="M7540">
        <v>0.29600090120851436</v>
      </c>
      <c r="N7540">
        <v>0.18547282892699846</v>
      </c>
      <c r="O7540">
        <v>0.26229323742520222</v>
      </c>
      <c r="P7540">
        <v>0.25623303243928497</v>
      </c>
    </row>
    <row r="7541" spans="13:16">
      <c r="M7541">
        <v>0.26148784976158523</v>
      </c>
      <c r="N7541">
        <v>0.18600345556205544</v>
      </c>
      <c r="O7541">
        <v>0.2922216050768372</v>
      </c>
      <c r="P7541">
        <v>0.26028708959952213</v>
      </c>
    </row>
    <row r="7542" spans="13:16">
      <c r="M7542">
        <v>0.2862385857291882</v>
      </c>
      <c r="N7542">
        <v>0.18065128340554082</v>
      </c>
      <c r="O7542">
        <v>0.25285658782117437</v>
      </c>
      <c r="P7542">
        <v>0.28025354304409666</v>
      </c>
    </row>
    <row r="7543" spans="13:16">
      <c r="M7543">
        <v>0.31830361706859811</v>
      </c>
      <c r="N7543">
        <v>0.18716915759231248</v>
      </c>
      <c r="O7543">
        <v>0.22224124839832243</v>
      </c>
      <c r="P7543">
        <v>0.27228597694076706</v>
      </c>
    </row>
    <row r="7544" spans="13:16">
      <c r="M7544">
        <v>0.32335597592370452</v>
      </c>
      <c r="N7544">
        <v>0.18101088104052643</v>
      </c>
      <c r="O7544">
        <v>0.24049192666178945</v>
      </c>
      <c r="P7544">
        <v>0.25514121637397968</v>
      </c>
    </row>
    <row r="7545" spans="13:16">
      <c r="M7545">
        <v>0.29471928259300323</v>
      </c>
      <c r="N7545">
        <v>0.19830519507353372</v>
      </c>
      <c r="O7545">
        <v>0.22968749247080061</v>
      </c>
      <c r="P7545">
        <v>0.27728802986266232</v>
      </c>
    </row>
    <row r="7546" spans="13:16">
      <c r="M7546">
        <v>0.28880840107526368</v>
      </c>
      <c r="N7546">
        <v>0.19841191921997203</v>
      </c>
      <c r="O7546">
        <v>0.24025649134586685</v>
      </c>
      <c r="P7546">
        <v>0.27252318835889749</v>
      </c>
    </row>
    <row r="7547" spans="13:16">
      <c r="M7547">
        <v>0.28027521911531739</v>
      </c>
      <c r="N7547">
        <v>0.17964721921301474</v>
      </c>
      <c r="O7547">
        <v>0.27770130471491766</v>
      </c>
      <c r="P7547">
        <v>0.26237625695675015</v>
      </c>
    </row>
    <row r="7548" spans="13:16">
      <c r="M7548">
        <v>0.29883031781432001</v>
      </c>
      <c r="N7548">
        <v>0.20300779775169189</v>
      </c>
      <c r="O7548">
        <v>0.23267387860926728</v>
      </c>
      <c r="P7548">
        <v>0.26548800582472087</v>
      </c>
    </row>
    <row r="7549" spans="13:16">
      <c r="M7549">
        <v>0.32147217873042516</v>
      </c>
      <c r="N7549">
        <v>0.17101067457146554</v>
      </c>
      <c r="O7549">
        <v>0.24510296049321373</v>
      </c>
      <c r="P7549">
        <v>0.26241418620489554</v>
      </c>
    </row>
    <row r="7550" spans="13:16">
      <c r="M7550">
        <v>0.30792975940040945</v>
      </c>
      <c r="N7550">
        <v>0.17308697717309846</v>
      </c>
      <c r="O7550">
        <v>0.26749068475457222</v>
      </c>
      <c r="P7550">
        <v>0.25149257867191988</v>
      </c>
    </row>
    <row r="7551" spans="13:16">
      <c r="M7551">
        <v>0.25847455254339496</v>
      </c>
      <c r="N7551">
        <v>0.18617915806704369</v>
      </c>
      <c r="O7551">
        <v>0.27578315028915334</v>
      </c>
      <c r="P7551">
        <v>0.27956313910040809</v>
      </c>
    </row>
    <row r="7552" spans="13:16">
      <c r="M7552">
        <v>0.30544162009589104</v>
      </c>
      <c r="N7552">
        <v>0.20117632842996977</v>
      </c>
      <c r="O7552">
        <v>0.2364818614158955</v>
      </c>
      <c r="P7552">
        <v>0.2569001900582436</v>
      </c>
    </row>
    <row r="7553" spans="13:16">
      <c r="M7553">
        <v>0.28354543286750644</v>
      </c>
      <c r="N7553">
        <v>0.18186438717514664</v>
      </c>
      <c r="O7553">
        <v>0.26097369489035255</v>
      </c>
      <c r="P7553">
        <v>0.27361648506699437</v>
      </c>
    </row>
    <row r="7554" spans="13:16">
      <c r="M7554">
        <v>0.29740239854828643</v>
      </c>
      <c r="N7554">
        <v>0.1855947913255907</v>
      </c>
      <c r="O7554">
        <v>0.25232979002893724</v>
      </c>
      <c r="P7554">
        <v>0.26467302009718552</v>
      </c>
    </row>
    <row r="7555" spans="13:16">
      <c r="M7555">
        <v>0.30458469684565587</v>
      </c>
      <c r="N7555">
        <v>0.17369024401819169</v>
      </c>
      <c r="O7555">
        <v>0.25702664839132849</v>
      </c>
      <c r="P7555">
        <v>0.26469841074482392</v>
      </c>
    </row>
    <row r="7556" spans="13:16">
      <c r="M7556">
        <v>0.27082630085903092</v>
      </c>
      <c r="N7556">
        <v>0.20582790661491368</v>
      </c>
      <c r="O7556">
        <v>0.24250646974246615</v>
      </c>
      <c r="P7556">
        <v>0.28083932278358925</v>
      </c>
    </row>
    <row r="7557" spans="13:16">
      <c r="M7557">
        <v>0.27978789420055378</v>
      </c>
      <c r="N7557">
        <v>0.18345035260758435</v>
      </c>
      <c r="O7557">
        <v>0.2749937876796042</v>
      </c>
      <c r="P7557">
        <v>0.26176796551225767</v>
      </c>
    </row>
    <row r="7558" spans="13:16">
      <c r="M7558">
        <v>0.26598053023920409</v>
      </c>
      <c r="N7558">
        <v>0.17402206486806804</v>
      </c>
      <c r="O7558">
        <v>0.30001553988951707</v>
      </c>
      <c r="P7558">
        <v>0.25998186500321097</v>
      </c>
    </row>
    <row r="7559" spans="13:16">
      <c r="M7559">
        <v>0.31901687299408082</v>
      </c>
      <c r="N7559">
        <v>0.18144434676598198</v>
      </c>
      <c r="O7559">
        <v>0.22617286662467653</v>
      </c>
      <c r="P7559">
        <v>0.2733659136152608</v>
      </c>
    </row>
    <row r="7560" spans="13:16">
      <c r="M7560">
        <v>0.32836918081077154</v>
      </c>
      <c r="N7560">
        <v>0.17525506645753453</v>
      </c>
      <c r="O7560">
        <v>0.21901498913358602</v>
      </c>
      <c r="P7560">
        <v>0.2773607635981078</v>
      </c>
    </row>
    <row r="7561" spans="13:16">
      <c r="M7561">
        <v>0.29990285278165413</v>
      </c>
      <c r="N7561">
        <v>0.16794253968866685</v>
      </c>
      <c r="O7561">
        <v>0.28106381921078705</v>
      </c>
      <c r="P7561">
        <v>0.25109078831889192</v>
      </c>
    </row>
    <row r="7562" spans="13:16">
      <c r="M7562">
        <v>0.30291772009867335</v>
      </c>
      <c r="N7562">
        <v>0.18436843137918843</v>
      </c>
      <c r="O7562">
        <v>0.25848095550465772</v>
      </c>
      <c r="P7562">
        <v>0.25423289301748053</v>
      </c>
    </row>
    <row r="7563" spans="13:16">
      <c r="M7563">
        <v>0.32135331550839269</v>
      </c>
      <c r="N7563">
        <v>0.16594067737464896</v>
      </c>
      <c r="O7563">
        <v>0.25095473789425587</v>
      </c>
      <c r="P7563">
        <v>0.26175126922270231</v>
      </c>
    </row>
    <row r="7564" spans="13:16">
      <c r="M7564">
        <v>0.30671296451566599</v>
      </c>
      <c r="N7564">
        <v>0.17038004894168204</v>
      </c>
      <c r="O7564">
        <v>0.27154948434363774</v>
      </c>
      <c r="P7564">
        <v>0.25135750219901409</v>
      </c>
    </row>
    <row r="7565" spans="13:16">
      <c r="M7565">
        <v>0.2805472345840212</v>
      </c>
      <c r="N7565">
        <v>0.19632425721424676</v>
      </c>
      <c r="O7565">
        <v>0.25618101729508508</v>
      </c>
      <c r="P7565">
        <v>0.26694749090664693</v>
      </c>
    </row>
    <row r="7566" spans="13:16">
      <c r="M7566">
        <v>0.28613465525402071</v>
      </c>
      <c r="N7566">
        <v>0.1882852504511319</v>
      </c>
      <c r="O7566">
        <v>0.27195288092901226</v>
      </c>
      <c r="P7566">
        <v>0.2536272133658351</v>
      </c>
    </row>
    <row r="7567" spans="13:16">
      <c r="M7567">
        <v>0.28869152980584484</v>
      </c>
      <c r="N7567">
        <v>0.18613293372505441</v>
      </c>
      <c r="O7567">
        <v>0.24814224279269007</v>
      </c>
      <c r="P7567">
        <v>0.27703329367641066</v>
      </c>
    </row>
    <row r="7568" spans="13:16">
      <c r="M7568">
        <v>0.29447454627282493</v>
      </c>
      <c r="N7568">
        <v>0.1754451788709695</v>
      </c>
      <c r="O7568">
        <v>0.26326708244383168</v>
      </c>
      <c r="P7568">
        <v>0.26681319241237383</v>
      </c>
    </row>
    <row r="7569" spans="13:16">
      <c r="M7569">
        <v>0.31021642648255016</v>
      </c>
      <c r="N7569">
        <v>0.18248923204047116</v>
      </c>
      <c r="O7569">
        <v>0.25093898201310832</v>
      </c>
      <c r="P7569">
        <v>0.25635535946387039</v>
      </c>
    </row>
    <row r="7570" spans="13:16">
      <c r="M7570">
        <v>0.26543958226417996</v>
      </c>
      <c r="N7570">
        <v>0.20898720195839321</v>
      </c>
      <c r="O7570">
        <v>0.26162019951152238</v>
      </c>
      <c r="P7570">
        <v>0.26395301626590456</v>
      </c>
    </row>
    <row r="7571" spans="13:16">
      <c r="M7571">
        <v>0.30796466466668732</v>
      </c>
      <c r="N7571">
        <v>0.19003856839677755</v>
      </c>
      <c r="O7571">
        <v>0.23693253316662666</v>
      </c>
      <c r="P7571">
        <v>0.26506423376990834</v>
      </c>
    </row>
    <row r="7572" spans="13:16">
      <c r="M7572">
        <v>0.31734667284912732</v>
      </c>
      <c r="N7572">
        <v>0.18542252329570139</v>
      </c>
      <c r="O7572">
        <v>0.22370195016218097</v>
      </c>
      <c r="P7572">
        <v>0.27352885369299029</v>
      </c>
    </row>
    <row r="7573" spans="13:16">
      <c r="M7573">
        <v>0.29291151914777303</v>
      </c>
      <c r="N7573">
        <v>0.17841019079199297</v>
      </c>
      <c r="O7573">
        <v>0.26342325604057115</v>
      </c>
      <c r="P7573">
        <v>0.26525503401966288</v>
      </c>
    </row>
    <row r="7574" spans="13:16">
      <c r="M7574">
        <v>0.32893052188602345</v>
      </c>
      <c r="N7574">
        <v>0.17127522656810629</v>
      </c>
      <c r="O7574">
        <v>0.23188665853553073</v>
      </c>
      <c r="P7574">
        <v>0.26790759301033962</v>
      </c>
    </row>
    <row r="7575" spans="13:16">
      <c r="M7575">
        <v>0.32147258485577462</v>
      </c>
      <c r="N7575">
        <v>0.18431247738534956</v>
      </c>
      <c r="O7575">
        <v>0.21594131661221302</v>
      </c>
      <c r="P7575">
        <v>0.27827362114666282</v>
      </c>
    </row>
    <row r="7576" spans="13:16">
      <c r="M7576">
        <v>0.28465697064634193</v>
      </c>
      <c r="N7576">
        <v>0.2032765000431738</v>
      </c>
      <c r="O7576">
        <v>0.24379369765281259</v>
      </c>
      <c r="P7576">
        <v>0.26827283165767168</v>
      </c>
    </row>
    <row r="7577" spans="13:16">
      <c r="M7577">
        <v>0.30373638897749444</v>
      </c>
      <c r="N7577">
        <v>0.17385433992748822</v>
      </c>
      <c r="O7577">
        <v>0.26984111184862886</v>
      </c>
      <c r="P7577">
        <v>0.25256815924638859</v>
      </c>
    </row>
    <row r="7578" spans="13:16">
      <c r="M7578">
        <v>0.27588630698350441</v>
      </c>
      <c r="N7578">
        <v>0.20179248115825152</v>
      </c>
      <c r="O7578">
        <v>0.27149059665332681</v>
      </c>
      <c r="P7578">
        <v>0.25083061520491728</v>
      </c>
    </row>
    <row r="7579" spans="13:16">
      <c r="M7579">
        <v>0.30299886334710874</v>
      </c>
      <c r="N7579">
        <v>0.17524484819934222</v>
      </c>
      <c r="O7579">
        <v>0.27461445228438103</v>
      </c>
      <c r="P7579">
        <v>0.24714183616916802</v>
      </c>
    </row>
    <row r="7580" spans="13:16">
      <c r="M7580">
        <v>0.28793501978701336</v>
      </c>
      <c r="N7580">
        <v>0.20322003057593083</v>
      </c>
      <c r="O7580">
        <v>0.24515800050158673</v>
      </c>
      <c r="P7580">
        <v>0.2636869491354692</v>
      </c>
    </row>
    <row r="7581" spans="13:16">
      <c r="M7581">
        <v>0.2938508536733454</v>
      </c>
      <c r="N7581">
        <v>0.20401841476366325</v>
      </c>
      <c r="O7581">
        <v>0.23466889739336899</v>
      </c>
      <c r="P7581">
        <v>0.26746183416962238</v>
      </c>
    </row>
    <row r="7582" spans="13:16">
      <c r="M7582">
        <v>0.26809821541818507</v>
      </c>
      <c r="N7582">
        <v>0.20284892355768994</v>
      </c>
      <c r="O7582">
        <v>0.25030613755926956</v>
      </c>
      <c r="P7582">
        <v>0.27874672346485546</v>
      </c>
    </row>
    <row r="7583" spans="13:16">
      <c r="M7583">
        <v>0.28377902292203511</v>
      </c>
      <c r="N7583">
        <v>0.18120850362962157</v>
      </c>
      <c r="O7583">
        <v>0.25499924710195665</v>
      </c>
      <c r="P7583">
        <v>0.28001322634638659</v>
      </c>
    </row>
    <row r="7584" spans="13:16">
      <c r="M7584">
        <v>0.29046176054659689</v>
      </c>
      <c r="N7584">
        <v>0.19428590981915395</v>
      </c>
      <c r="O7584">
        <v>0.24215963591512707</v>
      </c>
      <c r="P7584">
        <v>0.27309269371912215</v>
      </c>
    </row>
    <row r="7585" spans="13:16">
      <c r="M7585">
        <v>0.30864114294667783</v>
      </c>
      <c r="N7585">
        <v>0.16399715185157121</v>
      </c>
      <c r="O7585">
        <v>0.2687898016238694</v>
      </c>
      <c r="P7585">
        <v>0.25857190357788157</v>
      </c>
    </row>
    <row r="7586" spans="13:16">
      <c r="M7586">
        <v>0.29790817233634664</v>
      </c>
      <c r="N7586">
        <v>0.19266926712892207</v>
      </c>
      <c r="O7586">
        <v>0.24902929355081804</v>
      </c>
      <c r="P7586">
        <v>0.26039326698391335</v>
      </c>
    </row>
    <row r="7587" spans="13:16">
      <c r="M7587">
        <v>0.28097513153274722</v>
      </c>
      <c r="N7587">
        <v>0.19034625210795753</v>
      </c>
      <c r="O7587">
        <v>0.26491462841008689</v>
      </c>
      <c r="P7587">
        <v>0.2637639879492083</v>
      </c>
    </row>
    <row r="7588" spans="13:16">
      <c r="M7588">
        <v>0.26690957869812165</v>
      </c>
      <c r="N7588">
        <v>0.18989227497810371</v>
      </c>
      <c r="O7588">
        <v>0.26881804942439563</v>
      </c>
      <c r="P7588">
        <v>0.27438009689937887</v>
      </c>
    </row>
    <row r="7589" spans="13:16">
      <c r="M7589">
        <v>0.28704892766734491</v>
      </c>
      <c r="N7589">
        <v>0.20087342155759114</v>
      </c>
      <c r="O7589">
        <v>0.24150111942635427</v>
      </c>
      <c r="P7589">
        <v>0.27057653134870963</v>
      </c>
    </row>
    <row r="7590" spans="13:16">
      <c r="M7590">
        <v>0.31326937717567221</v>
      </c>
      <c r="N7590">
        <v>0.17275977276547796</v>
      </c>
      <c r="O7590">
        <v>0.26354355947871588</v>
      </c>
      <c r="P7590">
        <v>0.25042729058013397</v>
      </c>
    </row>
    <row r="7591" spans="13:16">
      <c r="M7591">
        <v>0.30181252201335174</v>
      </c>
      <c r="N7591">
        <v>0.16066796622655383</v>
      </c>
      <c r="O7591">
        <v>0.29372038767591035</v>
      </c>
      <c r="P7591">
        <v>0.24379912408418403</v>
      </c>
    </row>
    <row r="7592" spans="13:16">
      <c r="M7592">
        <v>0.27893531555837525</v>
      </c>
      <c r="N7592">
        <v>0.1793137452895254</v>
      </c>
      <c r="O7592">
        <v>0.27868244546787219</v>
      </c>
      <c r="P7592">
        <v>0.26306849368422713</v>
      </c>
    </row>
    <row r="7593" spans="13:16">
      <c r="M7593">
        <v>0.2747000989962638</v>
      </c>
      <c r="N7593">
        <v>0.18755538687001508</v>
      </c>
      <c r="O7593">
        <v>0.27640692223892721</v>
      </c>
      <c r="P7593">
        <v>0.26133759189479394</v>
      </c>
    </row>
    <row r="7594" spans="13:16">
      <c r="M7594">
        <v>0.29361933683224523</v>
      </c>
      <c r="N7594">
        <v>0.20424761868251998</v>
      </c>
      <c r="O7594">
        <v>0.23291708452095128</v>
      </c>
      <c r="P7594">
        <v>0.26921595996428355</v>
      </c>
    </row>
    <row r="7595" spans="13:16">
      <c r="M7595">
        <v>0.2844151994056725</v>
      </c>
      <c r="N7595">
        <v>0.18241797537514701</v>
      </c>
      <c r="O7595">
        <v>0.26381170312955049</v>
      </c>
      <c r="P7595">
        <v>0.26935512208962992</v>
      </c>
    </row>
    <row r="7596" spans="13:16">
      <c r="M7596">
        <v>0.29847740113232063</v>
      </c>
      <c r="N7596">
        <v>0.17652383992792159</v>
      </c>
      <c r="O7596">
        <v>0.25799844166617569</v>
      </c>
      <c r="P7596">
        <v>0.26700031727358214</v>
      </c>
    </row>
    <row r="7597" spans="13:16">
      <c r="M7597">
        <v>0.28595204120356371</v>
      </c>
      <c r="N7597">
        <v>0.19959862259966082</v>
      </c>
      <c r="O7597">
        <v>0.25939140909686775</v>
      </c>
      <c r="P7597">
        <v>0.25505792709990782</v>
      </c>
    </row>
    <row r="7598" spans="13:16">
      <c r="M7598">
        <v>0.28761008200884147</v>
      </c>
      <c r="N7598">
        <v>0.17793347593546469</v>
      </c>
      <c r="O7598">
        <v>0.25555564734854874</v>
      </c>
      <c r="P7598">
        <v>0.27890079470714518</v>
      </c>
    </row>
    <row r="7599" spans="13:16">
      <c r="M7599">
        <v>0.29247139930018717</v>
      </c>
      <c r="N7599">
        <v>0.18539253085839624</v>
      </c>
      <c r="O7599">
        <v>0.25940925223022365</v>
      </c>
      <c r="P7599">
        <v>0.26272681761119293</v>
      </c>
    </row>
    <row r="7600" spans="13:16">
      <c r="M7600">
        <v>0.3277781314483173</v>
      </c>
      <c r="N7600">
        <v>0.16204611111003892</v>
      </c>
      <c r="O7600">
        <v>0.26202325484951672</v>
      </c>
      <c r="P7600">
        <v>0.24815250259212718</v>
      </c>
    </row>
    <row r="7601" spans="13:16">
      <c r="M7601">
        <v>0.26356077935392414</v>
      </c>
      <c r="N7601">
        <v>0.20182623468550734</v>
      </c>
      <c r="O7601">
        <v>0.25967908298338199</v>
      </c>
      <c r="P7601">
        <v>0.27493390297718656</v>
      </c>
    </row>
    <row r="7602" spans="13:16">
      <c r="M7602">
        <v>0.30708172268126727</v>
      </c>
      <c r="N7602">
        <v>0.17766042089351988</v>
      </c>
      <c r="O7602">
        <v>0.24564176296278331</v>
      </c>
      <c r="P7602">
        <v>0.2696160934624296</v>
      </c>
    </row>
    <row r="7603" spans="13:16">
      <c r="M7603">
        <v>0.33097396184275685</v>
      </c>
      <c r="N7603">
        <v>0.18479925512422171</v>
      </c>
      <c r="O7603">
        <v>0.2327274249789737</v>
      </c>
      <c r="P7603">
        <v>0.25149935805404777</v>
      </c>
    </row>
    <row r="7604" spans="13:16">
      <c r="M7604">
        <v>0.29950017370493148</v>
      </c>
      <c r="N7604">
        <v>0.19155616805167122</v>
      </c>
      <c r="O7604">
        <v>0.25307574492578633</v>
      </c>
      <c r="P7604">
        <v>0.255867913317611</v>
      </c>
    </row>
    <row r="7605" spans="13:16">
      <c r="M7605">
        <v>0.28074520653403734</v>
      </c>
      <c r="N7605">
        <v>0.19063477044902055</v>
      </c>
      <c r="O7605">
        <v>0.26201550931222534</v>
      </c>
      <c r="P7605">
        <v>0.26660451370471672</v>
      </c>
    </row>
    <row r="7606" spans="13:16">
      <c r="M7606">
        <v>0.29040086468789733</v>
      </c>
      <c r="N7606">
        <v>0.17139130399077504</v>
      </c>
      <c r="O7606">
        <v>0.27983444340818048</v>
      </c>
      <c r="P7606">
        <v>0.25837338791314729</v>
      </c>
    </row>
    <row r="7607" spans="13:16">
      <c r="M7607">
        <v>0.29382046595036637</v>
      </c>
      <c r="N7607">
        <v>0.18289564334741232</v>
      </c>
      <c r="O7607">
        <v>0.24904463202435623</v>
      </c>
      <c r="P7607">
        <v>0.27423925867786519</v>
      </c>
    </row>
    <row r="7608" spans="13:16">
      <c r="M7608">
        <v>0.28687489757590828</v>
      </c>
      <c r="N7608">
        <v>0.21027838265429435</v>
      </c>
      <c r="O7608">
        <v>0.22706555650429766</v>
      </c>
      <c r="P7608">
        <v>0.27578116326549962</v>
      </c>
    </row>
    <row r="7609" spans="13:16">
      <c r="M7609">
        <v>0.31111080452862061</v>
      </c>
      <c r="N7609">
        <v>0.18115523309714404</v>
      </c>
      <c r="O7609">
        <v>0.25299286821431166</v>
      </c>
      <c r="P7609">
        <v>0.2547410941599238</v>
      </c>
    </row>
    <row r="7610" spans="13:16">
      <c r="M7610">
        <v>0.28181561082268441</v>
      </c>
      <c r="N7610">
        <v>0.18802672981928265</v>
      </c>
      <c r="O7610">
        <v>0.25880868825129016</v>
      </c>
      <c r="P7610">
        <v>0.27134897110674283</v>
      </c>
    </row>
    <row r="7611" spans="13:16">
      <c r="M7611">
        <v>0.28086386758251597</v>
      </c>
      <c r="N7611">
        <v>0.19984984977560377</v>
      </c>
      <c r="O7611">
        <v>0.26180475756505184</v>
      </c>
      <c r="P7611">
        <v>0.25748152507682842</v>
      </c>
    </row>
    <row r="7612" spans="13:16">
      <c r="M7612">
        <v>0.27543014564135554</v>
      </c>
      <c r="N7612">
        <v>0.19922308849485862</v>
      </c>
      <c r="O7612">
        <v>0.24207286049854479</v>
      </c>
      <c r="P7612">
        <v>0.283273905365241</v>
      </c>
    </row>
    <row r="7613" spans="13:16">
      <c r="M7613">
        <v>0.30249330440280747</v>
      </c>
      <c r="N7613">
        <v>0.19514029839437283</v>
      </c>
      <c r="O7613">
        <v>0.23839276145419008</v>
      </c>
      <c r="P7613">
        <v>0.26397363574862953</v>
      </c>
    </row>
    <row r="7614" spans="13:16">
      <c r="M7614">
        <v>0.27718135713027975</v>
      </c>
      <c r="N7614">
        <v>0.17771149106864986</v>
      </c>
      <c r="O7614">
        <v>0.27982187616392101</v>
      </c>
      <c r="P7614">
        <v>0.26528527563714921</v>
      </c>
    </row>
    <row r="7615" spans="13:16">
      <c r="M7615">
        <v>0.30110031991525721</v>
      </c>
      <c r="N7615">
        <v>0.17907019927198042</v>
      </c>
      <c r="O7615">
        <v>0.26416811133313733</v>
      </c>
      <c r="P7615">
        <v>0.25566136947962514</v>
      </c>
    </row>
    <row r="7616" spans="13:16">
      <c r="M7616">
        <v>0.29665580607093189</v>
      </c>
      <c r="N7616">
        <v>0.16942871314717914</v>
      </c>
      <c r="O7616">
        <v>0.28761292170219416</v>
      </c>
      <c r="P7616">
        <v>0.24630255907969495</v>
      </c>
    </row>
    <row r="7617" spans="13:16">
      <c r="M7617">
        <v>0.28676439951436306</v>
      </c>
      <c r="N7617">
        <v>0.17349609516996153</v>
      </c>
      <c r="O7617">
        <v>0.28363663367438607</v>
      </c>
      <c r="P7617">
        <v>0.25610287164128931</v>
      </c>
    </row>
    <row r="7618" spans="13:16">
      <c r="M7618">
        <v>0.28179237092807674</v>
      </c>
      <c r="N7618">
        <v>0.17468979811788152</v>
      </c>
      <c r="O7618">
        <v>0.27838973985518556</v>
      </c>
      <c r="P7618">
        <v>0.26512809109885627</v>
      </c>
    </row>
    <row r="7619" spans="13:16">
      <c r="M7619">
        <v>0.3085537745015407</v>
      </c>
      <c r="N7619">
        <v>0.16757214314770649</v>
      </c>
      <c r="O7619">
        <v>0.27717675717254242</v>
      </c>
      <c r="P7619">
        <v>0.24669732517821047</v>
      </c>
    </row>
    <row r="7620" spans="13:16">
      <c r="M7620">
        <v>0.26372436345086614</v>
      </c>
      <c r="N7620">
        <v>0.19392792011925167</v>
      </c>
      <c r="O7620">
        <v>0.27166724834925571</v>
      </c>
      <c r="P7620">
        <v>0.27068046808062646</v>
      </c>
    </row>
    <row r="7621" spans="13:16">
      <c r="M7621">
        <v>0.28778344357627444</v>
      </c>
      <c r="N7621">
        <v>0.18840782310422108</v>
      </c>
      <c r="O7621">
        <v>0.24197691840809946</v>
      </c>
      <c r="P7621">
        <v>0.28183181491140491</v>
      </c>
    </row>
    <row r="7622" spans="13:16">
      <c r="M7622">
        <v>0.3031845749257065</v>
      </c>
      <c r="N7622">
        <v>0.17023116440096991</v>
      </c>
      <c r="O7622">
        <v>0.26409197429850956</v>
      </c>
      <c r="P7622">
        <v>0.26249228637481414</v>
      </c>
    </row>
    <row r="7623" spans="13:16">
      <c r="M7623">
        <v>0.29979287022773238</v>
      </c>
      <c r="N7623">
        <v>0.1695780591299384</v>
      </c>
      <c r="O7623">
        <v>0.28167680761076197</v>
      </c>
      <c r="P7623">
        <v>0.24895226303156734</v>
      </c>
    </row>
    <row r="7624" spans="13:16">
      <c r="M7624">
        <v>0.29693840254052106</v>
      </c>
      <c r="N7624">
        <v>0.18074030250678652</v>
      </c>
      <c r="O7624">
        <v>0.26515616077602289</v>
      </c>
      <c r="P7624">
        <v>0.25716513417666964</v>
      </c>
    </row>
    <row r="7625" spans="13:16">
      <c r="M7625">
        <v>0.30107236487889999</v>
      </c>
      <c r="N7625">
        <v>0.18561599046138211</v>
      </c>
      <c r="O7625">
        <v>0.2488784102406997</v>
      </c>
      <c r="P7625">
        <v>0.26443323441901811</v>
      </c>
    </row>
    <row r="7626" spans="13:16">
      <c r="M7626">
        <v>0.29573078583885654</v>
      </c>
      <c r="N7626">
        <v>0.17201015861563232</v>
      </c>
      <c r="O7626">
        <v>0.28804813391985079</v>
      </c>
      <c r="P7626">
        <v>0.24421092162566035</v>
      </c>
    </row>
    <row r="7627" spans="13:16">
      <c r="M7627">
        <v>0.30063579282720992</v>
      </c>
      <c r="N7627">
        <v>0.17567006537499419</v>
      </c>
      <c r="O7627">
        <v>0.27432646947420752</v>
      </c>
      <c r="P7627">
        <v>0.24936767232358839</v>
      </c>
    </row>
    <row r="7628" spans="13:16">
      <c r="M7628">
        <v>0.27837207542609621</v>
      </c>
      <c r="N7628">
        <v>0.18285147720605532</v>
      </c>
      <c r="O7628">
        <v>0.28878250043779757</v>
      </c>
      <c r="P7628">
        <v>0.24999394693005086</v>
      </c>
    </row>
    <row r="7629" spans="13:16">
      <c r="M7629">
        <v>0.31198024623310855</v>
      </c>
      <c r="N7629">
        <v>0.1803682053168815</v>
      </c>
      <c r="O7629">
        <v>0.24691240765283107</v>
      </c>
      <c r="P7629">
        <v>0.26073914079717886</v>
      </c>
    </row>
    <row r="7630" spans="13:16">
      <c r="M7630">
        <v>0.28380315895717251</v>
      </c>
      <c r="N7630">
        <v>0.17614473947889014</v>
      </c>
      <c r="O7630">
        <v>0.27778313111504294</v>
      </c>
      <c r="P7630">
        <v>0.26226897044889447</v>
      </c>
    </row>
    <row r="7631" spans="13:16">
      <c r="M7631">
        <v>0.29260676234009037</v>
      </c>
      <c r="N7631">
        <v>0.17881866583554631</v>
      </c>
      <c r="O7631">
        <v>0.26317899932582861</v>
      </c>
      <c r="P7631">
        <v>0.26539557249853468</v>
      </c>
    </row>
    <row r="7632" spans="13:16">
      <c r="M7632">
        <v>0.28388575795730675</v>
      </c>
      <c r="N7632">
        <v>0.19247277261592177</v>
      </c>
      <c r="O7632">
        <v>0.25477643059722094</v>
      </c>
      <c r="P7632">
        <v>0.26886503882955065</v>
      </c>
    </row>
    <row r="7633" spans="13:16">
      <c r="M7633">
        <v>0.31458557635957918</v>
      </c>
      <c r="N7633">
        <v>0.16912646630855313</v>
      </c>
      <c r="O7633">
        <v>0.25915608631697989</v>
      </c>
      <c r="P7633">
        <v>0.25713187101488777</v>
      </c>
    </row>
    <row r="7634" spans="13:16">
      <c r="M7634">
        <v>0.30707345423466403</v>
      </c>
      <c r="N7634">
        <v>0.18908650212025135</v>
      </c>
      <c r="O7634">
        <v>0.24404591367120529</v>
      </c>
      <c r="P7634">
        <v>0.25979412997387935</v>
      </c>
    </row>
    <row r="7635" spans="13:16">
      <c r="M7635">
        <v>0.30238316717995162</v>
      </c>
      <c r="N7635">
        <v>0.1846470781633569</v>
      </c>
      <c r="O7635">
        <v>0.2346931729248557</v>
      </c>
      <c r="P7635">
        <v>0.27827658173183573</v>
      </c>
    </row>
    <row r="7636" spans="13:16">
      <c r="M7636">
        <v>0.28441260703580612</v>
      </c>
      <c r="N7636">
        <v>0.17169359063436451</v>
      </c>
      <c r="O7636">
        <v>0.29760435246515216</v>
      </c>
      <c r="P7636">
        <v>0.24628944986467721</v>
      </c>
    </row>
    <row r="7637" spans="13:16">
      <c r="M7637">
        <v>0.30475091865869186</v>
      </c>
      <c r="N7637">
        <v>0.18448529856370977</v>
      </c>
      <c r="O7637">
        <v>0.25242351155913351</v>
      </c>
      <c r="P7637">
        <v>0.25834027121846492</v>
      </c>
    </row>
    <row r="7638" spans="13:16">
      <c r="M7638">
        <v>0.28810390136025832</v>
      </c>
      <c r="N7638">
        <v>0.1837191399854787</v>
      </c>
      <c r="O7638">
        <v>0.26238157991306249</v>
      </c>
      <c r="P7638">
        <v>0.26579537874120041</v>
      </c>
    </row>
    <row r="7639" spans="13:16">
      <c r="M7639">
        <v>0.29122926672619359</v>
      </c>
      <c r="N7639">
        <v>0.18727532269510291</v>
      </c>
      <c r="O7639">
        <v>0.25644967950254921</v>
      </c>
      <c r="P7639">
        <v>0.26504573107615426</v>
      </c>
    </row>
    <row r="7640" spans="13:16">
      <c r="M7640">
        <v>0.28764355273664982</v>
      </c>
      <c r="N7640">
        <v>0.18117671625838683</v>
      </c>
      <c r="O7640">
        <v>0.28062969268944193</v>
      </c>
      <c r="P7640">
        <v>0.25055003831552142</v>
      </c>
    </row>
    <row r="7641" spans="13:16">
      <c r="M7641">
        <v>0.28040146768040997</v>
      </c>
      <c r="N7641">
        <v>0.1819495559019445</v>
      </c>
      <c r="O7641">
        <v>0.2786944960524923</v>
      </c>
      <c r="P7641">
        <v>0.25895448036515317</v>
      </c>
    </row>
    <row r="7642" spans="13:16">
      <c r="M7642">
        <v>0.2877189933323841</v>
      </c>
      <c r="N7642">
        <v>0.18568969278973751</v>
      </c>
      <c r="O7642">
        <v>0.28639041160115586</v>
      </c>
      <c r="P7642">
        <v>0.24020090227672258</v>
      </c>
    </row>
    <row r="7643" spans="13:16">
      <c r="M7643">
        <v>0.28892289195824428</v>
      </c>
      <c r="N7643">
        <v>0.19764563940689669</v>
      </c>
      <c r="O7643">
        <v>0.24073821856156569</v>
      </c>
      <c r="P7643">
        <v>0.27269325007329343</v>
      </c>
    </row>
    <row r="7644" spans="13:16">
      <c r="M7644">
        <v>0.2994826290277855</v>
      </c>
      <c r="N7644">
        <v>0.17424993418975868</v>
      </c>
      <c r="O7644">
        <v>0.262462257633859</v>
      </c>
      <c r="P7644">
        <v>0.26380517914859691</v>
      </c>
    </row>
    <row r="7645" spans="13:16">
      <c r="M7645">
        <v>0.29968323446166489</v>
      </c>
      <c r="N7645">
        <v>0.18968069413567937</v>
      </c>
      <c r="O7645">
        <v>0.24927641941843498</v>
      </c>
      <c r="P7645">
        <v>0.26135965198422073</v>
      </c>
    </row>
    <row r="7646" spans="13:16">
      <c r="M7646">
        <v>0.29313003041865177</v>
      </c>
      <c r="N7646">
        <v>0.19466449546137352</v>
      </c>
      <c r="O7646">
        <v>0.24134090308363496</v>
      </c>
      <c r="P7646">
        <v>0.27086457103633976</v>
      </c>
    </row>
    <row r="7647" spans="13:16">
      <c r="M7647">
        <v>0.27992814992784654</v>
      </c>
      <c r="N7647">
        <v>0.20032720239386298</v>
      </c>
      <c r="O7647">
        <v>0.24049581291941566</v>
      </c>
      <c r="P7647">
        <v>0.27924883475887469</v>
      </c>
    </row>
    <row r="7648" spans="13:16">
      <c r="M7648">
        <v>0.29073141472257097</v>
      </c>
      <c r="N7648">
        <v>0.18333038348939579</v>
      </c>
      <c r="O7648">
        <v>0.2690992594519287</v>
      </c>
      <c r="P7648">
        <v>0.2568389423361046</v>
      </c>
    </row>
    <row r="7649" spans="13:16">
      <c r="M7649">
        <v>0.31479733169909863</v>
      </c>
      <c r="N7649">
        <v>0.1661331160190388</v>
      </c>
      <c r="O7649">
        <v>0.26137118193250852</v>
      </c>
      <c r="P7649">
        <v>0.25769837034935389</v>
      </c>
    </row>
    <row r="7650" spans="13:16">
      <c r="M7650">
        <v>0.29114300981662361</v>
      </c>
      <c r="N7650">
        <v>0.18348160733329644</v>
      </c>
      <c r="O7650">
        <v>0.25769748621393845</v>
      </c>
      <c r="P7650">
        <v>0.2676778966361415</v>
      </c>
    </row>
    <row r="7651" spans="13:16">
      <c r="M7651">
        <v>0.2996750471336061</v>
      </c>
      <c r="N7651">
        <v>0.17423026893391311</v>
      </c>
      <c r="O7651">
        <v>0.27536617937810304</v>
      </c>
      <c r="P7651">
        <v>0.25072850455437778</v>
      </c>
    </row>
    <row r="7652" spans="13:16">
      <c r="M7652">
        <v>0.29129356756000502</v>
      </c>
      <c r="N7652">
        <v>0.19832593658834496</v>
      </c>
      <c r="O7652">
        <v>0.2361273565891393</v>
      </c>
      <c r="P7652">
        <v>0.27425313926251071</v>
      </c>
    </row>
    <row r="7653" spans="13:16">
      <c r="M7653">
        <v>0.26819878321604529</v>
      </c>
      <c r="N7653">
        <v>0.19144403154818965</v>
      </c>
      <c r="O7653">
        <v>0.28084548036750273</v>
      </c>
      <c r="P7653">
        <v>0.25951170486826219</v>
      </c>
    </row>
    <row r="7654" spans="13:16">
      <c r="M7654">
        <v>0.26601194291194269</v>
      </c>
      <c r="N7654">
        <v>0.20617511288127066</v>
      </c>
      <c r="O7654">
        <v>0.25859120248005479</v>
      </c>
      <c r="P7654">
        <v>0.26922174172673191</v>
      </c>
    </row>
    <row r="7655" spans="13:16">
      <c r="M7655">
        <v>0.27224663502376628</v>
      </c>
      <c r="N7655">
        <v>0.19478987821592308</v>
      </c>
      <c r="O7655">
        <v>0.25999343939263919</v>
      </c>
      <c r="P7655">
        <v>0.2729700473676715</v>
      </c>
    </row>
    <row r="7656" spans="13:16">
      <c r="M7656">
        <v>0.2526992470298684</v>
      </c>
      <c r="N7656">
        <v>0.19508527283803331</v>
      </c>
      <c r="O7656">
        <v>0.30005728481835292</v>
      </c>
      <c r="P7656">
        <v>0.25215819531374517</v>
      </c>
    </row>
    <row r="7657" spans="13:16">
      <c r="M7657">
        <v>0.29608297849324577</v>
      </c>
      <c r="N7657">
        <v>0.19456635285518176</v>
      </c>
      <c r="O7657">
        <v>0.2400697980354097</v>
      </c>
      <c r="P7657">
        <v>0.26928087061616274</v>
      </c>
    </row>
    <row r="7658" spans="13:16">
      <c r="M7658">
        <v>0.26898275417285467</v>
      </c>
      <c r="N7658">
        <v>0.20744495436774596</v>
      </c>
      <c r="O7658">
        <v>0.25053944348510532</v>
      </c>
      <c r="P7658">
        <v>0.27303284797429395</v>
      </c>
    </row>
    <row r="7659" spans="13:16">
      <c r="M7659">
        <v>0.29358236309238278</v>
      </c>
      <c r="N7659">
        <v>0.16607340318566449</v>
      </c>
      <c r="O7659">
        <v>0.2936777685111126</v>
      </c>
      <c r="P7659">
        <v>0.2466664652108401</v>
      </c>
    </row>
    <row r="7660" spans="13:16">
      <c r="M7660">
        <v>0.26630970256817194</v>
      </c>
      <c r="N7660">
        <v>0.20873056288534453</v>
      </c>
      <c r="O7660">
        <v>0.25980569537728337</v>
      </c>
      <c r="P7660">
        <v>0.26515403916920011</v>
      </c>
    </row>
    <row r="7661" spans="13:16">
      <c r="M7661">
        <v>0.29659507906856375</v>
      </c>
      <c r="N7661">
        <v>0.16547342826843531</v>
      </c>
      <c r="O7661">
        <v>0.29478543682573749</v>
      </c>
      <c r="P7661">
        <v>0.24314605583726348</v>
      </c>
    </row>
    <row r="7662" spans="13:16">
      <c r="M7662">
        <v>0.28806566783559612</v>
      </c>
      <c r="N7662">
        <v>0.19087210465362334</v>
      </c>
      <c r="O7662">
        <v>0.25110367306673242</v>
      </c>
      <c r="P7662">
        <v>0.26995855444404798</v>
      </c>
    </row>
    <row r="7663" spans="13:16">
      <c r="M7663">
        <v>0.31293010411115646</v>
      </c>
      <c r="N7663">
        <v>0.18410078658146317</v>
      </c>
      <c r="O7663">
        <v>0.24236017691778336</v>
      </c>
      <c r="P7663">
        <v>0.26060893238959687</v>
      </c>
    </row>
    <row r="7664" spans="13:16">
      <c r="M7664">
        <v>0.27607292901670799</v>
      </c>
      <c r="N7664">
        <v>0.20497126401967297</v>
      </c>
      <c r="O7664">
        <v>0.25136433825886861</v>
      </c>
      <c r="P7664">
        <v>0.26759146870475042</v>
      </c>
    </row>
    <row r="7665" spans="13:16">
      <c r="M7665">
        <v>0.27785537223678525</v>
      </c>
      <c r="N7665">
        <v>0.18332076526992416</v>
      </c>
      <c r="O7665">
        <v>0.28160150199082401</v>
      </c>
      <c r="P7665">
        <v>0.25722236050246666</v>
      </c>
    </row>
    <row r="7666" spans="13:16">
      <c r="M7666">
        <v>0.31430369665704105</v>
      </c>
      <c r="N7666">
        <v>0.17335897903500175</v>
      </c>
      <c r="O7666">
        <v>0.24901962677715184</v>
      </c>
      <c r="P7666">
        <v>0.26331769753080536</v>
      </c>
    </row>
    <row r="7667" spans="13:16">
      <c r="M7667">
        <v>0.28118124751356982</v>
      </c>
      <c r="N7667">
        <v>0.17521191605692502</v>
      </c>
      <c r="O7667">
        <v>0.28264755132952979</v>
      </c>
      <c r="P7667">
        <v>0.26095928509997529</v>
      </c>
    </row>
    <row r="7668" spans="13:16">
      <c r="M7668">
        <v>0.27994614426495384</v>
      </c>
      <c r="N7668">
        <v>0.20386498499994415</v>
      </c>
      <c r="O7668">
        <v>0.24333168342674649</v>
      </c>
      <c r="P7668">
        <v>0.27285718730835556</v>
      </c>
    </row>
    <row r="7669" spans="13:16">
      <c r="M7669">
        <v>0.30481427034215097</v>
      </c>
      <c r="N7669">
        <v>0.1790052300065692</v>
      </c>
      <c r="O7669">
        <v>0.25707675029762878</v>
      </c>
      <c r="P7669">
        <v>0.25910374935365094</v>
      </c>
    </row>
    <row r="7670" spans="13:16">
      <c r="M7670">
        <v>0.29248583574094861</v>
      </c>
      <c r="N7670">
        <v>0.18114451886049346</v>
      </c>
      <c r="O7670">
        <v>0.28191302619111647</v>
      </c>
      <c r="P7670">
        <v>0.24445661920744147</v>
      </c>
    </row>
    <row r="7671" spans="13:16">
      <c r="M7671">
        <v>0.28473608456630223</v>
      </c>
      <c r="N7671">
        <v>0.18872162888648686</v>
      </c>
      <c r="O7671">
        <v>0.28303137388438249</v>
      </c>
      <c r="P7671">
        <v>0.24351091266282851</v>
      </c>
    </row>
    <row r="7672" spans="13:16">
      <c r="M7672">
        <v>0.27494447488068213</v>
      </c>
      <c r="N7672">
        <v>0.17802168021550654</v>
      </c>
      <c r="O7672">
        <v>0.28014215410479709</v>
      </c>
      <c r="P7672">
        <v>0.26689169079901426</v>
      </c>
    </row>
    <row r="7673" spans="13:16">
      <c r="M7673">
        <v>0.30362987606199443</v>
      </c>
      <c r="N7673">
        <v>0.18367799149745287</v>
      </c>
      <c r="O7673">
        <v>0.25482015018783993</v>
      </c>
      <c r="P7673">
        <v>0.25787198225271263</v>
      </c>
    </row>
    <row r="7674" spans="13:16">
      <c r="M7674">
        <v>0.30444013889921984</v>
      </c>
      <c r="N7674">
        <v>0.19848108008329771</v>
      </c>
      <c r="O7674">
        <v>0.21754461879512652</v>
      </c>
      <c r="P7674">
        <v>0.27953416222235583</v>
      </c>
    </row>
    <row r="7675" spans="13:16">
      <c r="M7675">
        <v>0.29041864161693604</v>
      </c>
      <c r="N7675">
        <v>0.17404492806757138</v>
      </c>
      <c r="O7675">
        <v>0.28573355575263409</v>
      </c>
      <c r="P7675">
        <v>0.24980287456285863</v>
      </c>
    </row>
    <row r="7676" spans="13:16">
      <c r="M7676">
        <v>0.31986836958150522</v>
      </c>
      <c r="N7676">
        <v>0.19758382689875748</v>
      </c>
      <c r="O7676">
        <v>0.21444217126360415</v>
      </c>
      <c r="P7676">
        <v>0.26810563225613321</v>
      </c>
    </row>
    <row r="7677" spans="13:16">
      <c r="M7677">
        <v>0.31243881371074944</v>
      </c>
      <c r="N7677">
        <v>0.16957625879784546</v>
      </c>
      <c r="O7677">
        <v>0.25649628012321612</v>
      </c>
      <c r="P7677">
        <v>0.261488647368189</v>
      </c>
    </row>
    <row r="7678" spans="13:16">
      <c r="M7678">
        <v>0.29097090481817267</v>
      </c>
      <c r="N7678">
        <v>0.17357466830631663</v>
      </c>
      <c r="O7678">
        <v>0.2790963371751487</v>
      </c>
      <c r="P7678">
        <v>0.25635808970036189</v>
      </c>
    </row>
    <row r="7679" spans="13:16">
      <c r="M7679">
        <v>0.29914604519576482</v>
      </c>
      <c r="N7679">
        <v>0.19310322518893616</v>
      </c>
      <c r="O7679">
        <v>0.24096343446982599</v>
      </c>
      <c r="P7679">
        <v>0.26678729514547295</v>
      </c>
    </row>
    <row r="7680" spans="13:16">
      <c r="M7680">
        <v>0.28865871435996321</v>
      </c>
      <c r="N7680">
        <v>0.18502723875932522</v>
      </c>
      <c r="O7680">
        <v>0.25777853713539267</v>
      </c>
      <c r="P7680">
        <v>0.26853550974531898</v>
      </c>
    </row>
    <row r="7681" spans="13:16">
      <c r="M7681">
        <v>0.29697915556780069</v>
      </c>
      <c r="N7681">
        <v>0.16924501465969843</v>
      </c>
      <c r="O7681">
        <v>0.26366825039247582</v>
      </c>
      <c r="P7681">
        <v>0.270107579380025</v>
      </c>
    </row>
    <row r="7682" spans="13:16">
      <c r="M7682">
        <v>0.30474513247692386</v>
      </c>
      <c r="N7682">
        <v>0.18761528658809065</v>
      </c>
      <c r="O7682">
        <v>0.24084404873055382</v>
      </c>
      <c r="P7682">
        <v>0.26679553220443181</v>
      </c>
    </row>
    <row r="7683" spans="13:16">
      <c r="M7683">
        <v>0.30176925792136017</v>
      </c>
      <c r="N7683">
        <v>0.19161794104585803</v>
      </c>
      <c r="O7683">
        <v>0.2541220950213694</v>
      </c>
      <c r="P7683">
        <v>0.25249070601141232</v>
      </c>
    </row>
    <row r="7684" spans="13:16">
      <c r="M7684">
        <v>0.29398825172598553</v>
      </c>
      <c r="N7684">
        <v>0.18343809624058235</v>
      </c>
      <c r="O7684">
        <v>0.24975290163348304</v>
      </c>
      <c r="P7684">
        <v>0.27282075039994896</v>
      </c>
    </row>
    <row r="7685" spans="13:16">
      <c r="M7685">
        <v>0.29829154328916013</v>
      </c>
      <c r="N7685">
        <v>0.18244435746048737</v>
      </c>
      <c r="O7685">
        <v>0.26401523353409373</v>
      </c>
      <c r="P7685">
        <v>0.25524886571625877</v>
      </c>
    </row>
    <row r="7686" spans="13:16">
      <c r="M7686">
        <v>0.29707112842563049</v>
      </c>
      <c r="N7686">
        <v>0.19934537588655921</v>
      </c>
      <c r="O7686">
        <v>0.25253220454507269</v>
      </c>
      <c r="P7686">
        <v>0.25105129114273772</v>
      </c>
    </row>
    <row r="7687" spans="13:16">
      <c r="M7687">
        <v>0.27544534115522462</v>
      </c>
      <c r="N7687">
        <v>0.19945611298389279</v>
      </c>
      <c r="O7687">
        <v>0.26252509387605355</v>
      </c>
      <c r="P7687">
        <v>0.26257345198482912</v>
      </c>
    </row>
    <row r="7688" spans="13:16">
      <c r="M7688">
        <v>0.29737526426082656</v>
      </c>
      <c r="N7688">
        <v>0.1756686535535916</v>
      </c>
      <c r="O7688">
        <v>0.26061664334647239</v>
      </c>
      <c r="P7688">
        <v>0.26633943883910949</v>
      </c>
    </row>
    <row r="7689" spans="13:16">
      <c r="M7689">
        <v>0.28437445071009704</v>
      </c>
      <c r="N7689">
        <v>0.18543400163911788</v>
      </c>
      <c r="O7689">
        <v>0.27677005420751261</v>
      </c>
      <c r="P7689">
        <v>0.25342149344327236</v>
      </c>
    </row>
    <row r="7690" spans="13:16">
      <c r="M7690">
        <v>0.28714028387921808</v>
      </c>
      <c r="N7690">
        <v>0.19826049593683898</v>
      </c>
      <c r="O7690">
        <v>0.24628429415437006</v>
      </c>
      <c r="P7690">
        <v>0.26831492602957285</v>
      </c>
    </row>
    <row r="7691" spans="13:16">
      <c r="M7691">
        <v>0.2856417762543868</v>
      </c>
      <c r="N7691">
        <v>0.17333618271217335</v>
      </c>
      <c r="O7691">
        <v>0.2909475328740182</v>
      </c>
      <c r="P7691">
        <v>0.25007450815942162</v>
      </c>
    </row>
    <row r="7692" spans="13:16">
      <c r="M7692">
        <v>0.30253014637533088</v>
      </c>
      <c r="N7692">
        <v>0.17104733091028143</v>
      </c>
      <c r="O7692">
        <v>0.26411332720993247</v>
      </c>
      <c r="P7692">
        <v>0.26230919550445519</v>
      </c>
    </row>
    <row r="7693" spans="13:16">
      <c r="M7693">
        <v>0.28230944645486339</v>
      </c>
      <c r="N7693">
        <v>0.19986403031637826</v>
      </c>
      <c r="O7693">
        <v>0.26161167136906782</v>
      </c>
      <c r="P7693">
        <v>0.25621485185969056</v>
      </c>
    </row>
    <row r="7694" spans="13:16">
      <c r="M7694">
        <v>0.28717117718268842</v>
      </c>
      <c r="N7694">
        <v>0.18056550221298706</v>
      </c>
      <c r="O7694">
        <v>0.27857920112327234</v>
      </c>
      <c r="P7694">
        <v>0.25368411948105218</v>
      </c>
    </row>
    <row r="7695" spans="13:16">
      <c r="M7695">
        <v>0.30470217057344318</v>
      </c>
      <c r="N7695">
        <v>0.18294332345523898</v>
      </c>
      <c r="O7695">
        <v>0.25400912970400047</v>
      </c>
      <c r="P7695">
        <v>0.25834537626731729</v>
      </c>
    </row>
    <row r="7696" spans="13:16">
      <c r="M7696">
        <v>0.32626528665362042</v>
      </c>
      <c r="N7696">
        <v>0.17010831653475417</v>
      </c>
      <c r="O7696">
        <v>0.24138477558284108</v>
      </c>
      <c r="P7696">
        <v>0.26224162122878436</v>
      </c>
    </row>
    <row r="7697" spans="13:16">
      <c r="M7697">
        <v>0.29180126495143077</v>
      </c>
      <c r="N7697">
        <v>0.20488340008266004</v>
      </c>
      <c r="O7697">
        <v>0.21186852168639594</v>
      </c>
      <c r="P7697">
        <v>0.29144681327951333</v>
      </c>
    </row>
    <row r="7698" spans="13:16">
      <c r="M7698">
        <v>0.27857217576474225</v>
      </c>
      <c r="N7698">
        <v>0.18580688843288232</v>
      </c>
      <c r="O7698">
        <v>0.26397797803912065</v>
      </c>
      <c r="P7698">
        <v>0.27164295776325481</v>
      </c>
    </row>
    <row r="7699" spans="13:16">
      <c r="M7699">
        <v>0.30060047759559078</v>
      </c>
      <c r="N7699">
        <v>0.18994157222857264</v>
      </c>
      <c r="O7699">
        <v>0.22218604131530309</v>
      </c>
      <c r="P7699">
        <v>0.28727190886053339</v>
      </c>
    </row>
    <row r="7700" spans="13:16">
      <c r="M7700">
        <v>0.29896154572946143</v>
      </c>
      <c r="N7700">
        <v>0.17156799513748142</v>
      </c>
      <c r="O7700">
        <v>0.27329253033747725</v>
      </c>
      <c r="P7700">
        <v>0.25617792879557993</v>
      </c>
    </row>
    <row r="7701" spans="13:16">
      <c r="M7701">
        <v>0.28261074190827584</v>
      </c>
      <c r="N7701">
        <v>0.20412560717762507</v>
      </c>
      <c r="O7701">
        <v>0.24957440411245918</v>
      </c>
      <c r="P7701">
        <v>0.26368924680163991</v>
      </c>
    </row>
    <row r="7702" spans="13:16">
      <c r="M7702">
        <v>0.27201800366037271</v>
      </c>
      <c r="N7702">
        <v>0.19441329842940083</v>
      </c>
      <c r="O7702">
        <v>0.26309791443998753</v>
      </c>
      <c r="P7702">
        <v>0.27047078347023884</v>
      </c>
    </row>
    <row r="7703" spans="13:16">
      <c r="M7703">
        <v>0.30532878535753999</v>
      </c>
      <c r="N7703">
        <v>0.17713540897150751</v>
      </c>
      <c r="O7703">
        <v>0.25145020969493725</v>
      </c>
      <c r="P7703">
        <v>0.26608559597601522</v>
      </c>
    </row>
    <row r="7704" spans="13:16">
      <c r="M7704">
        <v>0.31351895688120113</v>
      </c>
      <c r="N7704">
        <v>0.1731139030264558</v>
      </c>
      <c r="O7704">
        <v>0.26068051681353904</v>
      </c>
      <c r="P7704">
        <v>0.25268662327880415</v>
      </c>
    </row>
    <row r="7705" spans="13:16">
      <c r="M7705">
        <v>0.28890704915958981</v>
      </c>
      <c r="N7705">
        <v>0.19623232287672138</v>
      </c>
      <c r="O7705">
        <v>0.24523376606876215</v>
      </c>
      <c r="P7705">
        <v>0.26962686189492657</v>
      </c>
    </row>
    <row r="7706" spans="13:16">
      <c r="M7706">
        <v>0.30644958586836496</v>
      </c>
      <c r="N7706">
        <v>0.16988940801367483</v>
      </c>
      <c r="O7706">
        <v>0.263137979930544</v>
      </c>
      <c r="P7706">
        <v>0.26052302618741618</v>
      </c>
    </row>
    <row r="7707" spans="13:16">
      <c r="M7707">
        <v>0.28855994993945527</v>
      </c>
      <c r="N7707">
        <v>0.19554767790499444</v>
      </c>
      <c r="O7707">
        <v>0.24795095981764476</v>
      </c>
      <c r="P7707">
        <v>0.26794141233790558</v>
      </c>
    </row>
    <row r="7708" spans="13:16">
      <c r="M7708">
        <v>0.28925463577480798</v>
      </c>
      <c r="N7708">
        <v>0.18201582706598243</v>
      </c>
      <c r="O7708">
        <v>0.26304424622848627</v>
      </c>
      <c r="P7708">
        <v>0.26568529093072318</v>
      </c>
    </row>
    <row r="7709" spans="13:16">
      <c r="M7709">
        <v>0.32685906263278108</v>
      </c>
      <c r="N7709">
        <v>0.16607607402049973</v>
      </c>
      <c r="O7709">
        <v>0.25483305467501488</v>
      </c>
      <c r="P7709">
        <v>0.25223180867170436</v>
      </c>
    </row>
    <row r="7710" spans="13:16">
      <c r="M7710">
        <v>0.28853614781738346</v>
      </c>
      <c r="N7710">
        <v>0.18418611103364127</v>
      </c>
      <c r="O7710">
        <v>0.27368393483846665</v>
      </c>
      <c r="P7710">
        <v>0.25359380631050876</v>
      </c>
    </row>
    <row r="7711" spans="13:16">
      <c r="M7711">
        <v>0.28844887906711425</v>
      </c>
      <c r="N7711">
        <v>0.19550630363742155</v>
      </c>
      <c r="O7711">
        <v>0.2604130916670957</v>
      </c>
      <c r="P7711">
        <v>0.25563172562836856</v>
      </c>
    </row>
    <row r="7712" spans="13:16">
      <c r="M7712">
        <v>0.28072603921948391</v>
      </c>
      <c r="N7712">
        <v>0.19757754172086267</v>
      </c>
      <c r="O7712">
        <v>0.25520894448980602</v>
      </c>
      <c r="P7712">
        <v>0.26648747456984723</v>
      </c>
    </row>
    <row r="7713" spans="13:16">
      <c r="M7713">
        <v>0.28376451340648784</v>
      </c>
      <c r="N7713">
        <v>0.1808026383335167</v>
      </c>
      <c r="O7713">
        <v>0.27481107355995676</v>
      </c>
      <c r="P7713">
        <v>0.26062177470003861</v>
      </c>
    </row>
    <row r="7714" spans="13:16">
      <c r="M7714">
        <v>0.28011056038746768</v>
      </c>
      <c r="N7714">
        <v>0.18767006900058031</v>
      </c>
      <c r="O7714">
        <v>0.27215239328966262</v>
      </c>
      <c r="P7714">
        <v>0.26006697732228934</v>
      </c>
    </row>
    <row r="7715" spans="13:16">
      <c r="M7715">
        <v>0.29048661032721429</v>
      </c>
      <c r="N7715">
        <v>0.18783610280096633</v>
      </c>
      <c r="O7715">
        <v>0.27901421367433082</v>
      </c>
      <c r="P7715">
        <v>0.24266307319748839</v>
      </c>
    </row>
    <row r="7716" spans="13:16">
      <c r="M7716">
        <v>0.27452424771075773</v>
      </c>
      <c r="N7716">
        <v>0.19522411204459497</v>
      </c>
      <c r="O7716">
        <v>0.26284390999438106</v>
      </c>
      <c r="P7716">
        <v>0.26740773025026626</v>
      </c>
    </row>
    <row r="7717" spans="13:16">
      <c r="M7717">
        <v>0.26354280609254899</v>
      </c>
      <c r="N7717">
        <v>0.18454401285403674</v>
      </c>
      <c r="O7717">
        <v>0.28627614022381881</v>
      </c>
      <c r="P7717">
        <v>0.26563704082959555</v>
      </c>
    </row>
    <row r="7718" spans="13:16">
      <c r="M7718">
        <v>0.28310784634600589</v>
      </c>
      <c r="N7718">
        <v>0.19109973546041431</v>
      </c>
      <c r="O7718">
        <v>0.27159487672982618</v>
      </c>
      <c r="P7718">
        <v>0.25419754146375362</v>
      </c>
    </row>
    <row r="7719" spans="13:16">
      <c r="M7719">
        <v>0.31493484291467383</v>
      </c>
      <c r="N7719">
        <v>0.1804116692036955</v>
      </c>
      <c r="O7719">
        <v>0.25595653126221191</v>
      </c>
      <c r="P7719">
        <v>0.24869695661941876</v>
      </c>
    </row>
    <row r="7720" spans="13:16">
      <c r="M7720">
        <v>0.28909156055025181</v>
      </c>
      <c r="N7720">
        <v>0.18722713026782345</v>
      </c>
      <c r="O7720">
        <v>0.27332391963934138</v>
      </c>
      <c r="P7720">
        <v>0.25035738954258341</v>
      </c>
    </row>
    <row r="7721" spans="13:16">
      <c r="M7721">
        <v>0.28925224267429028</v>
      </c>
      <c r="N7721">
        <v>0.1821775336435571</v>
      </c>
      <c r="O7721">
        <v>0.25232086261764525</v>
      </c>
      <c r="P7721">
        <v>0.27624936106450743</v>
      </c>
    </row>
    <row r="7722" spans="13:16">
      <c r="M7722">
        <v>0.34253273488759184</v>
      </c>
      <c r="N7722">
        <v>0.17411332535159407</v>
      </c>
      <c r="O7722">
        <v>0.23045727177723321</v>
      </c>
      <c r="P7722">
        <v>0.2528966679835809</v>
      </c>
    </row>
    <row r="7723" spans="13:16">
      <c r="M7723">
        <v>0.30085536234725618</v>
      </c>
      <c r="N7723">
        <v>0.17984742568278317</v>
      </c>
      <c r="O7723">
        <v>0.26079935673787641</v>
      </c>
      <c r="P7723">
        <v>0.25849785523208413</v>
      </c>
    </row>
    <row r="7724" spans="13:16">
      <c r="M7724">
        <v>0.29498445323248562</v>
      </c>
      <c r="N7724">
        <v>0.17998830344219319</v>
      </c>
      <c r="O7724">
        <v>0.27536180257084103</v>
      </c>
      <c r="P7724">
        <v>0.24966544075448019</v>
      </c>
    </row>
    <row r="7725" spans="13:16">
      <c r="M7725">
        <v>0.29263763321846786</v>
      </c>
      <c r="N7725">
        <v>0.19008028466278074</v>
      </c>
      <c r="O7725">
        <v>0.26250745872038833</v>
      </c>
      <c r="P7725">
        <v>0.25477462339836315</v>
      </c>
    </row>
    <row r="7726" spans="13:16">
      <c r="M7726">
        <v>0.28856850225586739</v>
      </c>
      <c r="N7726">
        <v>0.20464457630981983</v>
      </c>
      <c r="O7726">
        <v>0.24131464476829098</v>
      </c>
      <c r="P7726">
        <v>0.26547227666602191</v>
      </c>
    </row>
    <row r="7727" spans="13:16">
      <c r="M7727">
        <v>0.30153218518769148</v>
      </c>
      <c r="N7727">
        <v>0.17456499688188781</v>
      </c>
      <c r="O7727">
        <v>0.25656957738894931</v>
      </c>
      <c r="P7727">
        <v>0.26733324054147151</v>
      </c>
    </row>
    <row r="7728" spans="13:16">
      <c r="M7728">
        <v>0.27701825438254651</v>
      </c>
      <c r="N7728">
        <v>0.17754616294138589</v>
      </c>
      <c r="O7728">
        <v>0.30152674079536568</v>
      </c>
      <c r="P7728">
        <v>0.243908841880702</v>
      </c>
    </row>
    <row r="7729" spans="13:16">
      <c r="M7729">
        <v>0.29981453056466872</v>
      </c>
      <c r="N7729">
        <v>0.19769034738872576</v>
      </c>
      <c r="O7729">
        <v>0.24350687438480215</v>
      </c>
      <c r="P7729">
        <v>0.25898824766180339</v>
      </c>
    </row>
    <row r="7730" spans="13:16">
      <c r="M7730">
        <v>0.30751350767971297</v>
      </c>
      <c r="N7730">
        <v>0.17242478382454782</v>
      </c>
      <c r="O7730">
        <v>0.25901772891139024</v>
      </c>
      <c r="P7730">
        <v>0.261043979584349</v>
      </c>
    </row>
    <row r="7731" spans="13:16">
      <c r="M7731">
        <v>0.28986423343330331</v>
      </c>
      <c r="N7731">
        <v>0.17650468238649214</v>
      </c>
      <c r="O7731">
        <v>0.26635674866086728</v>
      </c>
      <c r="P7731">
        <v>0.26727433551933721</v>
      </c>
    </row>
    <row r="7732" spans="13:16">
      <c r="M7732">
        <v>0.28606493690563062</v>
      </c>
      <c r="N7732">
        <v>0.20992426214010465</v>
      </c>
      <c r="O7732">
        <v>0.23338349291169083</v>
      </c>
      <c r="P7732">
        <v>0.27062730804257401</v>
      </c>
    </row>
    <row r="7733" spans="13:16">
      <c r="M7733">
        <v>0.29322594170127236</v>
      </c>
      <c r="N7733">
        <v>0.19223054540966583</v>
      </c>
      <c r="O7733">
        <v>0.23550885399008548</v>
      </c>
      <c r="P7733">
        <v>0.27903465889897644</v>
      </c>
    </row>
    <row r="7734" spans="13:16">
      <c r="M7734">
        <v>0.27639299334531742</v>
      </c>
      <c r="N7734">
        <v>0.17069715709321381</v>
      </c>
      <c r="O7734">
        <v>0.30069908527283279</v>
      </c>
      <c r="P7734">
        <v>0.25221076428863609</v>
      </c>
    </row>
    <row r="7735" spans="13:16">
      <c r="M7735">
        <v>0.31502856543590468</v>
      </c>
      <c r="N7735">
        <v>0.18339531929608602</v>
      </c>
      <c r="O7735">
        <v>0.2127272612695964</v>
      </c>
      <c r="P7735">
        <v>0.28884885399841276</v>
      </c>
    </row>
    <row r="7736" spans="13:16">
      <c r="M7736">
        <v>0.3023274958638893</v>
      </c>
      <c r="N7736">
        <v>0.19517587694580679</v>
      </c>
      <c r="O7736">
        <v>0.22820468517762446</v>
      </c>
      <c r="P7736">
        <v>0.27429194201267937</v>
      </c>
    </row>
    <row r="7737" spans="13:16">
      <c r="M7737">
        <v>0.27211750155768022</v>
      </c>
      <c r="N7737">
        <v>0.19186729387918056</v>
      </c>
      <c r="O7737">
        <v>0.2639603511750177</v>
      </c>
      <c r="P7737">
        <v>0.27205485338812141</v>
      </c>
    </row>
    <row r="7738" spans="13:16">
      <c r="M7738">
        <v>0.27832981147812713</v>
      </c>
      <c r="N7738">
        <v>0.19280276994380349</v>
      </c>
      <c r="O7738">
        <v>0.25472536619733416</v>
      </c>
      <c r="P7738">
        <v>0.27414205238073525</v>
      </c>
    </row>
    <row r="7739" spans="13:16">
      <c r="M7739">
        <v>0.28854193295114428</v>
      </c>
      <c r="N7739">
        <v>0.18589335474357749</v>
      </c>
      <c r="O7739">
        <v>0.2584306127629114</v>
      </c>
      <c r="P7739">
        <v>0.26713409954236683</v>
      </c>
    </row>
    <row r="7740" spans="13:16">
      <c r="M7740">
        <v>0.28885007692428921</v>
      </c>
      <c r="N7740">
        <v>0.17514974764754854</v>
      </c>
      <c r="O7740">
        <v>0.28654199189558544</v>
      </c>
      <c r="P7740">
        <v>0.24945818353257698</v>
      </c>
    </row>
    <row r="7741" spans="13:16">
      <c r="M7741">
        <v>0.26554452351986974</v>
      </c>
      <c r="N7741">
        <v>0.19229738478316852</v>
      </c>
      <c r="O7741">
        <v>0.27196875378371527</v>
      </c>
      <c r="P7741">
        <v>0.27018933791324651</v>
      </c>
    </row>
    <row r="7742" spans="13:16">
      <c r="M7742">
        <v>0.28030884531302069</v>
      </c>
      <c r="N7742">
        <v>0.19126967213151283</v>
      </c>
      <c r="O7742">
        <v>0.24693914655063806</v>
      </c>
      <c r="P7742">
        <v>0.28148233600482847</v>
      </c>
    </row>
    <row r="7743" spans="13:16">
      <c r="M7743">
        <v>0.29845342329368041</v>
      </c>
      <c r="N7743">
        <v>0.17533118149524196</v>
      </c>
      <c r="O7743">
        <v>0.26357495452712842</v>
      </c>
      <c r="P7743">
        <v>0.26264044068394915</v>
      </c>
    </row>
    <row r="7744" spans="13:16">
      <c r="M7744">
        <v>0.31565467487226828</v>
      </c>
      <c r="N7744">
        <v>0.17838261609969192</v>
      </c>
      <c r="O7744">
        <v>0.23579351685857228</v>
      </c>
      <c r="P7744">
        <v>0.27016919216946755</v>
      </c>
    </row>
    <row r="7745" spans="13:16">
      <c r="M7745">
        <v>0.31686814739954561</v>
      </c>
      <c r="N7745">
        <v>0.19379119888082011</v>
      </c>
      <c r="O7745">
        <v>0.22934259215771269</v>
      </c>
      <c r="P7745">
        <v>0.25999806156192151</v>
      </c>
    </row>
    <row r="7746" spans="13:16">
      <c r="M7746">
        <v>0.28374517724168719</v>
      </c>
      <c r="N7746">
        <v>0.16921978670853766</v>
      </c>
      <c r="O7746">
        <v>0.28810736211938803</v>
      </c>
      <c r="P7746">
        <v>0.25892767393038713</v>
      </c>
    </row>
    <row r="7747" spans="13:16">
      <c r="M7747">
        <v>0.28880888826533335</v>
      </c>
      <c r="N7747">
        <v>0.16712976306741284</v>
      </c>
      <c r="O7747">
        <v>0.29518485448281112</v>
      </c>
      <c r="P7747">
        <v>0.24887649418444266</v>
      </c>
    </row>
    <row r="7748" spans="13:16">
      <c r="M7748">
        <v>0.26761971846145055</v>
      </c>
      <c r="N7748">
        <v>0.20279539678606734</v>
      </c>
      <c r="O7748">
        <v>0.27579715796973397</v>
      </c>
      <c r="P7748">
        <v>0.25378772678274814</v>
      </c>
    </row>
    <row r="7749" spans="13:16">
      <c r="M7749">
        <v>0.30539312504615079</v>
      </c>
      <c r="N7749">
        <v>0.19709042125121384</v>
      </c>
      <c r="O7749">
        <v>0.20510568435167506</v>
      </c>
      <c r="P7749">
        <v>0.29241076935096028</v>
      </c>
    </row>
    <row r="7750" spans="13:16">
      <c r="M7750">
        <v>0.30104183753956659</v>
      </c>
      <c r="N7750">
        <v>0.16890503689693137</v>
      </c>
      <c r="O7750">
        <v>0.27279916402107657</v>
      </c>
      <c r="P7750">
        <v>0.25725396154242547</v>
      </c>
    </row>
    <row r="7751" spans="13:16">
      <c r="M7751">
        <v>0.30963817892174433</v>
      </c>
      <c r="N7751">
        <v>0.18243394053562825</v>
      </c>
      <c r="O7751">
        <v>0.26317011893854969</v>
      </c>
      <c r="P7751">
        <v>0.24475776160407772</v>
      </c>
    </row>
    <row r="7752" spans="13:16">
      <c r="M7752">
        <v>0.25565979901721742</v>
      </c>
      <c r="N7752">
        <v>0.20226360966247475</v>
      </c>
      <c r="O7752">
        <v>0.28440700659358886</v>
      </c>
      <c r="P7752">
        <v>0.25766958472671886</v>
      </c>
    </row>
    <row r="7753" spans="13:16">
      <c r="M7753">
        <v>0.30308496216854708</v>
      </c>
      <c r="N7753">
        <v>0.19060628710921995</v>
      </c>
      <c r="O7753">
        <v>0.24589131454342184</v>
      </c>
      <c r="P7753">
        <v>0.26041743617881102</v>
      </c>
    </row>
    <row r="7754" spans="13:16">
      <c r="M7754">
        <v>0.27437547933985984</v>
      </c>
      <c r="N7754">
        <v>0.18090093230174389</v>
      </c>
      <c r="O7754">
        <v>0.27849405558513946</v>
      </c>
      <c r="P7754">
        <v>0.26622953277325678</v>
      </c>
    </row>
    <row r="7755" spans="13:16">
      <c r="M7755">
        <v>0.30439825987935398</v>
      </c>
      <c r="N7755">
        <v>0.19282662906540618</v>
      </c>
      <c r="O7755">
        <v>0.23504532832504824</v>
      </c>
      <c r="P7755">
        <v>0.26772978273019149</v>
      </c>
    </row>
    <row r="7756" spans="13:16">
      <c r="M7756">
        <v>0.29491107568404346</v>
      </c>
      <c r="N7756">
        <v>0.18661700433479578</v>
      </c>
      <c r="O7756">
        <v>0.25561180093288932</v>
      </c>
      <c r="P7756">
        <v>0.2628601190482715</v>
      </c>
    </row>
    <row r="7757" spans="13:16">
      <c r="M7757">
        <v>0.26789714500050044</v>
      </c>
      <c r="N7757">
        <v>0.20168008594905676</v>
      </c>
      <c r="O7757">
        <v>0.27405723331271203</v>
      </c>
      <c r="P7757">
        <v>0.25636553573773069</v>
      </c>
    </row>
    <row r="7758" spans="13:16">
      <c r="M7758">
        <v>0.29038137826800031</v>
      </c>
      <c r="N7758">
        <v>0.20367204389582316</v>
      </c>
      <c r="O7758">
        <v>0.24238573516930892</v>
      </c>
      <c r="P7758">
        <v>0.26356084266686769</v>
      </c>
    </row>
    <row r="7759" spans="13:16">
      <c r="M7759">
        <v>0.34583750779523403</v>
      </c>
      <c r="N7759">
        <v>0.16156825154844365</v>
      </c>
      <c r="O7759">
        <v>0.23290581873142877</v>
      </c>
      <c r="P7759">
        <v>0.25968842192489355</v>
      </c>
    </row>
    <row r="7760" spans="13:16">
      <c r="M7760">
        <v>0.31179269625168976</v>
      </c>
      <c r="N7760">
        <v>0.15315405994580431</v>
      </c>
      <c r="O7760">
        <v>0.30094571733218034</v>
      </c>
      <c r="P7760">
        <v>0.23410752647032559</v>
      </c>
    </row>
    <row r="7761" spans="13:16">
      <c r="M7761">
        <v>0.28630300163169431</v>
      </c>
      <c r="N7761">
        <v>0.18719998780100275</v>
      </c>
      <c r="O7761">
        <v>0.2483376903743674</v>
      </c>
      <c r="P7761">
        <v>0.27815932019293566</v>
      </c>
    </row>
    <row r="7762" spans="13:16">
      <c r="M7762">
        <v>0.28526835301767028</v>
      </c>
      <c r="N7762">
        <v>0.18916499713136883</v>
      </c>
      <c r="O7762">
        <v>0.26729815070232271</v>
      </c>
      <c r="P7762">
        <v>0.25826849914863825</v>
      </c>
    </row>
    <row r="7763" spans="13:16">
      <c r="M7763">
        <v>0.28931495791848183</v>
      </c>
      <c r="N7763">
        <v>0.17730839311260707</v>
      </c>
      <c r="O7763">
        <v>0.28043012676359047</v>
      </c>
      <c r="P7763">
        <v>0.25294652220532066</v>
      </c>
    </row>
    <row r="7764" spans="13:16">
      <c r="M7764">
        <v>0.28267697568955158</v>
      </c>
      <c r="N7764">
        <v>0.17562228078570166</v>
      </c>
      <c r="O7764">
        <v>0.2936026771473933</v>
      </c>
      <c r="P7764">
        <v>0.24809806637735329</v>
      </c>
    </row>
    <row r="7765" spans="13:16">
      <c r="M7765">
        <v>0.3064105757192811</v>
      </c>
      <c r="N7765">
        <v>0.18026350263017807</v>
      </c>
      <c r="O7765">
        <v>0.24393188891421791</v>
      </c>
      <c r="P7765">
        <v>0.26939403273632284</v>
      </c>
    </row>
    <row r="7766" spans="13:16">
      <c r="M7766">
        <v>0.27125417532903795</v>
      </c>
      <c r="N7766">
        <v>0.19711135641835531</v>
      </c>
      <c r="O7766">
        <v>0.26074053574949146</v>
      </c>
      <c r="P7766">
        <v>0.27089393250311522</v>
      </c>
    </row>
    <row r="7767" spans="13:16">
      <c r="M7767">
        <v>0.28708579797006933</v>
      </c>
      <c r="N7767">
        <v>0.1846493905991913</v>
      </c>
      <c r="O7767">
        <v>0.2669188167613798</v>
      </c>
      <c r="P7767">
        <v>0.26134599466935959</v>
      </c>
    </row>
    <row r="7768" spans="13:16">
      <c r="M7768">
        <v>0.29730715576204236</v>
      </c>
      <c r="N7768">
        <v>0.1923266609637822</v>
      </c>
      <c r="O7768">
        <v>0.23856045444703941</v>
      </c>
      <c r="P7768">
        <v>0.27180572882713594</v>
      </c>
    </row>
    <row r="7769" spans="13:16">
      <c r="M7769">
        <v>0.31237617640802423</v>
      </c>
      <c r="N7769">
        <v>0.17493116638161962</v>
      </c>
      <c r="O7769">
        <v>0.25113598377122004</v>
      </c>
      <c r="P7769">
        <v>0.26155667343913619</v>
      </c>
    </row>
    <row r="7770" spans="13:16">
      <c r="M7770">
        <v>0.27929296653239172</v>
      </c>
      <c r="N7770">
        <v>0.17119501251188604</v>
      </c>
      <c r="O7770">
        <v>0.29142787817440907</v>
      </c>
      <c r="P7770">
        <v>0.25808414278131325</v>
      </c>
    </row>
    <row r="7771" spans="13:16">
      <c r="M7771">
        <v>0.29800059066092049</v>
      </c>
      <c r="N7771">
        <v>0.16902842836424914</v>
      </c>
      <c r="O7771">
        <v>0.28337155633329303</v>
      </c>
      <c r="P7771">
        <v>0.24959942464153737</v>
      </c>
    </row>
    <row r="7772" spans="13:16">
      <c r="M7772">
        <v>0.27156320692644514</v>
      </c>
      <c r="N7772">
        <v>0.19441489071474902</v>
      </c>
      <c r="O7772">
        <v>0.26116910686676309</v>
      </c>
      <c r="P7772">
        <v>0.27285279549204278</v>
      </c>
    </row>
    <row r="7773" spans="13:16">
      <c r="M7773">
        <v>0.29793812421245808</v>
      </c>
      <c r="N7773">
        <v>0.18848372560210827</v>
      </c>
      <c r="O7773">
        <v>0.26221864318991217</v>
      </c>
      <c r="P7773">
        <v>0.25135950699552145</v>
      </c>
    </row>
    <row r="7774" spans="13:16">
      <c r="M7774">
        <v>0.28356166830624496</v>
      </c>
      <c r="N7774">
        <v>0.17284913610911345</v>
      </c>
      <c r="O7774">
        <v>0.27653798897966619</v>
      </c>
      <c r="P7774">
        <v>0.26705120660497533</v>
      </c>
    </row>
    <row r="7775" spans="13:16">
      <c r="M7775">
        <v>0.28348486381450921</v>
      </c>
      <c r="N7775">
        <v>0.17888217791844138</v>
      </c>
      <c r="O7775">
        <v>0.29809823664091245</v>
      </c>
      <c r="P7775">
        <v>0.23953472162613706</v>
      </c>
    </row>
    <row r="7776" spans="13:16">
      <c r="M7776">
        <v>0.2925775225092247</v>
      </c>
      <c r="N7776">
        <v>0.17340459922525403</v>
      </c>
      <c r="O7776">
        <v>0.26779873073226529</v>
      </c>
      <c r="P7776">
        <v>0.26621914753325598</v>
      </c>
    </row>
    <row r="7777" spans="13:16">
      <c r="M7777">
        <v>0.31258182299250742</v>
      </c>
      <c r="N7777">
        <v>0.17356923291285065</v>
      </c>
      <c r="O7777">
        <v>0.24864096174341399</v>
      </c>
      <c r="P7777">
        <v>0.26520798235122811</v>
      </c>
    </row>
    <row r="7778" spans="13:16">
      <c r="M7778">
        <v>0.27556375786052106</v>
      </c>
      <c r="N7778">
        <v>0.16476484714321271</v>
      </c>
      <c r="O7778">
        <v>0.31273539740022904</v>
      </c>
      <c r="P7778">
        <v>0.24693599759603732</v>
      </c>
    </row>
    <row r="7779" spans="13:16">
      <c r="M7779">
        <v>0.28741176926071804</v>
      </c>
      <c r="N7779">
        <v>0.1774235668463239</v>
      </c>
      <c r="O7779">
        <v>0.26534339715469873</v>
      </c>
      <c r="P7779">
        <v>0.26982126673825935</v>
      </c>
    </row>
    <row r="7780" spans="13:16">
      <c r="M7780">
        <v>0.25846679513009124</v>
      </c>
      <c r="N7780">
        <v>0.20017541510730205</v>
      </c>
      <c r="O7780">
        <v>0.27052783123204832</v>
      </c>
      <c r="P7780">
        <v>0.27082995853055836</v>
      </c>
    </row>
    <row r="7781" spans="13:16">
      <c r="M7781">
        <v>0.276697998575201</v>
      </c>
      <c r="N7781">
        <v>0.18383540314998495</v>
      </c>
      <c r="O7781">
        <v>0.26163038530654903</v>
      </c>
      <c r="P7781">
        <v>0.27783621296826494</v>
      </c>
    </row>
    <row r="7782" spans="13:16">
      <c r="M7782">
        <v>0.30661439090647818</v>
      </c>
      <c r="N7782">
        <v>0.1765698354264871</v>
      </c>
      <c r="O7782">
        <v>0.25790049002241161</v>
      </c>
      <c r="P7782">
        <v>0.25891528364462307</v>
      </c>
    </row>
    <row r="7783" spans="13:16">
      <c r="M7783">
        <v>0.27007252562463807</v>
      </c>
      <c r="N7783">
        <v>0.18880550266552312</v>
      </c>
      <c r="O7783">
        <v>0.27733585312085979</v>
      </c>
      <c r="P7783">
        <v>0.26378611858897894</v>
      </c>
    </row>
    <row r="7784" spans="13:16">
      <c r="M7784">
        <v>0.27434592179265088</v>
      </c>
      <c r="N7784">
        <v>0.20126646109509261</v>
      </c>
      <c r="O7784">
        <v>0.25877579486369751</v>
      </c>
      <c r="P7784">
        <v>0.26561182224855895</v>
      </c>
    </row>
    <row r="7785" spans="13:16">
      <c r="M7785">
        <v>0.26056275128900408</v>
      </c>
      <c r="N7785">
        <v>0.18060726671222982</v>
      </c>
      <c r="O7785">
        <v>0.29724768892922354</v>
      </c>
      <c r="P7785">
        <v>0.26158229306954267</v>
      </c>
    </row>
    <row r="7786" spans="13:16">
      <c r="M7786">
        <v>0.30967852021740327</v>
      </c>
      <c r="N7786">
        <v>0.17932603962303836</v>
      </c>
      <c r="O7786">
        <v>0.24742704047546518</v>
      </c>
      <c r="P7786">
        <v>0.26356839968409307</v>
      </c>
    </row>
    <row r="7787" spans="13:16">
      <c r="M7787">
        <v>0.29932057664804207</v>
      </c>
      <c r="N7787">
        <v>0.18628946674679001</v>
      </c>
      <c r="O7787">
        <v>0.23342418326384573</v>
      </c>
      <c r="P7787">
        <v>0.28096577334132228</v>
      </c>
    </row>
    <row r="7788" spans="13:16">
      <c r="M7788">
        <v>0.29261931135937985</v>
      </c>
      <c r="N7788">
        <v>0.18835046624198534</v>
      </c>
      <c r="O7788">
        <v>0.26790568007712073</v>
      </c>
      <c r="P7788">
        <v>0.25112454232151415</v>
      </c>
    </row>
    <row r="7789" spans="13:16">
      <c r="M7789">
        <v>0.3116624017499367</v>
      </c>
      <c r="N7789">
        <v>0.17436271363578873</v>
      </c>
      <c r="O7789">
        <v>0.25329368212840087</v>
      </c>
      <c r="P7789">
        <v>0.26068120248587362</v>
      </c>
    </row>
    <row r="7790" spans="13:16">
      <c r="M7790">
        <v>0.25616301400078262</v>
      </c>
      <c r="N7790">
        <v>0.20710333667127098</v>
      </c>
      <c r="O7790">
        <v>0.26947203403583503</v>
      </c>
      <c r="P7790">
        <v>0.26726161529211123</v>
      </c>
    </row>
    <row r="7791" spans="13:16">
      <c r="M7791">
        <v>0.28651383642861727</v>
      </c>
      <c r="N7791">
        <v>0.18437178577530164</v>
      </c>
      <c r="O7791">
        <v>0.26952202521363949</v>
      </c>
      <c r="P7791">
        <v>0.25959235258244162</v>
      </c>
    </row>
    <row r="7792" spans="13:16">
      <c r="M7792">
        <v>0.29713648104675433</v>
      </c>
      <c r="N7792">
        <v>0.18310428833054349</v>
      </c>
      <c r="O7792">
        <v>0.24373136189357769</v>
      </c>
      <c r="P7792">
        <v>0.27602786872912455</v>
      </c>
    </row>
    <row r="7793" spans="13:16">
      <c r="M7793">
        <v>0.28424980259526722</v>
      </c>
      <c r="N7793">
        <v>0.16810899245057803</v>
      </c>
      <c r="O7793">
        <v>0.29487723599410831</v>
      </c>
      <c r="P7793">
        <v>0.25276396896004655</v>
      </c>
    </row>
    <row r="7794" spans="13:16">
      <c r="M7794">
        <v>0.31894644218880291</v>
      </c>
      <c r="N7794">
        <v>0.17124198071905622</v>
      </c>
      <c r="O7794">
        <v>0.23008814761501956</v>
      </c>
      <c r="P7794">
        <v>0.2797234294771212</v>
      </c>
    </row>
    <row r="7795" spans="13:16">
      <c r="M7795">
        <v>0.28471838578053443</v>
      </c>
      <c r="N7795">
        <v>0.18743450769748862</v>
      </c>
      <c r="O7795">
        <v>0.27434802399165598</v>
      </c>
      <c r="P7795">
        <v>0.253499082530321</v>
      </c>
    </row>
    <row r="7796" spans="13:16">
      <c r="M7796">
        <v>0.30228750736249677</v>
      </c>
      <c r="N7796">
        <v>0.16277582439769345</v>
      </c>
      <c r="O7796">
        <v>0.28562803681122201</v>
      </c>
      <c r="P7796">
        <v>0.24930863142858778</v>
      </c>
    </row>
    <row r="7797" spans="13:16">
      <c r="M7797">
        <v>0.29853570464710871</v>
      </c>
      <c r="N7797">
        <v>0.17305941641994479</v>
      </c>
      <c r="O7797">
        <v>0.28491732961910532</v>
      </c>
      <c r="P7797">
        <v>0.24348754931384123</v>
      </c>
    </row>
    <row r="7798" spans="13:16">
      <c r="M7798">
        <v>0.29382283775101731</v>
      </c>
      <c r="N7798">
        <v>0.18291422747397068</v>
      </c>
      <c r="O7798">
        <v>0.27024727451659875</v>
      </c>
      <c r="P7798">
        <v>0.25301566025841332</v>
      </c>
    </row>
    <row r="7799" spans="13:16">
      <c r="M7799">
        <v>0.29417703194517419</v>
      </c>
      <c r="N7799">
        <v>0.20398948057733576</v>
      </c>
      <c r="O7799">
        <v>0.22412430802699668</v>
      </c>
      <c r="P7799">
        <v>0.27770917945049345</v>
      </c>
    </row>
    <row r="7800" spans="13:16">
      <c r="M7800">
        <v>0.30476894932128989</v>
      </c>
      <c r="N7800">
        <v>0.1777541466765474</v>
      </c>
      <c r="O7800">
        <v>0.25976003974870177</v>
      </c>
      <c r="P7800">
        <v>0.25771686425346108</v>
      </c>
    </row>
    <row r="7801" spans="13:16">
      <c r="M7801">
        <v>0.28180508165801404</v>
      </c>
      <c r="N7801">
        <v>0.20251632597054825</v>
      </c>
      <c r="O7801">
        <v>0.24567671096516927</v>
      </c>
      <c r="P7801">
        <v>0.27000188140626846</v>
      </c>
    </row>
    <row r="7802" spans="13:16">
      <c r="M7802">
        <v>0.31640604865763894</v>
      </c>
      <c r="N7802">
        <v>0.17529454475052134</v>
      </c>
      <c r="O7802">
        <v>0.2419876134100967</v>
      </c>
      <c r="P7802">
        <v>0.26631179318174303</v>
      </c>
    </row>
    <row r="7803" spans="13:16">
      <c r="M7803">
        <v>0.27309051665575201</v>
      </c>
      <c r="N7803">
        <v>0.19228992233731723</v>
      </c>
      <c r="O7803">
        <v>0.25603383705231586</v>
      </c>
      <c r="P7803">
        <v>0.27858572395461489</v>
      </c>
    </row>
    <row r="7804" spans="13:16">
      <c r="M7804">
        <v>0.28111463148189741</v>
      </c>
      <c r="N7804">
        <v>0.18304561613406947</v>
      </c>
      <c r="O7804">
        <v>0.25216263146743206</v>
      </c>
      <c r="P7804">
        <v>0.28367712091660108</v>
      </c>
    </row>
    <row r="7805" spans="13:16">
      <c r="M7805">
        <v>0.29620325715106866</v>
      </c>
      <c r="N7805">
        <v>0.18515166770947733</v>
      </c>
      <c r="O7805">
        <v>0.22496093611542023</v>
      </c>
      <c r="P7805">
        <v>0.29368413902403379</v>
      </c>
    </row>
    <row r="7806" spans="13:16">
      <c r="M7806">
        <v>0.27177214453357462</v>
      </c>
      <c r="N7806">
        <v>0.18680937530658623</v>
      </c>
      <c r="O7806">
        <v>0.27708403226741812</v>
      </c>
      <c r="P7806">
        <v>0.264334447892421</v>
      </c>
    </row>
    <row r="7807" spans="13:16">
      <c r="M7807">
        <v>0.30179402141094325</v>
      </c>
      <c r="N7807">
        <v>0.17749747108190317</v>
      </c>
      <c r="O7807">
        <v>0.24516636767748581</v>
      </c>
      <c r="P7807">
        <v>0.2755421398296678</v>
      </c>
    </row>
    <row r="7808" spans="13:16">
      <c r="M7808">
        <v>0.27242664423692525</v>
      </c>
      <c r="N7808">
        <v>0.18326873304138205</v>
      </c>
      <c r="O7808">
        <v>0.28414290581601132</v>
      </c>
      <c r="P7808">
        <v>0.2601617169056813</v>
      </c>
    </row>
    <row r="7809" spans="13:16">
      <c r="M7809">
        <v>0.29910050374772756</v>
      </c>
      <c r="N7809">
        <v>0.16569938024058992</v>
      </c>
      <c r="O7809">
        <v>0.28745205993138395</v>
      </c>
      <c r="P7809">
        <v>0.24774805608029846</v>
      </c>
    </row>
    <row r="7810" spans="13:16">
      <c r="M7810">
        <v>0.2986488887595638</v>
      </c>
      <c r="N7810">
        <v>0.18680830867921711</v>
      </c>
      <c r="O7810">
        <v>0.25448219227566227</v>
      </c>
      <c r="P7810">
        <v>0.26006061028555666</v>
      </c>
    </row>
    <row r="7811" spans="13:16">
      <c r="M7811">
        <v>0.295592909474992</v>
      </c>
      <c r="N7811">
        <v>0.18994282815696714</v>
      </c>
      <c r="O7811">
        <v>0.26002353619086055</v>
      </c>
      <c r="P7811">
        <v>0.25444072617718028</v>
      </c>
    </row>
    <row r="7812" spans="13:16">
      <c r="M7812">
        <v>0.26663575467620243</v>
      </c>
      <c r="N7812">
        <v>0.2022163565704663</v>
      </c>
      <c r="O7812">
        <v>0.26952538654443325</v>
      </c>
      <c r="P7812">
        <v>0.26162250220889804</v>
      </c>
    </row>
    <row r="7813" spans="13:16">
      <c r="M7813">
        <v>0.27818566752258533</v>
      </c>
      <c r="N7813">
        <v>0.2012933991251192</v>
      </c>
      <c r="O7813">
        <v>0.24595413736351809</v>
      </c>
      <c r="P7813">
        <v>0.2745667959887772</v>
      </c>
    </row>
    <row r="7814" spans="13:16">
      <c r="M7814">
        <v>0.28618476113232461</v>
      </c>
      <c r="N7814">
        <v>0.17802498077352613</v>
      </c>
      <c r="O7814">
        <v>0.27420961434031987</v>
      </c>
      <c r="P7814">
        <v>0.2615806437538295</v>
      </c>
    </row>
    <row r="7815" spans="13:16">
      <c r="M7815">
        <v>0.31028455462488536</v>
      </c>
      <c r="N7815">
        <v>0.16015253126007201</v>
      </c>
      <c r="O7815">
        <v>0.28650435905550548</v>
      </c>
      <c r="P7815">
        <v>0.24305855505953725</v>
      </c>
    </row>
    <row r="7816" spans="13:16">
      <c r="M7816">
        <v>0.30220079087125401</v>
      </c>
      <c r="N7816">
        <v>0.18785770182340247</v>
      </c>
      <c r="O7816">
        <v>0.26049422017054841</v>
      </c>
      <c r="P7816">
        <v>0.24944728713479511</v>
      </c>
    </row>
    <row r="7817" spans="13:16">
      <c r="M7817">
        <v>0.28333750302659966</v>
      </c>
      <c r="N7817">
        <v>0.1735469708939496</v>
      </c>
      <c r="O7817">
        <v>0.2807367791992455</v>
      </c>
      <c r="P7817">
        <v>0.2623787468802054</v>
      </c>
    </row>
    <row r="7818" spans="13:16">
      <c r="M7818">
        <v>0.26240672202465865</v>
      </c>
      <c r="N7818">
        <v>0.18875553187732452</v>
      </c>
      <c r="O7818">
        <v>0.28891816549003813</v>
      </c>
      <c r="P7818">
        <v>0.25991958060797871</v>
      </c>
    </row>
    <row r="7819" spans="13:16">
      <c r="M7819">
        <v>0.28038628366572427</v>
      </c>
      <c r="N7819">
        <v>0.186717177386581</v>
      </c>
      <c r="O7819">
        <v>0.25781098667195196</v>
      </c>
      <c r="P7819">
        <v>0.27508555227574283</v>
      </c>
    </row>
    <row r="7820" spans="13:16">
      <c r="M7820">
        <v>0.27653591205562417</v>
      </c>
      <c r="N7820">
        <v>0.18967572229011698</v>
      </c>
      <c r="O7820">
        <v>0.25418401392555701</v>
      </c>
      <c r="P7820">
        <v>0.27960435172870179</v>
      </c>
    </row>
    <row r="7821" spans="13:16">
      <c r="M7821">
        <v>0.28447621762249137</v>
      </c>
      <c r="N7821">
        <v>0.16635697075071809</v>
      </c>
      <c r="O7821">
        <v>0.29743105923359769</v>
      </c>
      <c r="P7821">
        <v>0.25173575239319285</v>
      </c>
    </row>
    <row r="7822" spans="13:16">
      <c r="M7822">
        <v>0.28177612308945316</v>
      </c>
      <c r="N7822">
        <v>0.20236059746366966</v>
      </c>
      <c r="O7822">
        <v>0.23505117620970239</v>
      </c>
      <c r="P7822">
        <v>0.2808121032371747</v>
      </c>
    </row>
    <row r="7823" spans="13:16">
      <c r="M7823">
        <v>0.31049849778876687</v>
      </c>
      <c r="N7823">
        <v>0.19316725217576602</v>
      </c>
      <c r="O7823">
        <v>0.22231499047396844</v>
      </c>
      <c r="P7823">
        <v>0.27401925956149875</v>
      </c>
    </row>
    <row r="7824" spans="13:16">
      <c r="M7824">
        <v>0.27653678865427495</v>
      </c>
      <c r="N7824">
        <v>0.19490305698670227</v>
      </c>
      <c r="O7824">
        <v>0.24077980221252393</v>
      </c>
      <c r="P7824">
        <v>0.28778035214649872</v>
      </c>
    </row>
    <row r="7825" spans="13:16">
      <c r="M7825">
        <v>0.27593611757391834</v>
      </c>
      <c r="N7825">
        <v>0.2041503701661542</v>
      </c>
      <c r="O7825">
        <v>0.24784552035216975</v>
      </c>
      <c r="P7825">
        <v>0.27206799190775777</v>
      </c>
    </row>
    <row r="7826" spans="13:16">
      <c r="M7826">
        <v>0.30497323433957868</v>
      </c>
      <c r="N7826">
        <v>0.16772165642918799</v>
      </c>
      <c r="O7826">
        <v>0.28530446885991817</v>
      </c>
      <c r="P7826">
        <v>0.24200064037131522</v>
      </c>
    </row>
    <row r="7827" spans="13:16">
      <c r="M7827">
        <v>0.30823500592162317</v>
      </c>
      <c r="N7827">
        <v>0.17669571656788022</v>
      </c>
      <c r="O7827">
        <v>0.25971746566676968</v>
      </c>
      <c r="P7827">
        <v>0.25535181184372696</v>
      </c>
    </row>
    <row r="7828" spans="13:16">
      <c r="M7828">
        <v>0.29188500505428439</v>
      </c>
      <c r="N7828">
        <v>0.18811852622397018</v>
      </c>
      <c r="O7828">
        <v>0.27565959331018652</v>
      </c>
      <c r="P7828">
        <v>0.24433687541155896</v>
      </c>
    </row>
    <row r="7829" spans="13:16">
      <c r="M7829">
        <v>0.26985692526107163</v>
      </c>
      <c r="N7829">
        <v>0.18202284564589344</v>
      </c>
      <c r="O7829">
        <v>0.27302659148017128</v>
      </c>
      <c r="P7829">
        <v>0.27509363761286371</v>
      </c>
    </row>
    <row r="7830" spans="13:16">
      <c r="M7830">
        <v>0.27215861870800578</v>
      </c>
      <c r="N7830">
        <v>0.17412922037223277</v>
      </c>
      <c r="O7830">
        <v>0.2966368483580839</v>
      </c>
      <c r="P7830">
        <v>0.25707531256167748</v>
      </c>
    </row>
    <row r="7831" spans="13:16">
      <c r="M7831">
        <v>0.29480875853028865</v>
      </c>
      <c r="N7831">
        <v>0.18324300423032408</v>
      </c>
      <c r="O7831">
        <v>0.25942253945902816</v>
      </c>
      <c r="P7831">
        <v>0.26252569778035906</v>
      </c>
    </row>
    <row r="7832" spans="13:16">
      <c r="M7832">
        <v>0.2844577284701918</v>
      </c>
      <c r="N7832">
        <v>0.1815919970001659</v>
      </c>
      <c r="O7832">
        <v>0.28459999568706451</v>
      </c>
      <c r="P7832">
        <v>0.24935027884257785</v>
      </c>
    </row>
    <row r="7833" spans="13:16">
      <c r="M7833">
        <v>0.31202650282129313</v>
      </c>
      <c r="N7833">
        <v>0.20136127363129885</v>
      </c>
      <c r="O7833">
        <v>0.23808688788866703</v>
      </c>
      <c r="P7833">
        <v>0.24852533565874096</v>
      </c>
    </row>
    <row r="7834" spans="13:16">
      <c r="M7834">
        <v>0.30930294469954511</v>
      </c>
      <c r="N7834">
        <v>0.17757077596359197</v>
      </c>
      <c r="O7834">
        <v>0.24816919556792461</v>
      </c>
      <c r="P7834">
        <v>0.26495708376893828</v>
      </c>
    </row>
    <row r="7835" spans="13:16">
      <c r="M7835">
        <v>0.2861576232281966</v>
      </c>
      <c r="N7835">
        <v>0.20543096474543882</v>
      </c>
      <c r="O7835">
        <v>0.22759500201633887</v>
      </c>
      <c r="P7835">
        <v>0.28081641001002577</v>
      </c>
    </row>
    <row r="7836" spans="13:16">
      <c r="M7836">
        <v>0.27098073687231206</v>
      </c>
      <c r="N7836">
        <v>0.19325690408432653</v>
      </c>
      <c r="O7836">
        <v>0.26719443499942425</v>
      </c>
      <c r="P7836">
        <v>0.26856792404393703</v>
      </c>
    </row>
    <row r="7837" spans="13:16">
      <c r="M7837">
        <v>0.28812208333762018</v>
      </c>
      <c r="N7837">
        <v>0.18560562788477128</v>
      </c>
      <c r="O7837">
        <v>0.26512621528198865</v>
      </c>
      <c r="P7837">
        <v>0.2611460734956198</v>
      </c>
    </row>
    <row r="7838" spans="13:16">
      <c r="M7838">
        <v>0.28331717210495166</v>
      </c>
      <c r="N7838">
        <v>0.17901724574514818</v>
      </c>
      <c r="O7838">
        <v>0.29019379614770996</v>
      </c>
      <c r="P7838">
        <v>0.24747178600219025</v>
      </c>
    </row>
    <row r="7839" spans="13:16">
      <c r="M7839">
        <v>0.30063042562386627</v>
      </c>
      <c r="N7839">
        <v>0.19630287514409092</v>
      </c>
      <c r="O7839">
        <v>0.24081743002873449</v>
      </c>
      <c r="P7839">
        <v>0.26224926920330838</v>
      </c>
    </row>
    <row r="7840" spans="13:16">
      <c r="M7840">
        <v>0.28009198615996705</v>
      </c>
      <c r="N7840">
        <v>0.19623927502200211</v>
      </c>
      <c r="O7840">
        <v>0.24868246025909616</v>
      </c>
      <c r="P7840">
        <v>0.27498627855893465</v>
      </c>
    </row>
    <row r="7841" spans="13:16">
      <c r="M7841">
        <v>0.28058853160281355</v>
      </c>
      <c r="N7841">
        <v>0.21201739880121206</v>
      </c>
      <c r="O7841">
        <v>0.23915285573948117</v>
      </c>
      <c r="P7841">
        <v>0.26824121385649319</v>
      </c>
    </row>
    <row r="7842" spans="13:16">
      <c r="M7842">
        <v>0.29003906176954575</v>
      </c>
      <c r="N7842">
        <v>0.19525418396518437</v>
      </c>
      <c r="O7842">
        <v>0.24221501329627285</v>
      </c>
      <c r="P7842">
        <v>0.27249174096899703</v>
      </c>
    </row>
    <row r="7843" spans="13:16">
      <c r="M7843">
        <v>0.25958747125407133</v>
      </c>
      <c r="N7843">
        <v>0.19159903974883735</v>
      </c>
      <c r="O7843">
        <v>0.28583128843158612</v>
      </c>
      <c r="P7843">
        <v>0.26298220056550531</v>
      </c>
    </row>
    <row r="7844" spans="13:16">
      <c r="M7844">
        <v>0.28644376305319402</v>
      </c>
      <c r="N7844">
        <v>0.18745157828274225</v>
      </c>
      <c r="O7844">
        <v>0.26648656814402771</v>
      </c>
      <c r="P7844">
        <v>0.25961809052003609</v>
      </c>
    </row>
    <row r="7845" spans="13:16">
      <c r="M7845">
        <v>0.27752157822485407</v>
      </c>
      <c r="N7845">
        <v>0.20538226370992008</v>
      </c>
      <c r="O7845">
        <v>0.23668565064798594</v>
      </c>
      <c r="P7845">
        <v>0.28041050741723994</v>
      </c>
    </row>
    <row r="7846" spans="13:16">
      <c r="M7846">
        <v>0.3035647276253588</v>
      </c>
      <c r="N7846">
        <v>0.17075168103541283</v>
      </c>
      <c r="O7846">
        <v>0.27778369791330781</v>
      </c>
      <c r="P7846">
        <v>0.24789989342592056</v>
      </c>
    </row>
    <row r="7847" spans="13:16">
      <c r="M7847">
        <v>0.29274168121097927</v>
      </c>
      <c r="N7847">
        <v>0.20135340410389591</v>
      </c>
      <c r="O7847">
        <v>0.22921934063904614</v>
      </c>
      <c r="P7847">
        <v>0.27668557404607885</v>
      </c>
    </row>
    <row r="7848" spans="13:16">
      <c r="M7848">
        <v>0.26585076375659827</v>
      </c>
      <c r="N7848">
        <v>0.18192878857474815</v>
      </c>
      <c r="O7848">
        <v>0.27599820630585598</v>
      </c>
      <c r="P7848">
        <v>0.27622224136279749</v>
      </c>
    </row>
    <row r="7849" spans="13:16">
      <c r="M7849">
        <v>0.2951940995191607</v>
      </c>
      <c r="N7849">
        <v>0.20515524145196123</v>
      </c>
      <c r="O7849">
        <v>0.23523106007833353</v>
      </c>
      <c r="P7849">
        <v>0.26441959895054462</v>
      </c>
    </row>
    <row r="7850" spans="13:16">
      <c r="M7850">
        <v>0.30163523186535024</v>
      </c>
      <c r="N7850">
        <v>0.17192458534589636</v>
      </c>
      <c r="O7850">
        <v>0.27527176678323662</v>
      </c>
      <c r="P7850">
        <v>0.25116841600551681</v>
      </c>
    </row>
    <row r="7851" spans="13:16">
      <c r="M7851">
        <v>0.30418776265674069</v>
      </c>
      <c r="N7851">
        <v>0.19497237122565292</v>
      </c>
      <c r="O7851">
        <v>0.22435825651252211</v>
      </c>
      <c r="P7851">
        <v>0.27648160960508433</v>
      </c>
    </row>
    <row r="7852" spans="13:16">
      <c r="M7852">
        <v>0.31219502928419962</v>
      </c>
      <c r="N7852">
        <v>0.18895865516893451</v>
      </c>
      <c r="O7852">
        <v>0.23204232309698236</v>
      </c>
      <c r="P7852">
        <v>0.26680399244988351</v>
      </c>
    </row>
    <row r="7853" spans="13:16">
      <c r="M7853">
        <v>0.28241809317814159</v>
      </c>
      <c r="N7853">
        <v>0.20424008806119087</v>
      </c>
      <c r="O7853">
        <v>0.23289293893019644</v>
      </c>
      <c r="P7853">
        <v>0.28044887983047101</v>
      </c>
    </row>
    <row r="7854" spans="13:16">
      <c r="M7854">
        <v>0.28700233199530123</v>
      </c>
      <c r="N7854">
        <v>0.1757507906890915</v>
      </c>
      <c r="O7854">
        <v>0.28049826404978073</v>
      </c>
      <c r="P7854">
        <v>0.25674861326582654</v>
      </c>
    </row>
    <row r="7855" spans="13:16">
      <c r="M7855">
        <v>0.3187146389220204</v>
      </c>
      <c r="N7855">
        <v>0.16313157029354855</v>
      </c>
      <c r="O7855">
        <v>0.27195480900118296</v>
      </c>
      <c r="P7855">
        <v>0.24619898178324801</v>
      </c>
    </row>
    <row r="7856" spans="13:16">
      <c r="M7856">
        <v>0.29568882874288527</v>
      </c>
      <c r="N7856">
        <v>0.18328330249345806</v>
      </c>
      <c r="O7856">
        <v>0.25534207314680502</v>
      </c>
      <c r="P7856">
        <v>0.26568579561685168</v>
      </c>
    </row>
    <row r="7857" spans="13:16">
      <c r="M7857">
        <v>0.30994480829820559</v>
      </c>
      <c r="N7857">
        <v>0.1976406507145112</v>
      </c>
      <c r="O7857">
        <v>0.21267894703094969</v>
      </c>
      <c r="P7857">
        <v>0.27973559395633357</v>
      </c>
    </row>
    <row r="7858" spans="13:16">
      <c r="M7858">
        <v>0.30983160871630455</v>
      </c>
      <c r="N7858">
        <v>0.17652922254992484</v>
      </c>
      <c r="O7858">
        <v>0.2600626418548318</v>
      </c>
      <c r="P7858">
        <v>0.25357652687893883</v>
      </c>
    </row>
    <row r="7859" spans="13:16">
      <c r="M7859">
        <v>0.3169550412375256</v>
      </c>
      <c r="N7859">
        <v>0.18237010221453298</v>
      </c>
      <c r="O7859">
        <v>0.24067626674225881</v>
      </c>
      <c r="P7859">
        <v>0.25999858980568252</v>
      </c>
    </row>
    <row r="7860" spans="13:16">
      <c r="M7860">
        <v>0.28717700619743941</v>
      </c>
      <c r="N7860">
        <v>0.17723301456853552</v>
      </c>
      <c r="O7860">
        <v>0.28624236249234697</v>
      </c>
      <c r="P7860">
        <v>0.2493476167416781</v>
      </c>
    </row>
    <row r="7861" spans="13:16">
      <c r="M7861">
        <v>0.29944441984495512</v>
      </c>
      <c r="N7861">
        <v>0.16771180035420724</v>
      </c>
      <c r="O7861">
        <v>0.28965001115435307</v>
      </c>
      <c r="P7861">
        <v>0.24319376864648448</v>
      </c>
    </row>
    <row r="7862" spans="13:16">
      <c r="M7862">
        <v>0.27635641085804363</v>
      </c>
      <c r="N7862">
        <v>0.2009999824807536</v>
      </c>
      <c r="O7862">
        <v>0.2627747757401665</v>
      </c>
      <c r="P7862">
        <v>0.25986883092103624</v>
      </c>
    </row>
    <row r="7863" spans="13:16">
      <c r="M7863">
        <v>0.28826340564281738</v>
      </c>
      <c r="N7863">
        <v>0.20120097771749387</v>
      </c>
      <c r="O7863">
        <v>0.25231227697952874</v>
      </c>
      <c r="P7863">
        <v>0.25822333966015981</v>
      </c>
    </row>
    <row r="7864" spans="13:16">
      <c r="M7864">
        <v>0.31959288947654035</v>
      </c>
      <c r="N7864">
        <v>0.17514634314190367</v>
      </c>
      <c r="O7864">
        <v>0.24193771079148446</v>
      </c>
      <c r="P7864">
        <v>0.26332305659007166</v>
      </c>
    </row>
    <row r="7865" spans="13:16">
      <c r="M7865">
        <v>0.26715281269366353</v>
      </c>
      <c r="N7865">
        <v>0.2116191976042566</v>
      </c>
      <c r="O7865">
        <v>0.25061703478097325</v>
      </c>
      <c r="P7865">
        <v>0.27061095492110676</v>
      </c>
    </row>
    <row r="7866" spans="13:16">
      <c r="M7866">
        <v>0.28849212423525095</v>
      </c>
      <c r="N7866">
        <v>0.18972007195901788</v>
      </c>
      <c r="O7866">
        <v>0.25297220746145083</v>
      </c>
      <c r="P7866">
        <v>0.26881559634428032</v>
      </c>
    </row>
    <row r="7867" spans="13:16">
      <c r="M7867">
        <v>0.29000038069237422</v>
      </c>
      <c r="N7867">
        <v>0.19958376312119411</v>
      </c>
      <c r="O7867">
        <v>0.24153572287367697</v>
      </c>
      <c r="P7867">
        <v>0.26888013331275473</v>
      </c>
    </row>
    <row r="7868" spans="13:16">
      <c r="M7868">
        <v>0.28317023955162307</v>
      </c>
      <c r="N7868">
        <v>0.19347262836456955</v>
      </c>
      <c r="O7868">
        <v>0.2676716730931662</v>
      </c>
      <c r="P7868">
        <v>0.25568545899064116</v>
      </c>
    </row>
    <row r="7869" spans="13:16">
      <c r="M7869">
        <v>0.28154022190061306</v>
      </c>
      <c r="N7869">
        <v>0.18130907736346538</v>
      </c>
      <c r="O7869">
        <v>0.28139998260388077</v>
      </c>
      <c r="P7869">
        <v>0.25575071813204076</v>
      </c>
    </row>
    <row r="7870" spans="13:16">
      <c r="M7870">
        <v>0.28144059064977994</v>
      </c>
      <c r="N7870">
        <v>0.21537472359786314</v>
      </c>
      <c r="O7870">
        <v>0.22985057827861338</v>
      </c>
      <c r="P7870">
        <v>0.27333410747374354</v>
      </c>
    </row>
    <row r="7871" spans="13:16">
      <c r="M7871">
        <v>0.26306363220949641</v>
      </c>
      <c r="N7871">
        <v>0.20163322796728583</v>
      </c>
      <c r="O7871">
        <v>0.27834123265268251</v>
      </c>
      <c r="P7871">
        <v>0.25696190717053524</v>
      </c>
    </row>
    <row r="7872" spans="13:16">
      <c r="M7872">
        <v>0.27070271387564326</v>
      </c>
      <c r="N7872">
        <v>0.17616530849652307</v>
      </c>
      <c r="O7872">
        <v>0.28909516776269195</v>
      </c>
      <c r="P7872">
        <v>0.26403680986514155</v>
      </c>
    </row>
    <row r="7873" spans="13:16">
      <c r="M7873">
        <v>0.29705124205536237</v>
      </c>
      <c r="N7873">
        <v>0.20412632349296478</v>
      </c>
      <c r="O7873">
        <v>0.23986528300333917</v>
      </c>
      <c r="P7873">
        <v>0.25895715144833376</v>
      </c>
    </row>
    <row r="7874" spans="13:16">
      <c r="M7874">
        <v>0.28965175051337799</v>
      </c>
      <c r="N7874">
        <v>0.18032520690282736</v>
      </c>
      <c r="O7874">
        <v>0.25414798477934575</v>
      </c>
      <c r="P7874">
        <v>0.27587505780444888</v>
      </c>
    </row>
    <row r="7875" spans="13:16">
      <c r="M7875">
        <v>0.30360356558418466</v>
      </c>
      <c r="N7875">
        <v>0.20145808565575135</v>
      </c>
      <c r="O7875">
        <v>0.22291649534761304</v>
      </c>
      <c r="P7875">
        <v>0.27202185341245089</v>
      </c>
    </row>
    <row r="7876" spans="13:16">
      <c r="M7876">
        <v>0.29256864048720371</v>
      </c>
      <c r="N7876">
        <v>0.18188394743418729</v>
      </c>
      <c r="O7876">
        <v>0.26215571921387681</v>
      </c>
      <c r="P7876">
        <v>0.26339169286473219</v>
      </c>
    </row>
    <row r="7877" spans="13:16">
      <c r="M7877">
        <v>0.27877235878359702</v>
      </c>
      <c r="N7877">
        <v>0.18583930184092157</v>
      </c>
      <c r="O7877">
        <v>0.28870275055358857</v>
      </c>
      <c r="P7877">
        <v>0.24668558882189287</v>
      </c>
    </row>
    <row r="7878" spans="13:16">
      <c r="M7878">
        <v>0.29254161694489522</v>
      </c>
      <c r="N7878">
        <v>0.18811609735646145</v>
      </c>
      <c r="O7878">
        <v>0.25471156321994221</v>
      </c>
      <c r="P7878">
        <v>0.26463072247870106</v>
      </c>
    </row>
    <row r="7879" spans="13:16">
      <c r="M7879">
        <v>0.26361077317059062</v>
      </c>
      <c r="N7879">
        <v>0.19977774318901168</v>
      </c>
      <c r="O7879">
        <v>0.26481516794388082</v>
      </c>
      <c r="P7879">
        <v>0.27179631569651685</v>
      </c>
    </row>
    <row r="7880" spans="13:16">
      <c r="M7880">
        <v>0.27457233188429025</v>
      </c>
      <c r="N7880">
        <v>0.17544506778622959</v>
      </c>
      <c r="O7880">
        <v>0.28812464061865067</v>
      </c>
      <c r="P7880">
        <v>0.26185795971082954</v>
      </c>
    </row>
    <row r="7881" spans="13:16">
      <c r="M7881">
        <v>0.28671535055623681</v>
      </c>
      <c r="N7881">
        <v>0.2012478654193012</v>
      </c>
      <c r="O7881">
        <v>0.24077795643631233</v>
      </c>
      <c r="P7881">
        <v>0.27125882758814962</v>
      </c>
    </row>
    <row r="7882" spans="13:16">
      <c r="M7882">
        <v>0.28268892451666783</v>
      </c>
      <c r="N7882">
        <v>0.18583253371799632</v>
      </c>
      <c r="O7882">
        <v>0.27363986872855761</v>
      </c>
      <c r="P7882">
        <v>0.25783867303677821</v>
      </c>
    </row>
    <row r="7883" spans="13:16">
      <c r="M7883">
        <v>0.29337029212601518</v>
      </c>
      <c r="N7883">
        <v>0.17248214426035624</v>
      </c>
      <c r="O7883">
        <v>0.28509900739240041</v>
      </c>
      <c r="P7883">
        <v>0.24904855622122812</v>
      </c>
    </row>
    <row r="7884" spans="13:16">
      <c r="M7884">
        <v>0.26991457351582521</v>
      </c>
      <c r="N7884">
        <v>0.21202294734575952</v>
      </c>
      <c r="O7884">
        <v>0.25007670667732806</v>
      </c>
      <c r="P7884">
        <v>0.26798577246108723</v>
      </c>
    </row>
    <row r="7885" spans="13:16">
      <c r="M7885">
        <v>0.31189112247214601</v>
      </c>
      <c r="N7885">
        <v>0.1781376311861072</v>
      </c>
      <c r="O7885">
        <v>0.23712651099794799</v>
      </c>
      <c r="P7885">
        <v>0.27284473534379883</v>
      </c>
    </row>
    <row r="7886" spans="13:16">
      <c r="M7886">
        <v>0.32339563408849603</v>
      </c>
      <c r="N7886">
        <v>0.18920147685116903</v>
      </c>
      <c r="O7886">
        <v>0.21204808635855668</v>
      </c>
      <c r="P7886">
        <v>0.27535480270177831</v>
      </c>
    </row>
    <row r="7887" spans="13:16">
      <c r="M7887">
        <v>0.28757289957913151</v>
      </c>
      <c r="N7887">
        <v>0.2024117069434711</v>
      </c>
      <c r="O7887">
        <v>0.24048420681456839</v>
      </c>
      <c r="P7887">
        <v>0.26953118666282883</v>
      </c>
    </row>
    <row r="7888" spans="13:16">
      <c r="M7888">
        <v>0.26883331782722492</v>
      </c>
      <c r="N7888">
        <v>0.1818516052861624</v>
      </c>
      <c r="O7888">
        <v>0.28186811644431359</v>
      </c>
      <c r="P7888">
        <v>0.26744696044229888</v>
      </c>
    </row>
    <row r="7889" spans="13:16">
      <c r="M7889">
        <v>0.31168321341581579</v>
      </c>
      <c r="N7889">
        <v>0.16958328858817162</v>
      </c>
      <c r="O7889">
        <v>0.25878491895262135</v>
      </c>
      <c r="P7889">
        <v>0.25994857904339125</v>
      </c>
    </row>
    <row r="7890" spans="13:16">
      <c r="M7890">
        <v>0.26303648016646552</v>
      </c>
      <c r="N7890">
        <v>0.19427046668652459</v>
      </c>
      <c r="O7890">
        <v>0.27374933265847884</v>
      </c>
      <c r="P7890">
        <v>0.26894372048853099</v>
      </c>
    </row>
    <row r="7891" spans="13:16">
      <c r="M7891">
        <v>0.27538011013712571</v>
      </c>
      <c r="N7891">
        <v>0.19331705881784048</v>
      </c>
      <c r="O7891">
        <v>0.26459845179898689</v>
      </c>
      <c r="P7891">
        <v>0.26670437924604695</v>
      </c>
    </row>
    <row r="7892" spans="13:16">
      <c r="M7892">
        <v>0.27211763911176962</v>
      </c>
      <c r="N7892">
        <v>0.18566389881233372</v>
      </c>
      <c r="O7892">
        <v>0.28538058039902903</v>
      </c>
      <c r="P7892">
        <v>0.25683788167686766</v>
      </c>
    </row>
    <row r="7893" spans="13:16">
      <c r="M7893">
        <v>0.28393312976712609</v>
      </c>
      <c r="N7893">
        <v>0.20817691731120647</v>
      </c>
      <c r="O7893">
        <v>0.24060096212551058</v>
      </c>
      <c r="P7893">
        <v>0.26728899079615692</v>
      </c>
    </row>
    <row r="7894" spans="13:16">
      <c r="M7894">
        <v>0.30553105298494698</v>
      </c>
      <c r="N7894">
        <v>0.16583085185979998</v>
      </c>
      <c r="O7894">
        <v>0.27752544581469624</v>
      </c>
      <c r="P7894">
        <v>0.25111264934055666</v>
      </c>
    </row>
    <row r="7895" spans="13:16">
      <c r="M7895">
        <v>0.26823061137023685</v>
      </c>
      <c r="N7895">
        <v>0.18925254374008207</v>
      </c>
      <c r="O7895">
        <v>0.277816684028107</v>
      </c>
      <c r="P7895">
        <v>0.26470016086157411</v>
      </c>
    </row>
    <row r="7896" spans="13:16">
      <c r="M7896">
        <v>0.30051481396641999</v>
      </c>
      <c r="N7896">
        <v>0.16014132240999909</v>
      </c>
      <c r="O7896">
        <v>0.30296645620209078</v>
      </c>
      <c r="P7896">
        <v>0.23637740742149019</v>
      </c>
    </row>
    <row r="7897" spans="13:16">
      <c r="M7897">
        <v>0.28731852646115014</v>
      </c>
      <c r="N7897">
        <v>0.172804145053812</v>
      </c>
      <c r="O7897">
        <v>0.27625236311209983</v>
      </c>
      <c r="P7897">
        <v>0.263624965372938</v>
      </c>
    </row>
    <row r="7898" spans="13:16">
      <c r="M7898">
        <v>0.30824339344137824</v>
      </c>
      <c r="N7898">
        <v>0.18647448947827977</v>
      </c>
      <c r="O7898">
        <v>0.22013054541167723</v>
      </c>
      <c r="P7898">
        <v>0.28515157166866473</v>
      </c>
    </row>
    <row r="7899" spans="13:16">
      <c r="M7899">
        <v>0.31626808693374825</v>
      </c>
      <c r="N7899">
        <v>0.18933609133619089</v>
      </c>
      <c r="O7899">
        <v>0.23036586921875382</v>
      </c>
      <c r="P7899">
        <v>0.26402995251130701</v>
      </c>
    </row>
    <row r="7900" spans="13:16">
      <c r="M7900">
        <v>0.27511001724983508</v>
      </c>
      <c r="N7900">
        <v>0.20634220154834204</v>
      </c>
      <c r="O7900">
        <v>0.25596261254661323</v>
      </c>
      <c r="P7900">
        <v>0.26258516865520959</v>
      </c>
    </row>
    <row r="7901" spans="13:16">
      <c r="M7901">
        <v>0.27737745898136135</v>
      </c>
      <c r="N7901">
        <v>0.204719394523245</v>
      </c>
      <c r="O7901">
        <v>0.25311649773974815</v>
      </c>
      <c r="P7901">
        <v>0.2647866487556455</v>
      </c>
    </row>
    <row r="7902" spans="13:16">
      <c r="M7902">
        <v>0.28777166762251888</v>
      </c>
      <c r="N7902">
        <v>0.17042997509850624</v>
      </c>
      <c r="O7902">
        <v>0.28340379688682854</v>
      </c>
      <c r="P7902">
        <v>0.25839456039214637</v>
      </c>
    </row>
    <row r="7903" spans="13:16">
      <c r="M7903">
        <v>0.29300251146265976</v>
      </c>
      <c r="N7903">
        <v>0.18539809482422015</v>
      </c>
      <c r="O7903">
        <v>0.25364196599263961</v>
      </c>
      <c r="P7903">
        <v>0.26795742772048042</v>
      </c>
    </row>
    <row r="7904" spans="13:16">
      <c r="M7904">
        <v>0.26047301290685282</v>
      </c>
      <c r="N7904">
        <v>0.19690973983093021</v>
      </c>
      <c r="O7904">
        <v>0.28408293295635828</v>
      </c>
      <c r="P7904">
        <v>0.25853431430585877</v>
      </c>
    </row>
    <row r="7905" spans="13:16">
      <c r="M7905">
        <v>0.2823168931418033</v>
      </c>
      <c r="N7905">
        <v>0.18002086313340263</v>
      </c>
      <c r="O7905">
        <v>0.27291616351338754</v>
      </c>
      <c r="P7905">
        <v>0.26474608021140661</v>
      </c>
    </row>
    <row r="7906" spans="13:16">
      <c r="M7906">
        <v>0.28795133394869932</v>
      </c>
      <c r="N7906">
        <v>0.19492838041687915</v>
      </c>
      <c r="O7906">
        <v>0.24603908847098482</v>
      </c>
      <c r="P7906">
        <v>0.27108119716343676</v>
      </c>
    </row>
    <row r="7907" spans="13:16">
      <c r="M7907">
        <v>0.31449718585820596</v>
      </c>
      <c r="N7907">
        <v>0.17895105154097063</v>
      </c>
      <c r="O7907">
        <v>0.2666834954878427</v>
      </c>
      <c r="P7907">
        <v>0.23986826711298079</v>
      </c>
    </row>
    <row r="7908" spans="13:16">
      <c r="M7908">
        <v>0.31419019800706394</v>
      </c>
      <c r="N7908">
        <v>0.16702746812281735</v>
      </c>
      <c r="O7908">
        <v>0.27073470865880978</v>
      </c>
      <c r="P7908">
        <v>0.24804762521130902</v>
      </c>
    </row>
    <row r="7909" spans="13:16">
      <c r="M7909">
        <v>0.29385910534915533</v>
      </c>
      <c r="N7909">
        <v>0.18110699045114995</v>
      </c>
      <c r="O7909">
        <v>0.27100040332812381</v>
      </c>
      <c r="P7909">
        <v>0.25403350087157089</v>
      </c>
    </row>
    <row r="7910" spans="13:16">
      <c r="M7910">
        <v>0.29366465378750123</v>
      </c>
      <c r="N7910">
        <v>0.19296502503446253</v>
      </c>
      <c r="O7910">
        <v>0.24271578333717048</v>
      </c>
      <c r="P7910">
        <v>0.27065453784086574</v>
      </c>
    </row>
    <row r="7911" spans="13:16">
      <c r="M7911">
        <v>0.30564522216138801</v>
      </c>
      <c r="N7911">
        <v>0.18062049404389871</v>
      </c>
      <c r="O7911">
        <v>0.24302350356234853</v>
      </c>
      <c r="P7911">
        <v>0.27071078023236478</v>
      </c>
    </row>
    <row r="7912" spans="13:16">
      <c r="M7912">
        <v>0.2797510747623993</v>
      </c>
      <c r="N7912">
        <v>0.19931502822198269</v>
      </c>
      <c r="O7912">
        <v>0.25509318419749899</v>
      </c>
      <c r="P7912">
        <v>0.265840712818119</v>
      </c>
    </row>
    <row r="7913" spans="13:16">
      <c r="M7913">
        <v>0.28748634768122383</v>
      </c>
      <c r="N7913">
        <v>0.2037318112792382</v>
      </c>
      <c r="O7913">
        <v>0.25173533063854792</v>
      </c>
      <c r="P7913">
        <v>0.25704651040099002</v>
      </c>
    </row>
    <row r="7914" spans="13:16">
      <c r="M7914">
        <v>0.28122129492763448</v>
      </c>
      <c r="N7914">
        <v>0.20101494130005981</v>
      </c>
      <c r="O7914">
        <v>0.26635147142544469</v>
      </c>
      <c r="P7914">
        <v>0.25141229234686108</v>
      </c>
    </row>
    <row r="7915" spans="13:16">
      <c r="M7915">
        <v>0.28329801931025139</v>
      </c>
      <c r="N7915">
        <v>0.18911789890333139</v>
      </c>
      <c r="O7915">
        <v>0.26203585825900377</v>
      </c>
      <c r="P7915">
        <v>0.26554822352741347</v>
      </c>
    </row>
    <row r="7916" spans="13:16">
      <c r="M7916">
        <v>0.28891494508602644</v>
      </c>
      <c r="N7916">
        <v>0.18808825317442965</v>
      </c>
      <c r="O7916">
        <v>0.26536471362072961</v>
      </c>
      <c r="P7916">
        <v>0.25763208811881422</v>
      </c>
    </row>
    <row r="7917" spans="13:16">
      <c r="M7917">
        <v>0.26546176164184221</v>
      </c>
      <c r="N7917">
        <v>0.19148587911267878</v>
      </c>
      <c r="O7917">
        <v>0.27319084048407816</v>
      </c>
      <c r="P7917">
        <v>0.2698615187614008</v>
      </c>
    </row>
    <row r="7918" spans="13:16">
      <c r="M7918">
        <v>0.30428419277716645</v>
      </c>
      <c r="N7918">
        <v>0.18874951433775741</v>
      </c>
      <c r="O7918">
        <v>0.22930743416822369</v>
      </c>
      <c r="P7918">
        <v>0.27765885871685247</v>
      </c>
    </row>
    <row r="7919" spans="13:16">
      <c r="M7919">
        <v>0.30166460378369697</v>
      </c>
      <c r="N7919">
        <v>0.16773072643948805</v>
      </c>
      <c r="O7919">
        <v>0.28155368035812617</v>
      </c>
      <c r="P7919">
        <v>0.24905098941868875</v>
      </c>
    </row>
    <row r="7920" spans="13:16">
      <c r="M7920">
        <v>0.30335562899661206</v>
      </c>
      <c r="N7920">
        <v>0.19478157827405329</v>
      </c>
      <c r="O7920">
        <v>0.2600004570910614</v>
      </c>
      <c r="P7920">
        <v>0.24186233563827331</v>
      </c>
    </row>
    <row r="7921" spans="13:16">
      <c r="M7921">
        <v>0.30685413248140136</v>
      </c>
      <c r="N7921">
        <v>0.16803568272675298</v>
      </c>
      <c r="O7921">
        <v>0.28186347748143542</v>
      </c>
      <c r="P7921">
        <v>0.24324670731041026</v>
      </c>
    </row>
    <row r="7922" spans="13:16">
      <c r="M7922">
        <v>0.33385308094485455</v>
      </c>
      <c r="N7922">
        <v>0.16798616073238604</v>
      </c>
      <c r="O7922">
        <v>0.23392158576458949</v>
      </c>
      <c r="P7922">
        <v>0.26423917255816992</v>
      </c>
    </row>
    <row r="7923" spans="13:16">
      <c r="M7923">
        <v>0.28400420135541532</v>
      </c>
      <c r="N7923">
        <v>0.19848385417870198</v>
      </c>
      <c r="O7923">
        <v>0.24047988720506552</v>
      </c>
      <c r="P7923">
        <v>0.2770320572608172</v>
      </c>
    </row>
    <row r="7924" spans="13:16">
      <c r="M7924">
        <v>0.30014593048112681</v>
      </c>
      <c r="N7924">
        <v>0.16528486048915744</v>
      </c>
      <c r="O7924">
        <v>0.27690832182539871</v>
      </c>
      <c r="P7924">
        <v>0.25766088720431723</v>
      </c>
    </row>
    <row r="7925" spans="13:16">
      <c r="M7925">
        <v>0.27908030163626224</v>
      </c>
      <c r="N7925">
        <v>0.20811589445967832</v>
      </c>
      <c r="O7925">
        <v>0.2382435893153049</v>
      </c>
      <c r="P7925">
        <v>0.27456021458875446</v>
      </c>
    </row>
    <row r="7926" spans="13:16">
      <c r="M7926">
        <v>0.31837368064627608</v>
      </c>
      <c r="N7926">
        <v>0.15608941295520418</v>
      </c>
      <c r="O7926">
        <v>0.28031679674119714</v>
      </c>
      <c r="P7926">
        <v>0.24522010965732249</v>
      </c>
    </row>
    <row r="7927" spans="13:16">
      <c r="M7927">
        <v>0.29323101964638637</v>
      </c>
      <c r="N7927">
        <v>0.18415034245075809</v>
      </c>
      <c r="O7927">
        <v>0.24067161003607343</v>
      </c>
      <c r="P7927">
        <v>0.28194702786678205</v>
      </c>
    </row>
    <row r="7928" spans="13:16">
      <c r="M7928">
        <v>0.26696838876769008</v>
      </c>
      <c r="N7928">
        <v>0.1843571280160094</v>
      </c>
      <c r="O7928">
        <v>0.29019235128462056</v>
      </c>
      <c r="P7928">
        <v>0.25848213193168018</v>
      </c>
    </row>
    <row r="7929" spans="13:16">
      <c r="M7929">
        <v>0.2990914698628519</v>
      </c>
      <c r="N7929">
        <v>0.19444492802364416</v>
      </c>
      <c r="O7929">
        <v>0.24041072499088822</v>
      </c>
      <c r="P7929">
        <v>0.26605287712261555</v>
      </c>
    </row>
    <row r="7930" spans="13:16">
      <c r="M7930">
        <v>0.27532159058725447</v>
      </c>
      <c r="N7930">
        <v>0.20298772855240604</v>
      </c>
      <c r="O7930">
        <v>0.24063423824107424</v>
      </c>
      <c r="P7930">
        <v>0.28105644261926516</v>
      </c>
    </row>
    <row r="7931" spans="13:16">
      <c r="M7931">
        <v>0.28051621927383635</v>
      </c>
      <c r="N7931">
        <v>0.18303978957813566</v>
      </c>
      <c r="O7931">
        <v>0.27299173167232277</v>
      </c>
      <c r="P7931">
        <v>0.26345225947570511</v>
      </c>
    </row>
    <row r="7932" spans="13:16">
      <c r="M7932">
        <v>0.26028219236488193</v>
      </c>
      <c r="N7932">
        <v>0.18945011609624832</v>
      </c>
      <c r="O7932">
        <v>0.28559832670112134</v>
      </c>
      <c r="P7932">
        <v>0.26466936483774833</v>
      </c>
    </row>
    <row r="7933" spans="13:16">
      <c r="M7933">
        <v>0.28262771851613511</v>
      </c>
      <c r="N7933">
        <v>0.18637636299548666</v>
      </c>
      <c r="O7933">
        <v>0.25161248738377806</v>
      </c>
      <c r="P7933">
        <v>0.27938343110460029</v>
      </c>
    </row>
    <row r="7934" spans="13:16">
      <c r="M7934">
        <v>0.28154787925851249</v>
      </c>
      <c r="N7934">
        <v>0.20215295591111837</v>
      </c>
      <c r="O7934">
        <v>0.2589074813494201</v>
      </c>
      <c r="P7934">
        <v>0.25739168348094899</v>
      </c>
    </row>
    <row r="7935" spans="13:16">
      <c r="M7935">
        <v>0.2963399979098445</v>
      </c>
      <c r="N7935">
        <v>0.16716555897428104</v>
      </c>
      <c r="O7935">
        <v>0.29059390151054376</v>
      </c>
      <c r="P7935">
        <v>0.24590054160533062</v>
      </c>
    </row>
    <row r="7936" spans="13:16">
      <c r="M7936">
        <v>0.29809943044585202</v>
      </c>
      <c r="N7936">
        <v>0.1831073325732521</v>
      </c>
      <c r="O7936">
        <v>0.24594386457354142</v>
      </c>
      <c r="P7936">
        <v>0.27284937240735441</v>
      </c>
    </row>
    <row r="7937" spans="13:16">
      <c r="M7937">
        <v>0.29330699094749441</v>
      </c>
      <c r="N7937">
        <v>0.16970249535511503</v>
      </c>
      <c r="O7937">
        <v>0.28246913177517968</v>
      </c>
      <c r="P7937">
        <v>0.25452138192221074</v>
      </c>
    </row>
    <row r="7938" spans="13:16">
      <c r="M7938">
        <v>0.30579507737299194</v>
      </c>
      <c r="N7938">
        <v>0.18524428548393668</v>
      </c>
      <c r="O7938">
        <v>0.25546488443803655</v>
      </c>
      <c r="P7938">
        <v>0.25349575270503488</v>
      </c>
    </row>
    <row r="7939" spans="13:16">
      <c r="M7939">
        <v>0.31267305642602028</v>
      </c>
      <c r="N7939">
        <v>0.18009504664003192</v>
      </c>
      <c r="O7939">
        <v>0.24524052500994806</v>
      </c>
      <c r="P7939">
        <v>0.26199137192399974</v>
      </c>
    </row>
    <row r="7940" spans="13:16">
      <c r="M7940">
        <v>0.32400091253754981</v>
      </c>
      <c r="N7940">
        <v>0.16516394276731117</v>
      </c>
      <c r="O7940">
        <v>0.25648367424851459</v>
      </c>
      <c r="P7940">
        <v>0.25435147044662448</v>
      </c>
    </row>
    <row r="7941" spans="13:16">
      <c r="M7941">
        <v>0.28312988094999625</v>
      </c>
      <c r="N7941">
        <v>0.17281420522152216</v>
      </c>
      <c r="O7941">
        <v>0.28630519557572509</v>
      </c>
      <c r="P7941">
        <v>0.25775071825275653</v>
      </c>
    </row>
    <row r="7942" spans="13:16">
      <c r="M7942">
        <v>0.28753888995910781</v>
      </c>
      <c r="N7942">
        <v>0.18865369798293838</v>
      </c>
      <c r="O7942">
        <v>0.24805719973892143</v>
      </c>
      <c r="P7942">
        <v>0.27575021231903246</v>
      </c>
    </row>
    <row r="7943" spans="13:16">
      <c r="M7943">
        <v>0.27797564124981122</v>
      </c>
      <c r="N7943">
        <v>0.19050693230212473</v>
      </c>
      <c r="O7943">
        <v>0.25824993095185084</v>
      </c>
      <c r="P7943">
        <v>0.27326749549621321</v>
      </c>
    </row>
    <row r="7944" spans="13:16">
      <c r="M7944">
        <v>0.27460478182758724</v>
      </c>
      <c r="N7944">
        <v>0.20294482116845006</v>
      </c>
      <c r="O7944">
        <v>0.24428747947646637</v>
      </c>
      <c r="P7944">
        <v>0.27816291752749628</v>
      </c>
    </row>
    <row r="7945" spans="13:16">
      <c r="M7945">
        <v>0.29407796060814406</v>
      </c>
      <c r="N7945">
        <v>0.1648291301664585</v>
      </c>
      <c r="O7945">
        <v>0.30226984020906883</v>
      </c>
      <c r="P7945">
        <v>0.23882306901632866</v>
      </c>
    </row>
    <row r="7946" spans="13:16">
      <c r="M7946">
        <v>0.31873536314913986</v>
      </c>
      <c r="N7946">
        <v>0.18220112494913865</v>
      </c>
      <c r="O7946">
        <v>0.23560255414635609</v>
      </c>
      <c r="P7946">
        <v>0.26346095775536532</v>
      </c>
    </row>
    <row r="7947" spans="13:16">
      <c r="M7947">
        <v>0.27578614611052604</v>
      </c>
      <c r="N7947">
        <v>0.18126325125026302</v>
      </c>
      <c r="O7947">
        <v>0.28166782645971034</v>
      </c>
      <c r="P7947">
        <v>0.26128277617950069</v>
      </c>
    </row>
    <row r="7948" spans="13:16">
      <c r="M7948">
        <v>0.27226595031392981</v>
      </c>
      <c r="N7948">
        <v>0.19003488640875488</v>
      </c>
      <c r="O7948">
        <v>0.27394871943327082</v>
      </c>
      <c r="P7948">
        <v>0.26375044384404445</v>
      </c>
    </row>
    <row r="7949" spans="13:16">
      <c r="M7949">
        <v>0.2922971642540495</v>
      </c>
      <c r="N7949">
        <v>0.16934107676787283</v>
      </c>
      <c r="O7949">
        <v>0.27848309429883739</v>
      </c>
      <c r="P7949">
        <v>0.25987866467924031</v>
      </c>
    </row>
    <row r="7950" spans="13:16">
      <c r="M7950">
        <v>0.30000702362550613</v>
      </c>
      <c r="N7950">
        <v>0.18501694168759925</v>
      </c>
      <c r="O7950">
        <v>0.2522240500095595</v>
      </c>
      <c r="P7950">
        <v>0.26275198467733507</v>
      </c>
    </row>
    <row r="7951" spans="13:16">
      <c r="M7951">
        <v>0.30587802153047133</v>
      </c>
      <c r="N7951">
        <v>0.17780280158687373</v>
      </c>
      <c r="O7951">
        <v>0.26624108309392436</v>
      </c>
      <c r="P7951">
        <v>0.25007809378873058</v>
      </c>
    </row>
    <row r="7952" spans="13:16">
      <c r="M7952">
        <v>0.29005683124935877</v>
      </c>
      <c r="N7952">
        <v>0.18179237571356707</v>
      </c>
      <c r="O7952">
        <v>0.24986017371809108</v>
      </c>
      <c r="P7952">
        <v>0.27829061931898313</v>
      </c>
    </row>
    <row r="7953" spans="13:16">
      <c r="M7953">
        <v>0.29878573402316716</v>
      </c>
      <c r="N7953">
        <v>0.16890811128289382</v>
      </c>
      <c r="O7953">
        <v>0.2904596497456044</v>
      </c>
      <c r="P7953">
        <v>0.24184650494833462</v>
      </c>
    </row>
    <row r="7954" spans="13:16">
      <c r="M7954">
        <v>0.30124175268199643</v>
      </c>
      <c r="N7954">
        <v>0.17196143241088158</v>
      </c>
      <c r="O7954">
        <v>0.27806807166591924</v>
      </c>
      <c r="P7954">
        <v>0.2487287432412027</v>
      </c>
    </row>
    <row r="7955" spans="13:16">
      <c r="M7955">
        <v>0.2851809902895589</v>
      </c>
      <c r="N7955">
        <v>0.20420873585438828</v>
      </c>
      <c r="O7955">
        <v>0.2252682648257946</v>
      </c>
      <c r="P7955">
        <v>0.28534200903025814</v>
      </c>
    </row>
    <row r="7956" spans="13:16">
      <c r="M7956">
        <v>0.28383179203516096</v>
      </c>
      <c r="N7956">
        <v>0.19897588618623163</v>
      </c>
      <c r="O7956">
        <v>0.25927647765735268</v>
      </c>
      <c r="P7956">
        <v>0.25791584412125457</v>
      </c>
    </row>
    <row r="7957" spans="13:16">
      <c r="M7957">
        <v>0.27818371762308169</v>
      </c>
      <c r="N7957">
        <v>0.19911307242982149</v>
      </c>
      <c r="O7957">
        <v>0.26005916997236045</v>
      </c>
      <c r="P7957">
        <v>0.26264403997473645</v>
      </c>
    </row>
    <row r="7958" spans="13:16">
      <c r="M7958">
        <v>0.29895962800462322</v>
      </c>
      <c r="N7958">
        <v>0.18975961318809112</v>
      </c>
      <c r="O7958">
        <v>0.22601283176959608</v>
      </c>
      <c r="P7958">
        <v>0.28526792703768944</v>
      </c>
    </row>
    <row r="7959" spans="13:16">
      <c r="M7959">
        <v>0.27792625029903512</v>
      </c>
      <c r="N7959">
        <v>0.1974961427451547</v>
      </c>
      <c r="O7959">
        <v>0.25449602564994206</v>
      </c>
      <c r="P7959">
        <v>0.27008158130586812</v>
      </c>
    </row>
    <row r="7960" spans="13:16">
      <c r="M7960">
        <v>0.27876260109591755</v>
      </c>
      <c r="N7960">
        <v>0.17919611688785167</v>
      </c>
      <c r="O7960">
        <v>0.28654582883546725</v>
      </c>
      <c r="P7960">
        <v>0.25549545318076333</v>
      </c>
    </row>
    <row r="7961" spans="13:16">
      <c r="M7961">
        <v>0.29725813760205222</v>
      </c>
      <c r="N7961">
        <v>0.16844494255832004</v>
      </c>
      <c r="O7961">
        <v>0.28551456356925253</v>
      </c>
      <c r="P7961">
        <v>0.24878235627037515</v>
      </c>
    </row>
    <row r="7962" spans="13:16">
      <c r="M7962">
        <v>0.26074596862641192</v>
      </c>
      <c r="N7962">
        <v>0.19218902207494559</v>
      </c>
      <c r="O7962">
        <v>0.29059995178759684</v>
      </c>
      <c r="P7962">
        <v>0.25646505751104576</v>
      </c>
    </row>
    <row r="7963" spans="13:16">
      <c r="M7963">
        <v>0.29386269087460748</v>
      </c>
      <c r="N7963">
        <v>0.20951789952198327</v>
      </c>
      <c r="O7963">
        <v>0.22675016458134009</v>
      </c>
      <c r="P7963">
        <v>0.26986924502206916</v>
      </c>
    </row>
    <row r="7964" spans="13:16">
      <c r="M7964">
        <v>0.27975050727654854</v>
      </c>
      <c r="N7964">
        <v>0.19932403704077836</v>
      </c>
      <c r="O7964">
        <v>0.24550076683930319</v>
      </c>
      <c r="P7964">
        <v>0.2754246888433699</v>
      </c>
    </row>
    <row r="7965" spans="13:16">
      <c r="M7965">
        <v>0.30354825877939046</v>
      </c>
      <c r="N7965">
        <v>0.17781064740378391</v>
      </c>
      <c r="O7965">
        <v>0.24783814785526631</v>
      </c>
      <c r="P7965">
        <v>0.27080294596155924</v>
      </c>
    </row>
    <row r="7966" spans="13:16">
      <c r="M7966">
        <v>0.2727046276087905</v>
      </c>
      <c r="N7966">
        <v>0.18513160233589385</v>
      </c>
      <c r="O7966">
        <v>0.28307811989406118</v>
      </c>
      <c r="P7966">
        <v>0.25908565016125445</v>
      </c>
    </row>
    <row r="7967" spans="13:16">
      <c r="M7967">
        <v>0.29497381726756888</v>
      </c>
      <c r="N7967">
        <v>0.18796286474103915</v>
      </c>
      <c r="O7967">
        <v>0.23352087908501701</v>
      </c>
      <c r="P7967">
        <v>0.28354243890637498</v>
      </c>
    </row>
    <row r="7968" spans="13:16">
      <c r="M7968">
        <v>0.26562437079463458</v>
      </c>
      <c r="N7968">
        <v>0.18659130593647147</v>
      </c>
      <c r="O7968">
        <v>0.26895901801416572</v>
      </c>
      <c r="P7968">
        <v>0.27882530525472837</v>
      </c>
    </row>
    <row r="7969" spans="13:16">
      <c r="M7969">
        <v>0.29815885700419031</v>
      </c>
      <c r="N7969">
        <v>0.17135589275200624</v>
      </c>
      <c r="O7969">
        <v>0.26615577509526234</v>
      </c>
      <c r="P7969">
        <v>0.26432947514854116</v>
      </c>
    </row>
    <row r="7970" spans="13:16">
      <c r="M7970">
        <v>0.28108341531574071</v>
      </c>
      <c r="N7970">
        <v>0.20940535967302337</v>
      </c>
      <c r="O7970">
        <v>0.23594661479377518</v>
      </c>
      <c r="P7970">
        <v>0.27356461021746081</v>
      </c>
    </row>
    <row r="7971" spans="13:16">
      <c r="M7971">
        <v>0.27763495213312717</v>
      </c>
      <c r="N7971">
        <v>0.17765396612097747</v>
      </c>
      <c r="O7971">
        <v>0.27624499164510924</v>
      </c>
      <c r="P7971">
        <v>0.26846609010078609</v>
      </c>
    </row>
    <row r="7972" spans="13:16">
      <c r="M7972">
        <v>0.30610215173772515</v>
      </c>
      <c r="N7972">
        <v>0.188434404847105</v>
      </c>
      <c r="O7972">
        <v>0.2477172036858632</v>
      </c>
      <c r="P7972">
        <v>0.25774623972930671</v>
      </c>
    </row>
    <row r="7973" spans="13:16">
      <c r="M7973">
        <v>0.2834109892084764</v>
      </c>
      <c r="N7973">
        <v>0.18493677342615999</v>
      </c>
      <c r="O7973">
        <v>0.26840679041475912</v>
      </c>
      <c r="P7973">
        <v>0.26324544695060448</v>
      </c>
    </row>
    <row r="7974" spans="13:16">
      <c r="M7974">
        <v>0.27863954816232633</v>
      </c>
      <c r="N7974">
        <v>0.18104662328558738</v>
      </c>
      <c r="O7974">
        <v>0.28693717523419371</v>
      </c>
      <c r="P7974">
        <v>0.25337665331789266</v>
      </c>
    </row>
    <row r="7975" spans="13:16">
      <c r="M7975">
        <v>0.33287751844795627</v>
      </c>
      <c r="N7975">
        <v>0.17396829128929334</v>
      </c>
      <c r="O7975">
        <v>0.22193974313461495</v>
      </c>
      <c r="P7975">
        <v>0.27121444712813536</v>
      </c>
    </row>
    <row r="7976" spans="13:16">
      <c r="M7976">
        <v>0.27427220073914782</v>
      </c>
      <c r="N7976">
        <v>0.19324382767953405</v>
      </c>
      <c r="O7976">
        <v>0.2530572367247052</v>
      </c>
      <c r="P7976">
        <v>0.27942673485661285</v>
      </c>
    </row>
    <row r="7977" spans="13:16">
      <c r="M7977">
        <v>0.32041849324084404</v>
      </c>
      <c r="N7977">
        <v>0.19653376182504367</v>
      </c>
      <c r="O7977">
        <v>0.21840525527241639</v>
      </c>
      <c r="P7977">
        <v>0.26464248966169585</v>
      </c>
    </row>
    <row r="7978" spans="13:16">
      <c r="M7978">
        <v>0.31576961435465734</v>
      </c>
      <c r="N7978">
        <v>0.17990530208512845</v>
      </c>
      <c r="O7978">
        <v>0.25737074765504153</v>
      </c>
      <c r="P7978">
        <v>0.24695433590517266</v>
      </c>
    </row>
    <row r="7979" spans="13:16">
      <c r="M7979">
        <v>0.27565858924053582</v>
      </c>
      <c r="N7979">
        <v>0.18628698660652068</v>
      </c>
      <c r="O7979">
        <v>0.26529715569759382</v>
      </c>
      <c r="P7979">
        <v>0.27275726845534964</v>
      </c>
    </row>
    <row r="7980" spans="13:16">
      <c r="M7980">
        <v>0.31229651744999459</v>
      </c>
      <c r="N7980">
        <v>0.17471091831878949</v>
      </c>
      <c r="O7980">
        <v>0.26085145337620408</v>
      </c>
      <c r="P7980">
        <v>0.2521411108550119</v>
      </c>
    </row>
    <row r="7981" spans="13:16">
      <c r="M7981">
        <v>0.30384979476482193</v>
      </c>
      <c r="N7981">
        <v>0.1877872744996498</v>
      </c>
      <c r="O7981">
        <v>0.24508688725446437</v>
      </c>
      <c r="P7981">
        <v>0.26327604348106382</v>
      </c>
    </row>
    <row r="7982" spans="13:16">
      <c r="M7982">
        <v>0.33125298688633797</v>
      </c>
      <c r="N7982">
        <v>0.18560158868120849</v>
      </c>
      <c r="O7982">
        <v>0.21242763822713034</v>
      </c>
      <c r="P7982">
        <v>0.27071778620532327</v>
      </c>
    </row>
    <row r="7983" spans="13:16">
      <c r="M7983">
        <v>0.28341881235394228</v>
      </c>
      <c r="N7983">
        <v>0.19861020939572685</v>
      </c>
      <c r="O7983">
        <v>0.22676700074194378</v>
      </c>
      <c r="P7983">
        <v>0.29120397750838706</v>
      </c>
    </row>
    <row r="7984" spans="13:16">
      <c r="M7984">
        <v>0.29967821642946058</v>
      </c>
      <c r="N7984">
        <v>0.18513975772986124</v>
      </c>
      <c r="O7984">
        <v>0.27529690147118563</v>
      </c>
      <c r="P7984">
        <v>0.23988512436949255</v>
      </c>
    </row>
    <row r="7985" spans="13:16">
      <c r="M7985">
        <v>0.29567696639359181</v>
      </c>
      <c r="N7985">
        <v>0.1922234432423765</v>
      </c>
      <c r="O7985">
        <v>0.2604783743826492</v>
      </c>
      <c r="P7985">
        <v>0.25162121598138254</v>
      </c>
    </row>
    <row r="7986" spans="13:16">
      <c r="M7986">
        <v>0.27706954566542036</v>
      </c>
      <c r="N7986">
        <v>0.18050690654393142</v>
      </c>
      <c r="O7986">
        <v>0.26882170650714599</v>
      </c>
      <c r="P7986">
        <v>0.27360184128350218</v>
      </c>
    </row>
    <row r="7987" spans="13:16">
      <c r="M7987">
        <v>0.27842463735063094</v>
      </c>
      <c r="N7987">
        <v>0.20422611047668809</v>
      </c>
      <c r="O7987">
        <v>0.24548622602116613</v>
      </c>
      <c r="P7987">
        <v>0.27186302615151486</v>
      </c>
    </row>
    <row r="7988" spans="13:16">
      <c r="M7988">
        <v>0.28745775738256718</v>
      </c>
      <c r="N7988">
        <v>0.18986283838268378</v>
      </c>
      <c r="O7988">
        <v>0.2610925537498231</v>
      </c>
      <c r="P7988">
        <v>0.26158685048492597</v>
      </c>
    </row>
    <row r="7989" spans="13:16">
      <c r="M7989">
        <v>0.28891353626522148</v>
      </c>
      <c r="N7989">
        <v>0.19671490325671032</v>
      </c>
      <c r="O7989">
        <v>0.23862929705773911</v>
      </c>
      <c r="P7989">
        <v>0.27574226342032904</v>
      </c>
    </row>
    <row r="7990" spans="13:16">
      <c r="M7990">
        <v>0.29414128242741189</v>
      </c>
      <c r="N7990">
        <v>0.17817544523662782</v>
      </c>
      <c r="O7990">
        <v>0.25461434788882154</v>
      </c>
      <c r="P7990">
        <v>0.27306892444713876</v>
      </c>
    </row>
    <row r="7991" spans="13:16">
      <c r="M7991">
        <v>0.27711535691186123</v>
      </c>
      <c r="N7991">
        <v>0.19800323507192727</v>
      </c>
      <c r="O7991">
        <v>0.2556208957304939</v>
      </c>
      <c r="P7991">
        <v>0.26926051228571768</v>
      </c>
    </row>
    <row r="7992" spans="13:16">
      <c r="M7992">
        <v>0.29595546085502478</v>
      </c>
      <c r="N7992">
        <v>0.21380399050369034</v>
      </c>
      <c r="O7992">
        <v>0.22050202446025979</v>
      </c>
      <c r="P7992">
        <v>0.26973852418102517</v>
      </c>
    </row>
    <row r="7993" spans="13:16">
      <c r="M7993">
        <v>0.29549272152329342</v>
      </c>
      <c r="N7993">
        <v>0.18490008304688171</v>
      </c>
      <c r="O7993">
        <v>0.26226119139673815</v>
      </c>
      <c r="P7993">
        <v>0.25734600403308677</v>
      </c>
    </row>
    <row r="7994" spans="13:16">
      <c r="M7994">
        <v>0.29571546517190944</v>
      </c>
      <c r="N7994">
        <v>0.16081130340847397</v>
      </c>
      <c r="O7994">
        <v>0.30476986423812474</v>
      </c>
      <c r="P7994">
        <v>0.23870336718149196</v>
      </c>
    </row>
    <row r="7995" spans="13:16">
      <c r="M7995">
        <v>0.29907212008186462</v>
      </c>
      <c r="N7995">
        <v>0.17250626597665647</v>
      </c>
      <c r="O7995">
        <v>0.25471233401155607</v>
      </c>
      <c r="P7995">
        <v>0.27370927992992294</v>
      </c>
    </row>
    <row r="7996" spans="13:16">
      <c r="M7996">
        <v>0.28686457194587117</v>
      </c>
      <c r="N7996">
        <v>0.18003837090468042</v>
      </c>
      <c r="O7996">
        <v>0.27500506868315738</v>
      </c>
      <c r="P7996">
        <v>0.258091988466291</v>
      </c>
    </row>
    <row r="7997" spans="13:16">
      <c r="M7997">
        <v>0.28576191180767385</v>
      </c>
      <c r="N7997">
        <v>0.20206203098486117</v>
      </c>
      <c r="O7997">
        <v>0.25548973970692929</v>
      </c>
      <c r="P7997">
        <v>0.25668631750053561</v>
      </c>
    </row>
    <row r="7998" spans="13:16">
      <c r="M7998">
        <v>0.29819036920726305</v>
      </c>
      <c r="N7998">
        <v>0.18786472942673271</v>
      </c>
      <c r="O7998">
        <v>0.24876144651063625</v>
      </c>
      <c r="P7998">
        <v>0.26518345485536804</v>
      </c>
    </row>
    <row r="7999" spans="13:16">
      <c r="M7999">
        <v>0.27885343545621694</v>
      </c>
      <c r="N7999">
        <v>0.17093415041406076</v>
      </c>
      <c r="O7999">
        <v>0.30158703469411269</v>
      </c>
      <c r="P7999">
        <v>0.24862537943560958</v>
      </c>
    </row>
    <row r="8000" spans="13:16">
      <c r="M8000">
        <v>0.2693330278016558</v>
      </c>
      <c r="N8000">
        <v>0.20139394699771968</v>
      </c>
      <c r="O8000">
        <v>0.27571371477175166</v>
      </c>
      <c r="P8000">
        <v>0.25355931042887303</v>
      </c>
    </row>
    <row r="8001" spans="13:16">
      <c r="M8001">
        <v>0.3055714875038778</v>
      </c>
      <c r="N8001">
        <v>0.16512301766966045</v>
      </c>
      <c r="O8001">
        <v>0.28403229059848101</v>
      </c>
      <c r="P8001">
        <v>0.24527320422798068</v>
      </c>
    </row>
    <row r="8002" spans="13:16">
      <c r="M8002">
        <v>0.30090656141139038</v>
      </c>
      <c r="N8002">
        <v>0.19967516419515449</v>
      </c>
      <c r="O8002">
        <v>0.24320950267760322</v>
      </c>
      <c r="P8002">
        <v>0.25620877171585188</v>
      </c>
    </row>
    <row r="8003" spans="13:16">
      <c r="M8003">
        <v>0.27356957331588139</v>
      </c>
      <c r="N8003">
        <v>0.18550835569737301</v>
      </c>
      <c r="O8003">
        <v>0.26579410387238156</v>
      </c>
      <c r="P8003">
        <v>0.2751279671143641</v>
      </c>
    </row>
    <row r="8004" spans="13:16">
      <c r="M8004">
        <v>0.2929080744896187</v>
      </c>
      <c r="N8004">
        <v>0.18141878307049447</v>
      </c>
      <c r="O8004">
        <v>0.26197315808313409</v>
      </c>
      <c r="P8004">
        <v>0.26369998435675274</v>
      </c>
    </row>
    <row r="8005" spans="13:16">
      <c r="M8005">
        <v>0.31614112979723219</v>
      </c>
      <c r="N8005">
        <v>0.16976206364509233</v>
      </c>
      <c r="O8005">
        <v>0.24772092857973535</v>
      </c>
      <c r="P8005">
        <v>0.26637587797794016</v>
      </c>
    </row>
    <row r="8006" spans="13:16">
      <c r="M8006">
        <v>0.3079095782019845</v>
      </c>
      <c r="N8006">
        <v>0.20094721735653198</v>
      </c>
      <c r="O8006">
        <v>0.2210626731138837</v>
      </c>
      <c r="P8006">
        <v>0.27008053132759979</v>
      </c>
    </row>
    <row r="8007" spans="13:16">
      <c r="M8007">
        <v>0.27864874715819321</v>
      </c>
      <c r="N8007">
        <v>0.19720462723780841</v>
      </c>
      <c r="O8007">
        <v>0.25483933283578353</v>
      </c>
      <c r="P8007">
        <v>0.26930729276821486</v>
      </c>
    </row>
    <row r="8008" spans="13:16">
      <c r="M8008">
        <v>0.31283033583966052</v>
      </c>
      <c r="N8008">
        <v>0.17294951761214797</v>
      </c>
      <c r="O8008">
        <v>0.26163924873692873</v>
      </c>
      <c r="P8008">
        <v>0.25258089781126269</v>
      </c>
    </row>
    <row r="8009" spans="13:16">
      <c r="M8009">
        <v>0.30712384523839498</v>
      </c>
      <c r="N8009">
        <v>0.18203636128921405</v>
      </c>
      <c r="O8009">
        <v>0.25080162768720671</v>
      </c>
      <c r="P8009">
        <v>0.26003816578518429</v>
      </c>
    </row>
    <row r="8010" spans="13:16">
      <c r="M8010">
        <v>0.27933580287487919</v>
      </c>
      <c r="N8010">
        <v>0.18755878532489978</v>
      </c>
      <c r="O8010">
        <v>0.26836956093016112</v>
      </c>
      <c r="P8010">
        <v>0.26473585087006002</v>
      </c>
    </row>
    <row r="8011" spans="13:16">
      <c r="M8011">
        <v>0.28857038153011155</v>
      </c>
      <c r="N8011">
        <v>0.17702631163895635</v>
      </c>
      <c r="O8011">
        <v>0.26971647713815639</v>
      </c>
      <c r="P8011">
        <v>0.26468682969277557</v>
      </c>
    </row>
    <row r="8012" spans="13:16">
      <c r="M8012">
        <v>0.29173644711433933</v>
      </c>
      <c r="N8012">
        <v>0.17978496563254509</v>
      </c>
      <c r="O8012">
        <v>0.27098743767958139</v>
      </c>
      <c r="P8012">
        <v>0.25749114957353431</v>
      </c>
    </row>
    <row r="8013" spans="13:16">
      <c r="M8013">
        <v>0.27614622655142262</v>
      </c>
      <c r="N8013">
        <v>0.18324558090894763</v>
      </c>
      <c r="O8013">
        <v>0.26359096707136948</v>
      </c>
      <c r="P8013">
        <v>0.27701722546826019</v>
      </c>
    </row>
    <row r="8014" spans="13:16">
      <c r="M8014">
        <v>0.28777905897265255</v>
      </c>
      <c r="N8014">
        <v>0.18309979298088941</v>
      </c>
      <c r="O8014">
        <v>0.26165378028027347</v>
      </c>
      <c r="P8014">
        <v>0.26746736776618452</v>
      </c>
    </row>
    <row r="8015" spans="13:16">
      <c r="M8015">
        <v>0.29439617298669074</v>
      </c>
      <c r="N8015">
        <v>0.19097692971808009</v>
      </c>
      <c r="O8015">
        <v>0.25168886275306473</v>
      </c>
      <c r="P8015">
        <v>0.26293803454216447</v>
      </c>
    </row>
    <row r="8016" spans="13:16">
      <c r="M8016">
        <v>0.31406101799739133</v>
      </c>
      <c r="N8016">
        <v>0.16906327668346316</v>
      </c>
      <c r="O8016">
        <v>0.2751630078705381</v>
      </c>
      <c r="P8016">
        <v>0.24171269744860738</v>
      </c>
    </row>
    <row r="8017" spans="13:16">
      <c r="M8017">
        <v>0.29436454047686644</v>
      </c>
      <c r="N8017">
        <v>0.16725051191638643</v>
      </c>
      <c r="O8017">
        <v>0.29564892408028681</v>
      </c>
      <c r="P8017">
        <v>0.24273602352646048</v>
      </c>
    </row>
    <row r="8018" spans="13:16">
      <c r="M8018">
        <v>0.27150626930565147</v>
      </c>
      <c r="N8018">
        <v>0.17146326430960956</v>
      </c>
      <c r="O8018">
        <v>0.29977573804942681</v>
      </c>
      <c r="P8018">
        <v>0.25725472833531199</v>
      </c>
    </row>
    <row r="8019" spans="13:16">
      <c r="M8019">
        <v>0.29309600144349562</v>
      </c>
      <c r="N8019">
        <v>0.17350368671959768</v>
      </c>
      <c r="O8019">
        <v>0.27430139625130473</v>
      </c>
      <c r="P8019">
        <v>0.259098915585602</v>
      </c>
    </row>
    <row r="8020" spans="13:16">
      <c r="M8020">
        <v>0.29524561549010936</v>
      </c>
      <c r="N8020">
        <v>0.19375474927977612</v>
      </c>
      <c r="O8020">
        <v>0.24516914280457586</v>
      </c>
      <c r="P8020">
        <v>0.26583049242553869</v>
      </c>
    </row>
    <row r="8021" spans="13:16">
      <c r="M8021">
        <v>0.29033798668551825</v>
      </c>
      <c r="N8021">
        <v>0.19145925765748856</v>
      </c>
      <c r="O8021">
        <v>0.26017151982384923</v>
      </c>
      <c r="P8021">
        <v>0.25803123583314391</v>
      </c>
    </row>
    <row r="8022" spans="13:16">
      <c r="M8022">
        <v>0.26687210255221178</v>
      </c>
      <c r="N8022">
        <v>0.18472754092993182</v>
      </c>
      <c r="O8022">
        <v>0.28173709653990081</v>
      </c>
      <c r="P8022">
        <v>0.26666325997795559</v>
      </c>
    </row>
    <row r="8023" spans="13:16">
      <c r="M8023">
        <v>0.29651302785940764</v>
      </c>
      <c r="N8023">
        <v>0.1779290982604676</v>
      </c>
      <c r="O8023">
        <v>0.25956438813788496</v>
      </c>
      <c r="P8023">
        <v>0.26599348574223969</v>
      </c>
    </row>
    <row r="8024" spans="13:16">
      <c r="M8024">
        <v>0.27980791317768067</v>
      </c>
      <c r="N8024">
        <v>0.17961635011437052</v>
      </c>
      <c r="O8024">
        <v>0.28568142582173228</v>
      </c>
      <c r="P8024">
        <v>0.25489431088621656</v>
      </c>
    </row>
    <row r="8025" spans="13:16">
      <c r="M8025">
        <v>0.29924182622461354</v>
      </c>
      <c r="N8025">
        <v>0.19717179877580773</v>
      </c>
      <c r="O8025">
        <v>0.21973483287637163</v>
      </c>
      <c r="P8025">
        <v>0.28385154212320712</v>
      </c>
    </row>
    <row r="8026" spans="13:16">
      <c r="M8026">
        <v>0.30375153515272008</v>
      </c>
      <c r="N8026">
        <v>0.17473058832856869</v>
      </c>
      <c r="O8026">
        <v>0.26245714797670266</v>
      </c>
      <c r="P8026">
        <v>0.25906072854200851</v>
      </c>
    </row>
    <row r="8027" spans="13:16">
      <c r="M8027">
        <v>0.27974822234720353</v>
      </c>
      <c r="N8027">
        <v>0.1815351717757534</v>
      </c>
      <c r="O8027">
        <v>0.25762435438594672</v>
      </c>
      <c r="P8027">
        <v>0.28109225149109629</v>
      </c>
    </row>
    <row r="8028" spans="13:16">
      <c r="M8028">
        <v>0.30253728838597033</v>
      </c>
      <c r="N8028">
        <v>0.1699636796464831</v>
      </c>
      <c r="O8028">
        <v>0.28169347829787073</v>
      </c>
      <c r="P8028">
        <v>0.24580555366967599</v>
      </c>
    </row>
    <row r="8029" spans="13:16">
      <c r="M8029">
        <v>0.30252207971986939</v>
      </c>
      <c r="N8029">
        <v>0.19626065243274662</v>
      </c>
      <c r="O8029">
        <v>0.23264150660544056</v>
      </c>
      <c r="P8029">
        <v>0.26857576124194338</v>
      </c>
    </row>
    <row r="8030" spans="13:16">
      <c r="M8030">
        <v>0.31164643273381043</v>
      </c>
      <c r="N8030">
        <v>0.1708737598296762</v>
      </c>
      <c r="O8030">
        <v>0.25811473757805126</v>
      </c>
      <c r="P8030">
        <v>0.25936506985846203</v>
      </c>
    </row>
    <row r="8031" spans="13:16">
      <c r="M8031">
        <v>0.28598975192900117</v>
      </c>
      <c r="N8031">
        <v>0.181395643626904</v>
      </c>
      <c r="O8031">
        <v>0.26611988347257026</v>
      </c>
      <c r="P8031">
        <v>0.26649472097152449</v>
      </c>
    </row>
    <row r="8032" spans="13:16">
      <c r="M8032">
        <v>0.34426638503459656</v>
      </c>
      <c r="N8032">
        <v>0.16010421952400236</v>
      </c>
      <c r="O8032">
        <v>0.24888332515917858</v>
      </c>
      <c r="P8032">
        <v>0.2467460702822224</v>
      </c>
    </row>
    <row r="8033" spans="13:16">
      <c r="M8033">
        <v>0.30938830978371257</v>
      </c>
      <c r="N8033">
        <v>0.17036369153663855</v>
      </c>
      <c r="O8033">
        <v>0.27214005389321227</v>
      </c>
      <c r="P8033">
        <v>0.24810794478643658</v>
      </c>
    </row>
    <row r="8034" spans="13:16">
      <c r="M8034">
        <v>0.27490946060334526</v>
      </c>
      <c r="N8034">
        <v>0.19043532993846116</v>
      </c>
      <c r="O8034">
        <v>0.2869927885211499</v>
      </c>
      <c r="P8034">
        <v>0.24766242093704374</v>
      </c>
    </row>
    <row r="8035" spans="13:16">
      <c r="M8035">
        <v>0.31988782580960534</v>
      </c>
      <c r="N8035">
        <v>0.17149701139736928</v>
      </c>
      <c r="O8035">
        <v>0.24554515557936687</v>
      </c>
      <c r="P8035">
        <v>0.26307000721365847</v>
      </c>
    </row>
    <row r="8036" spans="13:16">
      <c r="M8036">
        <v>0.27610410950401387</v>
      </c>
      <c r="N8036">
        <v>0.18163751910133977</v>
      </c>
      <c r="O8036">
        <v>0.26147822336100812</v>
      </c>
      <c r="P8036">
        <v>0.28078014803363821</v>
      </c>
    </row>
    <row r="8037" spans="13:16">
      <c r="M8037">
        <v>0.28931204534210103</v>
      </c>
      <c r="N8037">
        <v>0.17878742721161819</v>
      </c>
      <c r="O8037">
        <v>0.26642008056426858</v>
      </c>
      <c r="P8037">
        <v>0.26548044688201217</v>
      </c>
    </row>
    <row r="8038" spans="13:16">
      <c r="M8038">
        <v>0.29573165467816026</v>
      </c>
      <c r="N8038">
        <v>0.20229048240220263</v>
      </c>
      <c r="O8038">
        <v>0.23732195438714826</v>
      </c>
      <c r="P8038">
        <v>0.26465590853248883</v>
      </c>
    </row>
    <row r="8039" spans="13:16">
      <c r="M8039">
        <v>0.29104420571509249</v>
      </c>
      <c r="N8039">
        <v>0.17626050711615443</v>
      </c>
      <c r="O8039">
        <v>0.2765346245532781</v>
      </c>
      <c r="P8039">
        <v>0.25616066261547493</v>
      </c>
    </row>
    <row r="8040" spans="13:16">
      <c r="M8040">
        <v>0.29479883168692173</v>
      </c>
      <c r="N8040">
        <v>0.19345477844674455</v>
      </c>
      <c r="O8040">
        <v>0.25082332410318936</v>
      </c>
      <c r="P8040">
        <v>0.26092306576314434</v>
      </c>
    </row>
    <row r="8041" spans="13:16">
      <c r="M8041">
        <v>0.27999687689945491</v>
      </c>
      <c r="N8041">
        <v>0.1798449243701026</v>
      </c>
      <c r="O8041">
        <v>0.29035435984118985</v>
      </c>
      <c r="P8041">
        <v>0.24980383888925256</v>
      </c>
    </row>
    <row r="8042" spans="13:16">
      <c r="M8042">
        <v>0.2887067161479121</v>
      </c>
      <c r="N8042">
        <v>0.19532287813956062</v>
      </c>
      <c r="O8042">
        <v>0.26239571054678368</v>
      </c>
      <c r="P8042">
        <v>0.25357469516574366</v>
      </c>
    </row>
    <row r="8043" spans="13:16">
      <c r="M8043">
        <v>0.30750870211103604</v>
      </c>
      <c r="N8043">
        <v>0.16976329152598404</v>
      </c>
      <c r="O8043">
        <v>0.26844471362300648</v>
      </c>
      <c r="P8043">
        <v>0.25428329273997341</v>
      </c>
    </row>
    <row r="8044" spans="13:16">
      <c r="M8044">
        <v>0.27825737970217035</v>
      </c>
      <c r="N8044">
        <v>0.21152971289866682</v>
      </c>
      <c r="O8044">
        <v>0.23282202114556061</v>
      </c>
      <c r="P8044">
        <v>0.27739088625360209</v>
      </c>
    </row>
    <row r="8045" spans="13:16">
      <c r="M8045">
        <v>0.31265025855239453</v>
      </c>
      <c r="N8045">
        <v>0.17714181628743886</v>
      </c>
      <c r="O8045">
        <v>0.25409031110804753</v>
      </c>
      <c r="P8045">
        <v>0.25611761405211919</v>
      </c>
    </row>
    <row r="8046" spans="13:16">
      <c r="M8046">
        <v>0.28953274583153615</v>
      </c>
      <c r="N8046">
        <v>0.19192287413329645</v>
      </c>
      <c r="O8046">
        <v>0.25913065627790993</v>
      </c>
      <c r="P8046">
        <v>0.25941372375725757</v>
      </c>
    </row>
    <row r="8047" spans="13:16">
      <c r="M8047">
        <v>0.28201573135138336</v>
      </c>
      <c r="N8047">
        <v>0.17128006246350211</v>
      </c>
      <c r="O8047">
        <v>0.2978489941449417</v>
      </c>
      <c r="P8047">
        <v>0.2488552120401728</v>
      </c>
    </row>
    <row r="8048" spans="13:16">
      <c r="M8048">
        <v>0.27662504452865255</v>
      </c>
      <c r="N8048">
        <v>0.17333864342148361</v>
      </c>
      <c r="O8048">
        <v>0.30529754314223601</v>
      </c>
      <c r="P8048">
        <v>0.24473876890762794</v>
      </c>
    </row>
    <row r="8049" spans="13:16">
      <c r="M8049">
        <v>0.30180824901041003</v>
      </c>
      <c r="N8049">
        <v>0.19280182761696091</v>
      </c>
      <c r="O8049">
        <v>0.23336528461512501</v>
      </c>
      <c r="P8049">
        <v>0.27202463875750421</v>
      </c>
    </row>
    <row r="8050" spans="13:16">
      <c r="M8050">
        <v>0.31883376430291932</v>
      </c>
      <c r="N8050">
        <v>0.17845906931385613</v>
      </c>
      <c r="O8050">
        <v>0.24594342829950555</v>
      </c>
      <c r="P8050">
        <v>0.25676373808371905</v>
      </c>
    </row>
    <row r="8051" spans="13:16">
      <c r="M8051">
        <v>0.30446680754952288</v>
      </c>
      <c r="N8051">
        <v>0.1918759101940524</v>
      </c>
      <c r="O8051">
        <v>0.24332509127889387</v>
      </c>
      <c r="P8051">
        <v>0.26033219097753085</v>
      </c>
    </row>
    <row r="8052" spans="13:16">
      <c r="M8052">
        <v>0.28133586636518232</v>
      </c>
      <c r="N8052">
        <v>0.18057864651194999</v>
      </c>
      <c r="O8052">
        <v>0.26797691940857371</v>
      </c>
      <c r="P8052">
        <v>0.27010856771429398</v>
      </c>
    </row>
    <row r="8053" spans="13:16">
      <c r="M8053">
        <v>0.30611864037447184</v>
      </c>
      <c r="N8053">
        <v>0.18523918006109077</v>
      </c>
      <c r="O8053">
        <v>0.24576613376335515</v>
      </c>
      <c r="P8053">
        <v>0.26287604580108231</v>
      </c>
    </row>
    <row r="8054" spans="13:16">
      <c r="M8054">
        <v>0.28228475494452543</v>
      </c>
      <c r="N8054">
        <v>0.19916439221018875</v>
      </c>
      <c r="O8054">
        <v>0.2494788324077519</v>
      </c>
      <c r="P8054">
        <v>0.26907202043753392</v>
      </c>
    </row>
    <row r="8055" spans="13:16">
      <c r="M8055">
        <v>0.30100313268268764</v>
      </c>
      <c r="N8055">
        <v>0.18229365122717772</v>
      </c>
      <c r="O8055">
        <v>0.2434271819292475</v>
      </c>
      <c r="P8055">
        <v>0.2732760341608873</v>
      </c>
    </row>
    <row r="8056" spans="13:16">
      <c r="M8056">
        <v>0.26140398059060582</v>
      </c>
      <c r="N8056">
        <v>0.19950610703176727</v>
      </c>
      <c r="O8056">
        <v>0.26575768436051028</v>
      </c>
      <c r="P8056">
        <v>0.27333222801711665</v>
      </c>
    </row>
    <row r="8057" spans="13:16">
      <c r="M8057">
        <v>0.29696997250547724</v>
      </c>
      <c r="N8057">
        <v>0.18230402653926206</v>
      </c>
      <c r="O8057">
        <v>0.24790742112868078</v>
      </c>
      <c r="P8057">
        <v>0.2728185798265797</v>
      </c>
    </row>
    <row r="8058" spans="13:16">
      <c r="M8058">
        <v>0.28519637011780241</v>
      </c>
      <c r="N8058">
        <v>0.1896616598245745</v>
      </c>
      <c r="O8058">
        <v>0.25516963391640607</v>
      </c>
      <c r="P8058">
        <v>0.26997233614121696</v>
      </c>
    </row>
    <row r="8059" spans="13:16">
      <c r="M8059">
        <v>0.28096303548541646</v>
      </c>
      <c r="N8059">
        <v>0.20728169218712536</v>
      </c>
      <c r="O8059">
        <v>0.24817772164103774</v>
      </c>
      <c r="P8059">
        <v>0.26357755068642041</v>
      </c>
    </row>
    <row r="8060" spans="13:16">
      <c r="M8060">
        <v>0.2809250192512957</v>
      </c>
      <c r="N8060">
        <v>0.18505667533987841</v>
      </c>
      <c r="O8060">
        <v>0.27389694596519937</v>
      </c>
      <c r="P8060">
        <v>0.26012135944362641</v>
      </c>
    </row>
    <row r="8061" spans="13:16">
      <c r="M8061">
        <v>0.27507746105638864</v>
      </c>
      <c r="N8061">
        <v>0.20893231412010982</v>
      </c>
      <c r="O8061">
        <v>0.23621944653009327</v>
      </c>
      <c r="P8061">
        <v>0.27977077829340813</v>
      </c>
    </row>
    <row r="8062" spans="13:16">
      <c r="M8062">
        <v>0.28192279172715518</v>
      </c>
      <c r="N8062">
        <v>0.16764954848469657</v>
      </c>
      <c r="O8062">
        <v>0.29736688005679995</v>
      </c>
      <c r="P8062">
        <v>0.25306077973134822</v>
      </c>
    </row>
    <row r="8063" spans="13:16">
      <c r="M8063">
        <v>0.2843042962263907</v>
      </c>
      <c r="N8063">
        <v>0.18512673846955219</v>
      </c>
      <c r="O8063">
        <v>0.26738569435623344</v>
      </c>
      <c r="P8063">
        <v>0.26318327094782368</v>
      </c>
    </row>
    <row r="8064" spans="13:16">
      <c r="M8064">
        <v>0.29393398592893966</v>
      </c>
      <c r="N8064">
        <v>0.19433150709384908</v>
      </c>
      <c r="O8064">
        <v>0.22713818533576227</v>
      </c>
      <c r="P8064">
        <v>0.28459632164144893</v>
      </c>
    </row>
    <row r="8065" spans="13:16">
      <c r="M8065">
        <v>0.28120914386654455</v>
      </c>
      <c r="N8065">
        <v>0.20033640605856212</v>
      </c>
      <c r="O8065">
        <v>0.24205780963978038</v>
      </c>
      <c r="P8065">
        <v>0.27639664043511286</v>
      </c>
    </row>
    <row r="8066" spans="13:16">
      <c r="M8066">
        <v>0.3231332381412324</v>
      </c>
      <c r="N8066">
        <v>0.16619464328307118</v>
      </c>
      <c r="O8066">
        <v>0.25874693089386125</v>
      </c>
      <c r="P8066">
        <v>0.25192518768183525</v>
      </c>
    </row>
    <row r="8067" spans="13:16">
      <c r="M8067">
        <v>0.28840848858033269</v>
      </c>
      <c r="N8067">
        <v>0.18097649515523773</v>
      </c>
      <c r="O8067">
        <v>0.27655516404659608</v>
      </c>
      <c r="P8067">
        <v>0.25405985221783356</v>
      </c>
    </row>
    <row r="8068" spans="13:16">
      <c r="M8068">
        <v>0.27053317086302842</v>
      </c>
      <c r="N8068">
        <v>0.20459738855194673</v>
      </c>
      <c r="O8068">
        <v>0.25902407413339795</v>
      </c>
      <c r="P8068">
        <v>0.26584536645162699</v>
      </c>
    </row>
    <row r="8069" spans="13:16">
      <c r="M8069">
        <v>0.31036724054178011</v>
      </c>
      <c r="N8069">
        <v>0.17774135204396749</v>
      </c>
      <c r="O8069">
        <v>0.27246649441766418</v>
      </c>
      <c r="P8069">
        <v>0.23942491299658827</v>
      </c>
    </row>
    <row r="8070" spans="13:16">
      <c r="M8070">
        <v>0.28502975147062781</v>
      </c>
      <c r="N8070">
        <v>0.18705682092311401</v>
      </c>
      <c r="O8070">
        <v>0.26727278395237519</v>
      </c>
      <c r="P8070">
        <v>0.26064064365388295</v>
      </c>
    </row>
    <row r="8071" spans="13:16">
      <c r="M8071">
        <v>0.27549794462645699</v>
      </c>
      <c r="N8071">
        <v>0.18871696503691862</v>
      </c>
      <c r="O8071">
        <v>0.26566205295917455</v>
      </c>
      <c r="P8071">
        <v>0.27012303737744986</v>
      </c>
    </row>
    <row r="8072" spans="13:16">
      <c r="M8072">
        <v>0.29180184241365964</v>
      </c>
      <c r="N8072">
        <v>0.17264383862264027</v>
      </c>
      <c r="O8072">
        <v>0.28362839799342193</v>
      </c>
      <c r="P8072">
        <v>0.25192592097027833</v>
      </c>
    </row>
    <row r="8073" spans="13:16">
      <c r="M8073">
        <v>0.30066310742816771</v>
      </c>
      <c r="N8073">
        <v>0.17583929134454393</v>
      </c>
      <c r="O8073">
        <v>0.26473010848355155</v>
      </c>
      <c r="P8073">
        <v>0.25876749274373684</v>
      </c>
    </row>
    <row r="8074" spans="13:16">
      <c r="M8074">
        <v>0.26375128951088572</v>
      </c>
      <c r="N8074">
        <v>0.20632586478632101</v>
      </c>
      <c r="O8074">
        <v>0.26360662996864681</v>
      </c>
      <c r="P8074">
        <v>0.26631621573414643</v>
      </c>
    </row>
    <row r="8075" spans="13:16">
      <c r="M8075">
        <v>0.3229266168890802</v>
      </c>
      <c r="N8075">
        <v>0.18245282439274041</v>
      </c>
      <c r="O8075">
        <v>0.23927503661017996</v>
      </c>
      <c r="P8075">
        <v>0.25534552210799927</v>
      </c>
    </row>
    <row r="8076" spans="13:16">
      <c r="M8076">
        <v>0.28770538293782577</v>
      </c>
      <c r="N8076">
        <v>0.19218223844851212</v>
      </c>
      <c r="O8076">
        <v>0.24663350682738092</v>
      </c>
      <c r="P8076">
        <v>0.27347887178628111</v>
      </c>
    </row>
    <row r="8077" spans="13:16">
      <c r="M8077">
        <v>0.28617020784944441</v>
      </c>
      <c r="N8077">
        <v>0.202885790847777</v>
      </c>
      <c r="O8077">
        <v>0.23047700697367121</v>
      </c>
      <c r="P8077">
        <v>0.28046699432910743</v>
      </c>
    </row>
    <row r="8078" spans="13:16">
      <c r="M8078">
        <v>0.2847122813885003</v>
      </c>
      <c r="N8078">
        <v>0.18640798893295288</v>
      </c>
      <c r="O8078">
        <v>0.28243088041071435</v>
      </c>
      <c r="P8078">
        <v>0.24644884926783259</v>
      </c>
    </row>
    <row r="8079" spans="13:16">
      <c r="M8079">
        <v>0.3021530523214595</v>
      </c>
      <c r="N8079">
        <v>0.17244943005896007</v>
      </c>
      <c r="O8079">
        <v>0.25085725473667753</v>
      </c>
      <c r="P8079">
        <v>0.2745402628829029</v>
      </c>
    </row>
    <row r="8080" spans="13:16">
      <c r="M8080">
        <v>0.3210700964290068</v>
      </c>
      <c r="N8080">
        <v>0.16713211214998322</v>
      </c>
      <c r="O8080">
        <v>0.27096399689828971</v>
      </c>
      <c r="P8080">
        <v>0.2408337945227205</v>
      </c>
    </row>
    <row r="8081" spans="13:16">
      <c r="M8081">
        <v>0.28657743634461263</v>
      </c>
      <c r="N8081">
        <v>0.19812273089548135</v>
      </c>
      <c r="O8081">
        <v>0.23837734735858057</v>
      </c>
      <c r="P8081">
        <v>0.27692248540132541</v>
      </c>
    </row>
    <row r="8082" spans="13:16">
      <c r="M8082">
        <v>0.28781849425354217</v>
      </c>
      <c r="N8082">
        <v>0.17419888727760652</v>
      </c>
      <c r="O8082">
        <v>0.29175709714623116</v>
      </c>
      <c r="P8082">
        <v>0.24622552132262016</v>
      </c>
    </row>
    <row r="8083" spans="13:16">
      <c r="M8083">
        <v>0.27971997815305505</v>
      </c>
      <c r="N8083">
        <v>0.19817504694179014</v>
      </c>
      <c r="O8083">
        <v>0.24870795604630455</v>
      </c>
      <c r="P8083">
        <v>0.27339701885885026</v>
      </c>
    </row>
    <row r="8084" spans="13:16">
      <c r="M8084">
        <v>0.32471362308104129</v>
      </c>
      <c r="N8084">
        <v>0.16729374737185201</v>
      </c>
      <c r="O8084">
        <v>0.24679739463705969</v>
      </c>
      <c r="P8084">
        <v>0.26119523491004709</v>
      </c>
    </row>
    <row r="8085" spans="13:16">
      <c r="M8085">
        <v>0.29913828599066961</v>
      </c>
      <c r="N8085">
        <v>0.18615673743312805</v>
      </c>
      <c r="O8085">
        <v>0.25717983474491385</v>
      </c>
      <c r="P8085">
        <v>0.25752514183128844</v>
      </c>
    </row>
    <row r="8086" spans="13:16">
      <c r="M8086">
        <v>0.31819219461988707</v>
      </c>
      <c r="N8086">
        <v>0.19600839331403369</v>
      </c>
      <c r="O8086">
        <v>0.21669417652729825</v>
      </c>
      <c r="P8086">
        <v>0.26910523553878091</v>
      </c>
    </row>
    <row r="8087" spans="13:16">
      <c r="M8087">
        <v>0.28520706239964544</v>
      </c>
      <c r="N8087">
        <v>0.20834277496190148</v>
      </c>
      <c r="O8087">
        <v>0.24295191715084899</v>
      </c>
      <c r="P8087">
        <v>0.26349824548760409</v>
      </c>
    </row>
    <row r="8088" spans="13:16">
      <c r="M8088">
        <v>0.2829805931730941</v>
      </c>
      <c r="N8088">
        <v>0.16978383926209492</v>
      </c>
      <c r="O8088">
        <v>0.29380635256198462</v>
      </c>
      <c r="P8088">
        <v>0.25342921500282634</v>
      </c>
    </row>
    <row r="8089" spans="13:16">
      <c r="M8089">
        <v>0.30937790058135667</v>
      </c>
      <c r="N8089">
        <v>0.19521893842367244</v>
      </c>
      <c r="O8089">
        <v>0.22830274529966141</v>
      </c>
      <c r="P8089">
        <v>0.26710041569530946</v>
      </c>
    </row>
    <row r="8090" spans="13:16">
      <c r="M8090">
        <v>0.29374592898819568</v>
      </c>
      <c r="N8090">
        <v>0.1782132722631084</v>
      </c>
      <c r="O8090">
        <v>0.25613673885150867</v>
      </c>
      <c r="P8090">
        <v>0.27190405989718719</v>
      </c>
    </row>
    <row r="8091" spans="13:16">
      <c r="M8091">
        <v>0.30423799696027193</v>
      </c>
      <c r="N8091">
        <v>0.18160582744302492</v>
      </c>
      <c r="O8091">
        <v>0.26895347059448427</v>
      </c>
      <c r="P8091">
        <v>0.2452027050022188</v>
      </c>
    </row>
    <row r="8092" spans="13:16">
      <c r="M8092">
        <v>0.31763073140862536</v>
      </c>
      <c r="N8092">
        <v>0.16957356833957277</v>
      </c>
      <c r="O8092">
        <v>0.25122944798594882</v>
      </c>
      <c r="P8092">
        <v>0.26156625226585306</v>
      </c>
    </row>
    <row r="8093" spans="13:16">
      <c r="M8093">
        <v>0.30208351453218624</v>
      </c>
      <c r="N8093">
        <v>0.19207020846659617</v>
      </c>
      <c r="O8093">
        <v>0.23646287558786788</v>
      </c>
      <c r="P8093">
        <v>0.26938340141334965</v>
      </c>
    </row>
    <row r="8094" spans="13:16">
      <c r="M8094">
        <v>0.30799813109400043</v>
      </c>
      <c r="N8094">
        <v>0.1797579240938145</v>
      </c>
      <c r="O8094">
        <v>0.26469933033094595</v>
      </c>
      <c r="P8094">
        <v>0.24754461448123902</v>
      </c>
    </row>
    <row r="8095" spans="13:16">
      <c r="M8095">
        <v>0.29478741114681406</v>
      </c>
      <c r="N8095">
        <v>0.20132432466741157</v>
      </c>
      <c r="O8095">
        <v>0.21049739718393851</v>
      </c>
      <c r="P8095">
        <v>0.29339086700183575</v>
      </c>
    </row>
    <row r="8096" spans="13:16">
      <c r="M8096">
        <v>0.30365572544727054</v>
      </c>
      <c r="N8096">
        <v>0.19397438104345885</v>
      </c>
      <c r="O8096">
        <v>0.24642318163961296</v>
      </c>
      <c r="P8096">
        <v>0.25594671186965762</v>
      </c>
    </row>
    <row r="8097" spans="13:16">
      <c r="M8097">
        <v>0.30303716335370395</v>
      </c>
      <c r="N8097">
        <v>0.17674235403126665</v>
      </c>
      <c r="O8097">
        <v>0.26257198237930335</v>
      </c>
      <c r="P8097">
        <v>0.25764850023572605</v>
      </c>
    </row>
    <row r="8098" spans="13:16">
      <c r="M8098">
        <v>0.28002253013221534</v>
      </c>
      <c r="N8098">
        <v>0.20550786596704976</v>
      </c>
      <c r="O8098">
        <v>0.23469686453926983</v>
      </c>
      <c r="P8098">
        <v>0.27977273936146496</v>
      </c>
    </row>
    <row r="8099" spans="13:16">
      <c r="M8099">
        <v>0.31425929424661952</v>
      </c>
      <c r="N8099">
        <v>0.17773361102992002</v>
      </c>
      <c r="O8099">
        <v>0.23448698798764014</v>
      </c>
      <c r="P8099">
        <v>0.27352010673582028</v>
      </c>
    </row>
    <row r="8100" spans="13:16">
      <c r="M8100">
        <v>0.27976729031887176</v>
      </c>
      <c r="N8100">
        <v>0.1693800492770686</v>
      </c>
      <c r="O8100">
        <v>0.29661944713068317</v>
      </c>
      <c r="P8100">
        <v>0.25423321327337628</v>
      </c>
    </row>
    <row r="8101" spans="13:16">
      <c r="M8101">
        <v>0.27254435352226397</v>
      </c>
      <c r="N8101">
        <v>0.19516231483982452</v>
      </c>
      <c r="O8101">
        <v>0.25816423566658042</v>
      </c>
      <c r="P8101">
        <v>0.27412909597133106</v>
      </c>
    </row>
    <row r="8102" spans="13:16">
      <c r="M8102">
        <v>0.29311755594802957</v>
      </c>
      <c r="N8102">
        <v>0.18014810151404129</v>
      </c>
      <c r="O8102">
        <v>0.28423981229885625</v>
      </c>
      <c r="P8102">
        <v>0.2424945302390728</v>
      </c>
    </row>
    <row r="8103" spans="13:16">
      <c r="M8103">
        <v>0.32369456519541018</v>
      </c>
      <c r="N8103">
        <v>0.17244185492408606</v>
      </c>
      <c r="O8103">
        <v>0.24263719091601593</v>
      </c>
      <c r="P8103">
        <v>0.2612263889644878</v>
      </c>
    </row>
    <row r="8104" spans="13:16">
      <c r="M8104">
        <v>0.30559862147373279</v>
      </c>
      <c r="N8104">
        <v>0.19764199817137412</v>
      </c>
      <c r="O8104">
        <v>0.23735045435927415</v>
      </c>
      <c r="P8104">
        <v>0.25940892599561893</v>
      </c>
    </row>
    <row r="8105" spans="13:16">
      <c r="M8105">
        <v>0.31757601151476406</v>
      </c>
      <c r="N8105">
        <v>0.17228096744282853</v>
      </c>
      <c r="O8105">
        <v>0.26191034592930584</v>
      </c>
      <c r="P8105">
        <v>0.2482326751131016</v>
      </c>
    </row>
    <row r="8106" spans="13:16">
      <c r="M8106">
        <v>0.2969794789979921</v>
      </c>
      <c r="N8106">
        <v>0.18197918967803275</v>
      </c>
      <c r="O8106">
        <v>0.25332624976880214</v>
      </c>
      <c r="P8106">
        <v>0.26771508155517298</v>
      </c>
    </row>
    <row r="8107" spans="13:16">
      <c r="M8107">
        <v>0.28325453250893101</v>
      </c>
      <c r="N8107">
        <v>0.21436101280799064</v>
      </c>
      <c r="O8107">
        <v>0.23084710478912468</v>
      </c>
      <c r="P8107">
        <v>0.27153734989395356</v>
      </c>
    </row>
    <row r="8108" spans="13:16">
      <c r="M8108">
        <v>0.29477375264131522</v>
      </c>
      <c r="N8108">
        <v>0.18026205412515708</v>
      </c>
      <c r="O8108">
        <v>0.24011045456614047</v>
      </c>
      <c r="P8108">
        <v>0.28485373866738728</v>
      </c>
    </row>
    <row r="8109" spans="13:16">
      <c r="M8109">
        <v>0.30101815657625075</v>
      </c>
      <c r="N8109">
        <v>0.20406561510129947</v>
      </c>
      <c r="O8109">
        <v>0.21150668277066706</v>
      </c>
      <c r="P8109">
        <v>0.28340954555178277</v>
      </c>
    </row>
    <row r="8110" spans="13:16">
      <c r="M8110">
        <v>0.29900871484834085</v>
      </c>
      <c r="N8110">
        <v>0.18723847337681152</v>
      </c>
      <c r="O8110">
        <v>0.23433651377035297</v>
      </c>
      <c r="P8110">
        <v>0.27941629800449463</v>
      </c>
    </row>
    <row r="8111" spans="13:16">
      <c r="M8111">
        <v>0.29127917745451176</v>
      </c>
      <c r="N8111">
        <v>0.16647494918371539</v>
      </c>
      <c r="O8111">
        <v>0.29772557515338444</v>
      </c>
      <c r="P8111">
        <v>0.24452029820838836</v>
      </c>
    </row>
    <row r="8112" spans="13:16">
      <c r="M8112">
        <v>0.31731152133161988</v>
      </c>
      <c r="N8112">
        <v>0.18306853238681159</v>
      </c>
      <c r="O8112">
        <v>0.23829261179047048</v>
      </c>
      <c r="P8112">
        <v>0.26132733449109807</v>
      </c>
    </row>
    <row r="8113" spans="13:16">
      <c r="M8113">
        <v>0.27144156927342233</v>
      </c>
      <c r="N8113">
        <v>0.19341853908167342</v>
      </c>
      <c r="O8113">
        <v>0.28164973590286763</v>
      </c>
      <c r="P8113">
        <v>0.25349015574203659</v>
      </c>
    </row>
    <row r="8114" spans="13:16">
      <c r="M8114">
        <v>0.28651791285163342</v>
      </c>
      <c r="N8114">
        <v>0.21165473203823434</v>
      </c>
      <c r="O8114">
        <v>0.22930667283724129</v>
      </c>
      <c r="P8114">
        <v>0.27252068227289095</v>
      </c>
    </row>
    <row r="8115" spans="13:16">
      <c r="M8115">
        <v>0.30943312892677333</v>
      </c>
      <c r="N8115">
        <v>0.18884191542778514</v>
      </c>
      <c r="O8115">
        <v>0.24472576582423664</v>
      </c>
      <c r="P8115">
        <v>0.25699918982120484</v>
      </c>
    </row>
    <row r="8116" spans="13:16">
      <c r="M8116">
        <v>0.3006353685557257</v>
      </c>
      <c r="N8116">
        <v>0.20540644243440992</v>
      </c>
      <c r="O8116">
        <v>0.24127031380246888</v>
      </c>
      <c r="P8116">
        <v>0.25268787520739561</v>
      </c>
    </row>
    <row r="8117" spans="13:16">
      <c r="M8117">
        <v>0.30774022708054666</v>
      </c>
      <c r="N8117">
        <v>0.18828231312878471</v>
      </c>
      <c r="O8117">
        <v>0.22071346259834598</v>
      </c>
      <c r="P8117">
        <v>0.28326399719232259</v>
      </c>
    </row>
    <row r="8118" spans="13:16">
      <c r="M8118">
        <v>0.28900592024246136</v>
      </c>
      <c r="N8118">
        <v>0.18716628862806917</v>
      </c>
      <c r="O8118">
        <v>0.23182658386904983</v>
      </c>
      <c r="P8118">
        <v>0.2920012072604195</v>
      </c>
    </row>
    <row r="8119" spans="13:16">
      <c r="M8119">
        <v>0.30677366649784304</v>
      </c>
      <c r="N8119">
        <v>0.17785272677007183</v>
      </c>
      <c r="O8119">
        <v>0.26298848393515639</v>
      </c>
      <c r="P8119">
        <v>0.25238512279692882</v>
      </c>
    </row>
    <row r="8120" spans="13:16">
      <c r="M8120">
        <v>0.31202849236364483</v>
      </c>
      <c r="N8120">
        <v>0.18551679028769932</v>
      </c>
      <c r="O8120">
        <v>0.21865494780063002</v>
      </c>
      <c r="P8120">
        <v>0.28379976954802588</v>
      </c>
    </row>
    <row r="8121" spans="13:16">
      <c r="M8121">
        <v>0.27725162168063977</v>
      </c>
      <c r="N8121">
        <v>0.18555139493254164</v>
      </c>
      <c r="O8121">
        <v>0.26834803003085189</v>
      </c>
      <c r="P8121">
        <v>0.26884895335596659</v>
      </c>
    </row>
    <row r="8122" spans="13:16">
      <c r="M8122">
        <v>0.27462766132103344</v>
      </c>
      <c r="N8122">
        <v>0.17842151050017421</v>
      </c>
      <c r="O8122">
        <v>0.28475214252888753</v>
      </c>
      <c r="P8122">
        <v>0.26219868564990484</v>
      </c>
    </row>
    <row r="8123" spans="13:16">
      <c r="M8123">
        <v>0.29164753198456916</v>
      </c>
      <c r="N8123">
        <v>0.17029038237318062</v>
      </c>
      <c r="O8123">
        <v>0.27145475255969082</v>
      </c>
      <c r="P8123">
        <v>0.26660733308255935</v>
      </c>
    </row>
    <row r="8124" spans="13:16">
      <c r="M8124">
        <v>0.3115696611543633</v>
      </c>
      <c r="N8124">
        <v>0.19216443659517635</v>
      </c>
      <c r="O8124">
        <v>0.22866445794908311</v>
      </c>
      <c r="P8124">
        <v>0.26760144430137728</v>
      </c>
    </row>
    <row r="8125" spans="13:16">
      <c r="M8125">
        <v>0.27759960801169514</v>
      </c>
      <c r="N8125">
        <v>0.18502508350380337</v>
      </c>
      <c r="O8125">
        <v>0.27367422249025508</v>
      </c>
      <c r="P8125">
        <v>0.26370108599424646</v>
      </c>
    </row>
    <row r="8126" spans="13:16">
      <c r="M8126">
        <v>0.295327716753091</v>
      </c>
      <c r="N8126">
        <v>0.17381661862900991</v>
      </c>
      <c r="O8126">
        <v>0.25593077458769425</v>
      </c>
      <c r="P8126">
        <v>0.27492489003020482</v>
      </c>
    </row>
    <row r="8127" spans="13:16">
      <c r="M8127">
        <v>0.29808092243001916</v>
      </c>
      <c r="N8127">
        <v>0.19107746160009872</v>
      </c>
      <c r="O8127">
        <v>0.23946441917176431</v>
      </c>
      <c r="P8127">
        <v>0.27137719679811784</v>
      </c>
    </row>
    <row r="8128" spans="13:16">
      <c r="M8128">
        <v>0.28765352801531019</v>
      </c>
      <c r="N8128">
        <v>0.20422887565381639</v>
      </c>
      <c r="O8128">
        <v>0.24676742898802195</v>
      </c>
      <c r="P8128">
        <v>0.26135016734285155</v>
      </c>
    </row>
    <row r="8129" spans="13:16">
      <c r="M8129">
        <v>0.28344598119334907</v>
      </c>
      <c r="N8129">
        <v>0.2063134110953791</v>
      </c>
      <c r="O8129">
        <v>0.24058438425038134</v>
      </c>
      <c r="P8129">
        <v>0.26965622346089047</v>
      </c>
    </row>
    <row r="8130" spans="13:16">
      <c r="M8130">
        <v>0.3008488166414599</v>
      </c>
      <c r="N8130">
        <v>0.17727761156947075</v>
      </c>
      <c r="O8130">
        <v>0.23537944085902593</v>
      </c>
      <c r="P8130">
        <v>0.28649413093004339</v>
      </c>
    </row>
    <row r="8131" spans="13:16">
      <c r="M8131">
        <v>0.27468853552373679</v>
      </c>
      <c r="N8131">
        <v>0.19782468924677718</v>
      </c>
      <c r="O8131">
        <v>0.25387576557809372</v>
      </c>
      <c r="P8131">
        <v>0.27361100965139218</v>
      </c>
    </row>
    <row r="8132" spans="13:16">
      <c r="M8132">
        <v>0.30697859023116508</v>
      </c>
      <c r="N8132">
        <v>0.18534702669638364</v>
      </c>
      <c r="O8132">
        <v>0.23619396370802481</v>
      </c>
      <c r="P8132">
        <v>0.27148041936442646</v>
      </c>
    </row>
    <row r="8133" spans="13:16">
      <c r="M8133">
        <v>0.26772036266868432</v>
      </c>
      <c r="N8133">
        <v>0.19220588556947471</v>
      </c>
      <c r="O8133">
        <v>0.27246584129134643</v>
      </c>
      <c r="P8133">
        <v>0.26760791047049459</v>
      </c>
    </row>
    <row r="8134" spans="13:16">
      <c r="M8134">
        <v>0.30647300483654916</v>
      </c>
      <c r="N8134">
        <v>0.17265385347533302</v>
      </c>
      <c r="O8134">
        <v>0.25754921645783596</v>
      </c>
      <c r="P8134">
        <v>0.26332392523028186</v>
      </c>
    </row>
    <row r="8135" spans="13:16">
      <c r="M8135">
        <v>0.27577474892797688</v>
      </c>
      <c r="N8135">
        <v>0.18609799242436575</v>
      </c>
      <c r="O8135">
        <v>0.26062570434393417</v>
      </c>
      <c r="P8135">
        <v>0.27750155430372325</v>
      </c>
    </row>
    <row r="8136" spans="13:16">
      <c r="M8136">
        <v>0.27285793201206104</v>
      </c>
      <c r="N8136">
        <v>0.18968527886436631</v>
      </c>
      <c r="O8136">
        <v>0.25073400177933791</v>
      </c>
      <c r="P8136">
        <v>0.28672278734423473</v>
      </c>
    </row>
    <row r="8137" spans="13:16">
      <c r="M8137">
        <v>0.29610451236783519</v>
      </c>
      <c r="N8137">
        <v>0.18922329872753543</v>
      </c>
      <c r="O8137">
        <v>0.24274303822821691</v>
      </c>
      <c r="P8137">
        <v>0.27192915067641249</v>
      </c>
    </row>
    <row r="8138" spans="13:16">
      <c r="M8138">
        <v>0.30542870354847385</v>
      </c>
      <c r="N8138">
        <v>0.17551869053895072</v>
      </c>
      <c r="O8138">
        <v>0.27083425482480616</v>
      </c>
      <c r="P8138">
        <v>0.24821835108776924</v>
      </c>
    </row>
    <row r="8139" spans="13:16">
      <c r="M8139">
        <v>0.27837916898525805</v>
      </c>
      <c r="N8139">
        <v>0.19690403926511324</v>
      </c>
      <c r="O8139">
        <v>0.25320880610463886</v>
      </c>
      <c r="P8139">
        <v>0.27150798564498996</v>
      </c>
    </row>
    <row r="8140" spans="13:16">
      <c r="M8140">
        <v>0.31444129129700166</v>
      </c>
      <c r="N8140">
        <v>0.16828818765080136</v>
      </c>
      <c r="O8140">
        <v>0.25452877713286809</v>
      </c>
      <c r="P8140">
        <v>0.26274174391932908</v>
      </c>
    </row>
    <row r="8141" spans="13:16">
      <c r="M8141">
        <v>0.32396788809757138</v>
      </c>
      <c r="N8141">
        <v>0.17972059524341005</v>
      </c>
      <c r="O8141">
        <v>0.22674610271231671</v>
      </c>
      <c r="P8141">
        <v>0.2695654139467018</v>
      </c>
    </row>
    <row r="8142" spans="13:16">
      <c r="M8142">
        <v>0.30432096565733513</v>
      </c>
      <c r="N8142">
        <v>0.1737368572220408</v>
      </c>
      <c r="O8142">
        <v>0.25468414335635015</v>
      </c>
      <c r="P8142">
        <v>0.26725803376427393</v>
      </c>
    </row>
    <row r="8143" spans="13:16">
      <c r="M8143">
        <v>0.29181634231517167</v>
      </c>
      <c r="N8143">
        <v>0.18697672404095517</v>
      </c>
      <c r="O8143">
        <v>0.25268042781459332</v>
      </c>
      <c r="P8143">
        <v>0.26852650582927973</v>
      </c>
    </row>
    <row r="8144" spans="13:16">
      <c r="M8144">
        <v>0.29609954662244919</v>
      </c>
      <c r="N8144">
        <v>0.17804845448009443</v>
      </c>
      <c r="O8144">
        <v>0.25402993520521616</v>
      </c>
      <c r="P8144">
        <v>0.27182206369224032</v>
      </c>
    </row>
    <row r="8145" spans="13:16">
      <c r="M8145">
        <v>0.30322316468782962</v>
      </c>
      <c r="N8145">
        <v>0.18252351755709703</v>
      </c>
      <c r="O8145">
        <v>0.24204258474057819</v>
      </c>
      <c r="P8145">
        <v>0.27221073301449517</v>
      </c>
    </row>
    <row r="8146" spans="13:16">
      <c r="M8146">
        <v>0.31319640045403446</v>
      </c>
      <c r="N8146">
        <v>0.18205555912649837</v>
      </c>
      <c r="O8146">
        <v>0.23951098795181566</v>
      </c>
      <c r="P8146">
        <v>0.26523705246765161</v>
      </c>
    </row>
    <row r="8147" spans="13:16">
      <c r="M8147">
        <v>0.31733616128681608</v>
      </c>
      <c r="N8147">
        <v>0.1733178109030187</v>
      </c>
      <c r="O8147">
        <v>0.24122207723168726</v>
      </c>
      <c r="P8147">
        <v>0.26812395057847793</v>
      </c>
    </row>
    <row r="8148" spans="13:16">
      <c r="M8148">
        <v>0.32248819549550328</v>
      </c>
      <c r="N8148">
        <v>0.19195351155692034</v>
      </c>
      <c r="O8148">
        <v>0.21851169329975942</v>
      </c>
      <c r="P8148">
        <v>0.26704659964781685</v>
      </c>
    </row>
    <row r="8149" spans="13:16">
      <c r="M8149">
        <v>0.31861995777399316</v>
      </c>
      <c r="N8149">
        <v>0.1636061392863962</v>
      </c>
      <c r="O8149">
        <v>0.27323654083381987</v>
      </c>
      <c r="P8149">
        <v>0.24453736210579077</v>
      </c>
    </row>
    <row r="8150" spans="13:16">
      <c r="M8150">
        <v>0.28696201209355565</v>
      </c>
      <c r="N8150">
        <v>0.17226144923330181</v>
      </c>
      <c r="O8150">
        <v>0.2850476866524379</v>
      </c>
      <c r="P8150">
        <v>0.25572885202070461</v>
      </c>
    </row>
    <row r="8151" spans="13:16">
      <c r="M8151">
        <v>0.2863609768670492</v>
      </c>
      <c r="N8151">
        <v>0.17963324050683876</v>
      </c>
      <c r="O8151">
        <v>0.25582115763123725</v>
      </c>
      <c r="P8151">
        <v>0.27818462499487479</v>
      </c>
    </row>
    <row r="8152" spans="13:16">
      <c r="M8152">
        <v>0.30007269436952977</v>
      </c>
      <c r="N8152">
        <v>0.1751756333734826</v>
      </c>
      <c r="O8152">
        <v>0.26921139087062618</v>
      </c>
      <c r="P8152">
        <v>0.25554028138636148</v>
      </c>
    </row>
    <row r="8153" spans="13:16">
      <c r="M8153">
        <v>0.28160338392132461</v>
      </c>
      <c r="N8153">
        <v>0.17221465196564362</v>
      </c>
      <c r="O8153">
        <v>0.27342125246045745</v>
      </c>
      <c r="P8153">
        <v>0.27276071165257426</v>
      </c>
    </row>
    <row r="8154" spans="13:16">
      <c r="M8154">
        <v>0.28742733772234175</v>
      </c>
      <c r="N8154">
        <v>0.20049933103918657</v>
      </c>
      <c r="O8154">
        <v>0.2323191092616616</v>
      </c>
      <c r="P8154">
        <v>0.27975422197681016</v>
      </c>
    </row>
    <row r="8155" spans="13:16">
      <c r="M8155">
        <v>0.29319884763508464</v>
      </c>
      <c r="N8155">
        <v>0.19822620688456646</v>
      </c>
      <c r="O8155">
        <v>0.22431400755689479</v>
      </c>
      <c r="P8155">
        <v>0.28426093792345414</v>
      </c>
    </row>
    <row r="8156" spans="13:16">
      <c r="M8156">
        <v>0.30050101442745303</v>
      </c>
      <c r="N8156">
        <v>0.18663747818266599</v>
      </c>
      <c r="O8156">
        <v>0.2539723616368188</v>
      </c>
      <c r="P8156">
        <v>0.25888914575306216</v>
      </c>
    </row>
    <row r="8157" spans="13:16">
      <c r="M8157">
        <v>0.31272229413945835</v>
      </c>
      <c r="N8157">
        <v>0.17037538158409274</v>
      </c>
      <c r="O8157">
        <v>0.27483150165029774</v>
      </c>
      <c r="P8157">
        <v>0.24207082262615121</v>
      </c>
    </row>
    <row r="8158" spans="13:16">
      <c r="M8158">
        <v>0.28828469854910627</v>
      </c>
      <c r="N8158">
        <v>0.18157211951609958</v>
      </c>
      <c r="O8158">
        <v>0.26569191488445665</v>
      </c>
      <c r="P8158">
        <v>0.26445126705033756</v>
      </c>
    </row>
    <row r="8159" spans="13:16">
      <c r="M8159">
        <v>0.27687789066057683</v>
      </c>
      <c r="N8159">
        <v>0.19185989075589716</v>
      </c>
      <c r="O8159">
        <v>0.26695892404075827</v>
      </c>
      <c r="P8159">
        <v>0.26430329454276785</v>
      </c>
    </row>
    <row r="8160" spans="13:16">
      <c r="M8160">
        <v>0.30149468273769942</v>
      </c>
      <c r="N8160">
        <v>0.17451761961538126</v>
      </c>
      <c r="O8160">
        <v>0.25788909162821216</v>
      </c>
      <c r="P8160">
        <v>0.26609860601870711</v>
      </c>
    </row>
    <row r="8161" spans="13:16">
      <c r="M8161">
        <v>0.27677761383284782</v>
      </c>
      <c r="N8161">
        <v>0.19072388328700771</v>
      </c>
      <c r="O8161">
        <v>0.26816125208836644</v>
      </c>
      <c r="P8161">
        <v>0.26433725079177794</v>
      </c>
    </row>
    <row r="8162" spans="13:16">
      <c r="M8162">
        <v>0.29061170216489079</v>
      </c>
      <c r="N8162">
        <v>0.18745743925299013</v>
      </c>
      <c r="O8162">
        <v>0.26186646986444645</v>
      </c>
      <c r="P8162">
        <v>0.26006438871767273</v>
      </c>
    </row>
    <row r="8163" spans="13:16">
      <c r="M8163">
        <v>0.2644490559712907</v>
      </c>
      <c r="N8163">
        <v>0.20301629904406218</v>
      </c>
      <c r="O8163">
        <v>0.27112015304081072</v>
      </c>
      <c r="P8163">
        <v>0.26141449194383642</v>
      </c>
    </row>
    <row r="8164" spans="13:16">
      <c r="M8164">
        <v>0.27797101454295176</v>
      </c>
      <c r="N8164">
        <v>0.18056835952493175</v>
      </c>
      <c r="O8164">
        <v>0.27322080144808281</v>
      </c>
      <c r="P8164">
        <v>0.26823982448403355</v>
      </c>
    </row>
    <row r="8165" spans="13:16">
      <c r="M8165">
        <v>0.2735313143226808</v>
      </c>
      <c r="N8165">
        <v>0.18372505270312248</v>
      </c>
      <c r="O8165">
        <v>0.26115794494472566</v>
      </c>
      <c r="P8165">
        <v>0.28158568802947104</v>
      </c>
    </row>
    <row r="8166" spans="13:16">
      <c r="M8166">
        <v>0.3195551587092616</v>
      </c>
      <c r="N8166">
        <v>0.16827683872669338</v>
      </c>
      <c r="O8166">
        <v>0.24967532358451353</v>
      </c>
      <c r="P8166">
        <v>0.26249267897953144</v>
      </c>
    </row>
    <row r="8167" spans="13:16">
      <c r="M8167">
        <v>0.29850771031607626</v>
      </c>
      <c r="N8167">
        <v>0.17677235088475796</v>
      </c>
      <c r="O8167">
        <v>0.27201936057537851</v>
      </c>
      <c r="P8167">
        <v>0.25270057822378728</v>
      </c>
    </row>
    <row r="8168" spans="13:16">
      <c r="M8168">
        <v>0.26721944806146386</v>
      </c>
      <c r="N8168">
        <v>0.20202556827266802</v>
      </c>
      <c r="O8168">
        <v>0.25835802388287427</v>
      </c>
      <c r="P8168">
        <v>0.27239695978299389</v>
      </c>
    </row>
    <row r="8169" spans="13:16">
      <c r="M8169">
        <v>0.30852635486268493</v>
      </c>
      <c r="N8169">
        <v>0.1716427084052248</v>
      </c>
      <c r="O8169">
        <v>0.26176123257254552</v>
      </c>
      <c r="P8169">
        <v>0.25806970415954461</v>
      </c>
    </row>
    <row r="8170" spans="13:16">
      <c r="M8170">
        <v>0.27393794580719488</v>
      </c>
      <c r="N8170">
        <v>0.210374439140117</v>
      </c>
      <c r="O8170">
        <v>0.24521010518600092</v>
      </c>
      <c r="P8170">
        <v>0.27047750986668728</v>
      </c>
    </row>
    <row r="8171" spans="13:16">
      <c r="M8171">
        <v>0.29602460906552264</v>
      </c>
      <c r="N8171">
        <v>0.18840560709785234</v>
      </c>
      <c r="O8171">
        <v>0.24825295112718426</v>
      </c>
      <c r="P8171">
        <v>0.26731683270944068</v>
      </c>
    </row>
    <row r="8172" spans="13:16">
      <c r="M8172">
        <v>0.30091470591024438</v>
      </c>
      <c r="N8172">
        <v>0.17385035320242165</v>
      </c>
      <c r="O8172">
        <v>0.26232546769887161</v>
      </c>
      <c r="P8172">
        <v>0.26290947318846236</v>
      </c>
    </row>
    <row r="8173" spans="13:16">
      <c r="M8173">
        <v>0.27284129100746063</v>
      </c>
      <c r="N8173">
        <v>0.18880261938492149</v>
      </c>
      <c r="O8173">
        <v>0.27812656349505538</v>
      </c>
      <c r="P8173">
        <v>0.26022952611256245</v>
      </c>
    </row>
    <row r="8174" spans="13:16">
      <c r="M8174">
        <v>0.29268614718770969</v>
      </c>
      <c r="N8174">
        <v>0.18870867951397385</v>
      </c>
      <c r="O8174">
        <v>0.23168444713189532</v>
      </c>
      <c r="P8174">
        <v>0.28692072616642122</v>
      </c>
    </row>
    <row r="8175" spans="13:16">
      <c r="M8175">
        <v>0.28888762035392324</v>
      </c>
      <c r="N8175">
        <v>0.17381562311434329</v>
      </c>
      <c r="O8175">
        <v>0.28055939994866075</v>
      </c>
      <c r="P8175">
        <v>0.25673735658307273</v>
      </c>
    </row>
    <row r="8176" spans="13:16">
      <c r="M8176">
        <v>0.27710387977970868</v>
      </c>
      <c r="N8176">
        <v>0.20089104607759842</v>
      </c>
      <c r="O8176">
        <v>0.2595038781170797</v>
      </c>
      <c r="P8176">
        <v>0.26250119602561323</v>
      </c>
    </row>
    <row r="8177" spans="13:16">
      <c r="M8177">
        <v>0.31142079370263004</v>
      </c>
      <c r="N8177">
        <v>0.17668206749298168</v>
      </c>
      <c r="O8177">
        <v>0.24741323242060784</v>
      </c>
      <c r="P8177">
        <v>0.26448390638378039</v>
      </c>
    </row>
    <row r="8178" spans="13:16">
      <c r="M8178">
        <v>0.29971129671209434</v>
      </c>
      <c r="N8178">
        <v>0.17436517324089937</v>
      </c>
      <c r="O8178">
        <v>0.28141490636131206</v>
      </c>
      <c r="P8178">
        <v>0.24450862368569429</v>
      </c>
    </row>
    <row r="8179" spans="13:16">
      <c r="M8179">
        <v>0.27386779577987636</v>
      </c>
      <c r="N8179">
        <v>0.20124052750204208</v>
      </c>
      <c r="O8179">
        <v>0.26340763471441303</v>
      </c>
      <c r="P8179">
        <v>0.26148404200366859</v>
      </c>
    </row>
    <row r="8180" spans="13:16">
      <c r="M8180">
        <v>0.28653262293799292</v>
      </c>
      <c r="N8180">
        <v>0.17674154936686445</v>
      </c>
      <c r="O8180">
        <v>0.26765272098123888</v>
      </c>
      <c r="P8180">
        <v>0.26907310671390378</v>
      </c>
    </row>
    <row r="8181" spans="13:16">
      <c r="M8181">
        <v>0.28948539142414481</v>
      </c>
      <c r="N8181">
        <v>0.17992741708221929</v>
      </c>
      <c r="O8181">
        <v>0.27977072082935517</v>
      </c>
      <c r="P8181">
        <v>0.25081647066428081</v>
      </c>
    </row>
    <row r="8182" spans="13:16">
      <c r="M8182">
        <v>0.29399211102714218</v>
      </c>
      <c r="N8182">
        <v>0.17286802573705667</v>
      </c>
      <c r="O8182">
        <v>0.27176056698181089</v>
      </c>
      <c r="P8182">
        <v>0.2613792962539902</v>
      </c>
    </row>
    <row r="8183" spans="13:16">
      <c r="M8183">
        <v>0.27341816197031482</v>
      </c>
      <c r="N8183">
        <v>0.17553225365636765</v>
      </c>
      <c r="O8183">
        <v>0.28177738515900069</v>
      </c>
      <c r="P8183">
        <v>0.26927219921431694</v>
      </c>
    </row>
    <row r="8184" spans="13:16">
      <c r="M8184">
        <v>0.29103918663019229</v>
      </c>
      <c r="N8184">
        <v>0.17535414398056373</v>
      </c>
      <c r="O8184">
        <v>0.28055134342939603</v>
      </c>
      <c r="P8184">
        <v>0.25305532595984792</v>
      </c>
    </row>
    <row r="8185" spans="13:16">
      <c r="M8185">
        <v>0.28407092623384483</v>
      </c>
      <c r="N8185">
        <v>0.18497276915415767</v>
      </c>
      <c r="O8185">
        <v>0.26516779330524448</v>
      </c>
      <c r="P8185">
        <v>0.26578851130675302</v>
      </c>
    </row>
    <row r="8186" spans="13:16">
      <c r="M8186">
        <v>0.28415534214236354</v>
      </c>
      <c r="N8186">
        <v>0.2002704164640898</v>
      </c>
      <c r="O8186">
        <v>0.26686517465140097</v>
      </c>
      <c r="P8186">
        <v>0.24870906674214566</v>
      </c>
    </row>
    <row r="8187" spans="13:16">
      <c r="M8187">
        <v>0.27566434027798875</v>
      </c>
      <c r="N8187">
        <v>0.18527396041139227</v>
      </c>
      <c r="O8187">
        <v>0.28422350213468761</v>
      </c>
      <c r="P8187">
        <v>0.25483819717593137</v>
      </c>
    </row>
    <row r="8188" spans="13:16">
      <c r="M8188">
        <v>0.2738405624241802</v>
      </c>
      <c r="N8188">
        <v>0.18245036629727679</v>
      </c>
      <c r="O8188">
        <v>0.29821277513223204</v>
      </c>
      <c r="P8188">
        <v>0.24549629614631097</v>
      </c>
    </row>
    <row r="8189" spans="13:16">
      <c r="M8189">
        <v>0.31874441625559763</v>
      </c>
      <c r="N8189">
        <v>0.16625010294610215</v>
      </c>
      <c r="O8189">
        <v>0.26127685480233614</v>
      </c>
      <c r="P8189">
        <v>0.25372862599596413</v>
      </c>
    </row>
    <row r="8190" spans="13:16">
      <c r="M8190">
        <v>0.31775341655024419</v>
      </c>
      <c r="N8190">
        <v>0.17023791788888673</v>
      </c>
      <c r="O8190">
        <v>0.24953188662913217</v>
      </c>
      <c r="P8190">
        <v>0.26247677893173704</v>
      </c>
    </row>
    <row r="8191" spans="13:16">
      <c r="M8191">
        <v>0.27830139882050653</v>
      </c>
      <c r="N8191">
        <v>0.18483385880273009</v>
      </c>
      <c r="O8191">
        <v>0.27023657451054095</v>
      </c>
      <c r="P8191">
        <v>0.26662816786622251</v>
      </c>
    </row>
    <row r="8192" spans="13:16">
      <c r="M8192">
        <v>0.30946811494987803</v>
      </c>
      <c r="N8192">
        <v>0.17304297136744795</v>
      </c>
      <c r="O8192">
        <v>0.26447694121376769</v>
      </c>
      <c r="P8192">
        <v>0.25301197246890644</v>
      </c>
    </row>
    <row r="8193" spans="13:16">
      <c r="M8193">
        <v>0.29096355346905473</v>
      </c>
      <c r="N8193">
        <v>0.19043752919852069</v>
      </c>
      <c r="O8193">
        <v>0.23750343245847969</v>
      </c>
      <c r="P8193">
        <v>0.28109548487394498</v>
      </c>
    </row>
    <row r="8194" spans="13:16">
      <c r="M8194">
        <v>0.28976005941995681</v>
      </c>
      <c r="N8194">
        <v>0.17848800612957982</v>
      </c>
      <c r="O8194">
        <v>0.27500419319716729</v>
      </c>
      <c r="P8194">
        <v>0.25674774125329608</v>
      </c>
    </row>
    <row r="8195" spans="13:16">
      <c r="M8195">
        <v>0.29423586282841563</v>
      </c>
      <c r="N8195">
        <v>0.19466216046214818</v>
      </c>
      <c r="O8195">
        <v>0.25714277598585916</v>
      </c>
      <c r="P8195">
        <v>0.25395920072357708</v>
      </c>
    </row>
    <row r="8196" spans="13:16">
      <c r="M8196">
        <v>0.26522705221153514</v>
      </c>
      <c r="N8196">
        <v>0.18725992268146191</v>
      </c>
      <c r="O8196">
        <v>0.28753974479821287</v>
      </c>
      <c r="P8196">
        <v>0.25997328030878991</v>
      </c>
    </row>
    <row r="8197" spans="13:16">
      <c r="M8197">
        <v>0.26881143366387578</v>
      </c>
      <c r="N8197">
        <v>0.18837525653481141</v>
      </c>
      <c r="O8197">
        <v>0.2741786154069763</v>
      </c>
      <c r="P8197">
        <v>0.26863469439433646</v>
      </c>
    </row>
    <row r="8198" spans="13:16">
      <c r="M8198">
        <v>0.27564170977389513</v>
      </c>
      <c r="N8198">
        <v>0.18155387174658039</v>
      </c>
      <c r="O8198">
        <v>0.28296827130935814</v>
      </c>
      <c r="P8198">
        <v>0.25983614717016634</v>
      </c>
    </row>
    <row r="8199" spans="13:16">
      <c r="M8199">
        <v>0.3083802954607896</v>
      </c>
      <c r="N8199">
        <v>0.18196838656046166</v>
      </c>
      <c r="O8199">
        <v>0.26784857175733862</v>
      </c>
      <c r="P8199">
        <v>0.24180274622141018</v>
      </c>
    </row>
    <row r="8200" spans="13:16">
      <c r="M8200">
        <v>0.2779922817591241</v>
      </c>
      <c r="N8200">
        <v>0.20637919803494509</v>
      </c>
      <c r="O8200">
        <v>0.25498267355106541</v>
      </c>
      <c r="P8200">
        <v>0.26064584665486545</v>
      </c>
    </row>
    <row r="8201" spans="13:16">
      <c r="M8201">
        <v>0.30904943084369735</v>
      </c>
      <c r="N8201">
        <v>0.17244177928917137</v>
      </c>
      <c r="O8201">
        <v>0.25898096404144705</v>
      </c>
      <c r="P8201">
        <v>0.25952782582568429</v>
      </c>
    </row>
    <row r="8202" spans="13:16">
      <c r="M8202">
        <v>0.30712703959446752</v>
      </c>
      <c r="N8202">
        <v>0.16756491112692035</v>
      </c>
      <c r="O8202">
        <v>0.27584803916707318</v>
      </c>
      <c r="P8202">
        <v>0.24946001011153898</v>
      </c>
    </row>
    <row r="8203" spans="13:16">
      <c r="M8203">
        <v>0.28422185632562619</v>
      </c>
      <c r="N8203">
        <v>0.18261648520022544</v>
      </c>
      <c r="O8203">
        <v>0.24855938285893675</v>
      </c>
      <c r="P8203">
        <v>0.28460227561521162</v>
      </c>
    </row>
    <row r="8204" spans="13:16">
      <c r="M8204">
        <v>0.26558367497097024</v>
      </c>
      <c r="N8204">
        <v>0.19660235552416561</v>
      </c>
      <c r="O8204">
        <v>0.26541767938334315</v>
      </c>
      <c r="P8204">
        <v>0.272396290121521</v>
      </c>
    </row>
    <row r="8205" spans="13:16">
      <c r="M8205">
        <v>0.32784609822398891</v>
      </c>
      <c r="N8205">
        <v>0.17139412820308805</v>
      </c>
      <c r="O8205">
        <v>0.22546639719857822</v>
      </c>
      <c r="P8205">
        <v>0.27529337637434487</v>
      </c>
    </row>
    <row r="8206" spans="13:16">
      <c r="M8206">
        <v>0.29117293215804374</v>
      </c>
      <c r="N8206">
        <v>0.18064958077053694</v>
      </c>
      <c r="O8206">
        <v>0.2603179844741777</v>
      </c>
      <c r="P8206">
        <v>0.26785950259724156</v>
      </c>
    </row>
    <row r="8207" spans="13:16">
      <c r="M8207">
        <v>0.34648840806064313</v>
      </c>
      <c r="N8207">
        <v>0.17316939844018739</v>
      </c>
      <c r="O8207">
        <v>0.23316098349687844</v>
      </c>
      <c r="P8207">
        <v>0.24718121000229107</v>
      </c>
    </row>
    <row r="8208" spans="13:16">
      <c r="M8208">
        <v>0.29769321775168972</v>
      </c>
      <c r="N8208">
        <v>0.17477839146894314</v>
      </c>
      <c r="O8208">
        <v>0.27410073791176126</v>
      </c>
      <c r="P8208">
        <v>0.25342765286760593</v>
      </c>
    </row>
    <row r="8209" spans="13:16">
      <c r="M8209">
        <v>0.28113269671254076</v>
      </c>
      <c r="N8209">
        <v>0.21243966984390286</v>
      </c>
      <c r="O8209">
        <v>0.24689045052137837</v>
      </c>
      <c r="P8209">
        <v>0.25953718292217809</v>
      </c>
    </row>
    <row r="8210" spans="13:16">
      <c r="M8210">
        <v>0.31897821421293204</v>
      </c>
      <c r="N8210">
        <v>0.18783636486775301</v>
      </c>
      <c r="O8210">
        <v>0.22566615122534625</v>
      </c>
      <c r="P8210">
        <v>0.26751926969396866</v>
      </c>
    </row>
    <row r="8211" spans="13:16">
      <c r="M8211">
        <v>0.27807187180664694</v>
      </c>
      <c r="N8211">
        <v>0.19733303723912166</v>
      </c>
      <c r="O8211">
        <v>0.26547741726682583</v>
      </c>
      <c r="P8211">
        <v>0.25911767368740551</v>
      </c>
    </row>
    <row r="8212" spans="13:16">
      <c r="M8212">
        <v>0.29897842555963566</v>
      </c>
      <c r="N8212">
        <v>0.18496281581798019</v>
      </c>
      <c r="O8212">
        <v>0.2581570606024754</v>
      </c>
      <c r="P8212">
        <v>0.25790169801990875</v>
      </c>
    </row>
    <row r="8213" spans="13:16">
      <c r="M8213">
        <v>0.29641538095305076</v>
      </c>
      <c r="N8213">
        <v>0.18223454390022639</v>
      </c>
      <c r="O8213">
        <v>0.26368685751411847</v>
      </c>
      <c r="P8213">
        <v>0.25766321763260436</v>
      </c>
    </row>
    <row r="8214" spans="13:16">
      <c r="M8214">
        <v>0.30250059460892015</v>
      </c>
      <c r="N8214">
        <v>0.19317679163294266</v>
      </c>
      <c r="O8214">
        <v>0.26105381482302081</v>
      </c>
      <c r="P8214">
        <v>0.24326879893511641</v>
      </c>
    </row>
    <row r="8215" spans="13:16">
      <c r="M8215">
        <v>0.2884590821394461</v>
      </c>
      <c r="N8215">
        <v>0.17163489568499637</v>
      </c>
      <c r="O8215">
        <v>0.27178062930921787</v>
      </c>
      <c r="P8215">
        <v>0.26812539286633963</v>
      </c>
    </row>
    <row r="8216" spans="13:16">
      <c r="M8216">
        <v>0.29499202708120237</v>
      </c>
      <c r="N8216">
        <v>0.20982626649184288</v>
      </c>
      <c r="O8216">
        <v>0.2242578554747045</v>
      </c>
      <c r="P8216">
        <v>0.27092385095225019</v>
      </c>
    </row>
    <row r="8217" spans="13:16">
      <c r="M8217">
        <v>0.27810475120138772</v>
      </c>
      <c r="N8217">
        <v>0.18246044765707634</v>
      </c>
      <c r="O8217">
        <v>0.26631965497957039</v>
      </c>
      <c r="P8217">
        <v>0.27311514616196564</v>
      </c>
    </row>
    <row r="8218" spans="13:16">
      <c r="M8218">
        <v>0.31071865116392744</v>
      </c>
      <c r="N8218">
        <v>0.16955583787920525</v>
      </c>
      <c r="O8218">
        <v>0.26474091482722178</v>
      </c>
      <c r="P8218">
        <v>0.25498459612964552</v>
      </c>
    </row>
    <row r="8219" spans="13:16">
      <c r="M8219">
        <v>0.29596247007000659</v>
      </c>
      <c r="N8219">
        <v>0.18120359054273669</v>
      </c>
      <c r="O8219">
        <v>0.2495674632337305</v>
      </c>
      <c r="P8219">
        <v>0.27326647615352617</v>
      </c>
    </row>
    <row r="8220" spans="13:16">
      <c r="M8220">
        <v>0.27965331775595559</v>
      </c>
      <c r="N8220">
        <v>0.19085318312357635</v>
      </c>
      <c r="O8220">
        <v>0.27858521472694298</v>
      </c>
      <c r="P8220">
        <v>0.25090828439352514</v>
      </c>
    </row>
    <row r="8221" spans="13:16">
      <c r="M8221">
        <v>0.28649075694541426</v>
      </c>
      <c r="N8221">
        <v>0.18797681832675295</v>
      </c>
      <c r="O8221">
        <v>0.24263117915881879</v>
      </c>
      <c r="P8221">
        <v>0.28290124556901397</v>
      </c>
    </row>
    <row r="8222" spans="13:16">
      <c r="M8222">
        <v>0.31894210095151093</v>
      </c>
      <c r="N8222">
        <v>0.18698964585080877</v>
      </c>
      <c r="O8222">
        <v>0.23717449483118305</v>
      </c>
      <c r="P8222">
        <v>0.25689375836649736</v>
      </c>
    </row>
    <row r="8223" spans="13:16">
      <c r="M8223">
        <v>0.299292879292965</v>
      </c>
      <c r="N8223">
        <v>0.18045091704847127</v>
      </c>
      <c r="O8223">
        <v>0.25314567110589886</v>
      </c>
      <c r="P8223">
        <v>0.26711053255266487</v>
      </c>
    </row>
    <row r="8224" spans="13:16">
      <c r="M8224">
        <v>0.27041803389281044</v>
      </c>
      <c r="N8224">
        <v>0.18565191552979554</v>
      </c>
      <c r="O8224">
        <v>0.27420718879889378</v>
      </c>
      <c r="P8224">
        <v>0.26972286177850036</v>
      </c>
    </row>
    <row r="8225" spans="13:16">
      <c r="M8225">
        <v>0.27633753186699112</v>
      </c>
      <c r="N8225">
        <v>0.17297121822297071</v>
      </c>
      <c r="O8225">
        <v>0.28469794425526207</v>
      </c>
      <c r="P8225">
        <v>0.26599330565477625</v>
      </c>
    </row>
    <row r="8226" spans="13:16">
      <c r="M8226">
        <v>0.30414485125760848</v>
      </c>
      <c r="N8226">
        <v>0.18504717712330795</v>
      </c>
      <c r="O8226">
        <v>0.25331122162286879</v>
      </c>
      <c r="P8226">
        <v>0.2574967499962148</v>
      </c>
    </row>
    <row r="8227" spans="13:16">
      <c r="M8227">
        <v>0.29330304094961562</v>
      </c>
      <c r="N8227">
        <v>0.20177864370244772</v>
      </c>
      <c r="O8227">
        <v>0.23070832605980868</v>
      </c>
      <c r="P8227">
        <v>0.2742099892881279</v>
      </c>
    </row>
    <row r="8228" spans="13:16">
      <c r="M8228">
        <v>0.27216951901894809</v>
      </c>
      <c r="N8228">
        <v>0.18896113771120712</v>
      </c>
      <c r="O8228">
        <v>0.27114458864245627</v>
      </c>
      <c r="P8228">
        <v>0.26772475462738854</v>
      </c>
    </row>
    <row r="8229" spans="13:16">
      <c r="M8229">
        <v>0.32176968968937825</v>
      </c>
      <c r="N8229">
        <v>0.19370876784134455</v>
      </c>
      <c r="O8229">
        <v>0.21581479554704044</v>
      </c>
      <c r="P8229">
        <v>0.26870674692223684</v>
      </c>
    </row>
    <row r="8230" spans="13:16">
      <c r="M8230">
        <v>0.30716731338656666</v>
      </c>
      <c r="N8230">
        <v>0.19358592895850593</v>
      </c>
      <c r="O8230">
        <v>0.24909191283553558</v>
      </c>
      <c r="P8230">
        <v>0.25015484481939193</v>
      </c>
    </row>
    <row r="8231" spans="13:16">
      <c r="M8231">
        <v>0.2935055694489041</v>
      </c>
      <c r="N8231">
        <v>0.1914886035407049</v>
      </c>
      <c r="O8231">
        <v>0.24791586367765064</v>
      </c>
      <c r="P8231">
        <v>0.26708996333274027</v>
      </c>
    </row>
    <row r="8232" spans="13:16">
      <c r="M8232">
        <v>0.33309841585358274</v>
      </c>
      <c r="N8232">
        <v>0.16678479366067087</v>
      </c>
      <c r="O8232">
        <v>0.25274653803594321</v>
      </c>
      <c r="P8232">
        <v>0.24737025244980312</v>
      </c>
    </row>
    <row r="8233" spans="13:16">
      <c r="M8233">
        <v>0.29041741916488284</v>
      </c>
      <c r="N8233">
        <v>0.20146763946852561</v>
      </c>
      <c r="O8233">
        <v>0.2424833583044112</v>
      </c>
      <c r="P8233">
        <v>0.26563158306218043</v>
      </c>
    </row>
    <row r="8234" spans="13:16">
      <c r="M8234">
        <v>0.28018052507963975</v>
      </c>
      <c r="N8234">
        <v>0.18044647190161292</v>
      </c>
      <c r="O8234">
        <v>0.2803174259876563</v>
      </c>
      <c r="P8234">
        <v>0.25905557703109094</v>
      </c>
    </row>
    <row r="8235" spans="13:16">
      <c r="M8235">
        <v>0.29354437863693156</v>
      </c>
      <c r="N8235">
        <v>0.16704413440131521</v>
      </c>
      <c r="O8235">
        <v>0.29014051156983806</v>
      </c>
      <c r="P8235">
        <v>0.24927097539191509</v>
      </c>
    </row>
    <row r="8236" spans="13:16">
      <c r="M8236">
        <v>0.28678943760741071</v>
      </c>
      <c r="N8236">
        <v>0.1772631228222821</v>
      </c>
      <c r="O8236">
        <v>0.27055602320747174</v>
      </c>
      <c r="P8236">
        <v>0.26539141636283547</v>
      </c>
    </row>
    <row r="8237" spans="13:16">
      <c r="M8237">
        <v>0.30262476081947121</v>
      </c>
      <c r="N8237">
        <v>0.1912117721622339</v>
      </c>
      <c r="O8237">
        <v>0.25203564625427438</v>
      </c>
      <c r="P8237">
        <v>0.25412782076402057</v>
      </c>
    </row>
    <row r="8238" spans="13:16">
      <c r="M8238">
        <v>0.28099769102802868</v>
      </c>
      <c r="N8238">
        <v>0.2027804074696912</v>
      </c>
      <c r="O8238">
        <v>0.25592069822370733</v>
      </c>
      <c r="P8238">
        <v>0.26030120327857276</v>
      </c>
    </row>
    <row r="8239" spans="13:16">
      <c r="M8239">
        <v>0.30625653839020472</v>
      </c>
      <c r="N8239">
        <v>0.17617862763291975</v>
      </c>
      <c r="O8239">
        <v>0.258882703315782</v>
      </c>
      <c r="P8239">
        <v>0.25868213066109358</v>
      </c>
    </row>
    <row r="8240" spans="13:16">
      <c r="M8240">
        <v>0.29273180396017395</v>
      </c>
      <c r="N8240">
        <v>0.20741735434031097</v>
      </c>
      <c r="O8240">
        <v>0.22628272386119061</v>
      </c>
      <c r="P8240">
        <v>0.27356811783832452</v>
      </c>
    </row>
    <row r="8241" spans="13:16">
      <c r="M8241">
        <v>0.2819139622522408</v>
      </c>
      <c r="N8241">
        <v>0.17492532971267305</v>
      </c>
      <c r="O8241">
        <v>0.28138640239492246</v>
      </c>
      <c r="P8241">
        <v>0.26177430564016374</v>
      </c>
    </row>
    <row r="8242" spans="13:16">
      <c r="M8242">
        <v>0.27040668094551051</v>
      </c>
      <c r="N8242">
        <v>0.19449621994593674</v>
      </c>
      <c r="O8242">
        <v>0.26506594787925042</v>
      </c>
      <c r="P8242">
        <v>0.27003115122930227</v>
      </c>
    </row>
    <row r="8243" spans="13:16">
      <c r="M8243">
        <v>0.32587632058070942</v>
      </c>
      <c r="N8243">
        <v>0.17605235269405209</v>
      </c>
      <c r="O8243">
        <v>0.24408031518782247</v>
      </c>
      <c r="P8243">
        <v>0.25399101153741604</v>
      </c>
    </row>
    <row r="8244" spans="13:16">
      <c r="M8244">
        <v>0.27741561652552532</v>
      </c>
      <c r="N8244">
        <v>0.1944887379916439</v>
      </c>
      <c r="O8244">
        <v>0.26574242265157355</v>
      </c>
      <c r="P8244">
        <v>0.26235322283125717</v>
      </c>
    </row>
    <row r="8245" spans="13:16">
      <c r="M8245">
        <v>0.2897988502553947</v>
      </c>
      <c r="N8245">
        <v>0.16770334413936303</v>
      </c>
      <c r="O8245">
        <v>0.2966085335132107</v>
      </c>
      <c r="P8245">
        <v>0.24588927209203162</v>
      </c>
    </row>
    <row r="8246" spans="13:16">
      <c r="M8246">
        <v>0.29314858771676827</v>
      </c>
      <c r="N8246">
        <v>0.16671491308527489</v>
      </c>
      <c r="O8246">
        <v>0.29535706488788382</v>
      </c>
      <c r="P8246">
        <v>0.24477943431007304</v>
      </c>
    </row>
    <row r="8247" spans="13:16">
      <c r="M8247">
        <v>0.29733778474346767</v>
      </c>
      <c r="N8247">
        <v>0.18874424348635513</v>
      </c>
      <c r="O8247">
        <v>0.27360504402268032</v>
      </c>
      <c r="P8247">
        <v>0.24031292774749682</v>
      </c>
    </row>
    <row r="8248" spans="13:16">
      <c r="M8248">
        <v>0.29156350370674261</v>
      </c>
      <c r="N8248">
        <v>0.18424646837511321</v>
      </c>
      <c r="O8248">
        <v>0.24427830664988331</v>
      </c>
      <c r="P8248">
        <v>0.2799117212682608</v>
      </c>
    </row>
    <row r="8249" spans="13:16">
      <c r="M8249">
        <v>0.2918064835481855</v>
      </c>
      <c r="N8249">
        <v>0.18517934380586554</v>
      </c>
      <c r="O8249">
        <v>0.24384132071986273</v>
      </c>
      <c r="P8249">
        <v>0.2791728519260861</v>
      </c>
    </row>
    <row r="8250" spans="13:16">
      <c r="M8250">
        <v>0.31403857817330255</v>
      </c>
      <c r="N8250">
        <v>0.18936541382447769</v>
      </c>
      <c r="O8250">
        <v>0.23692500972740502</v>
      </c>
      <c r="P8250">
        <v>0.25967099827481477</v>
      </c>
    </row>
    <row r="8251" spans="13:16">
      <c r="M8251">
        <v>0.29266036067876916</v>
      </c>
      <c r="N8251">
        <v>0.17283192611429046</v>
      </c>
      <c r="O8251">
        <v>0.27531595001433945</v>
      </c>
      <c r="P8251">
        <v>0.25919176319260101</v>
      </c>
    </row>
    <row r="8252" spans="13:16">
      <c r="M8252">
        <v>0.30315349605211855</v>
      </c>
      <c r="N8252">
        <v>0.18302058634771248</v>
      </c>
      <c r="O8252">
        <v>0.25170232058445818</v>
      </c>
      <c r="P8252">
        <v>0.26212359701571081</v>
      </c>
    </row>
    <row r="8253" spans="13:16">
      <c r="M8253">
        <v>0.27691992543947475</v>
      </c>
      <c r="N8253">
        <v>0.17788923895251721</v>
      </c>
      <c r="O8253">
        <v>0.30148205537072437</v>
      </c>
      <c r="P8253">
        <v>0.24370878023728365</v>
      </c>
    </row>
    <row r="8254" spans="13:16">
      <c r="M8254">
        <v>0.26496403624751419</v>
      </c>
      <c r="N8254">
        <v>0.1865530934616336</v>
      </c>
      <c r="O8254">
        <v>0.28341281326388035</v>
      </c>
      <c r="P8254">
        <v>0.26507005702697189</v>
      </c>
    </row>
    <row r="8255" spans="13:16">
      <c r="M8255">
        <v>0.2752178507130793</v>
      </c>
      <c r="N8255">
        <v>0.17896091868357877</v>
      </c>
      <c r="O8255">
        <v>0.28299852965755218</v>
      </c>
      <c r="P8255">
        <v>0.26282270094578986</v>
      </c>
    </row>
    <row r="8256" spans="13:16">
      <c r="M8256">
        <v>0.3004131862458867</v>
      </c>
      <c r="N8256">
        <v>0.1834926037702575</v>
      </c>
      <c r="O8256">
        <v>0.25475996387104671</v>
      </c>
      <c r="P8256">
        <v>0.2613342461128092</v>
      </c>
    </row>
    <row r="8257" spans="13:16">
      <c r="M8257">
        <v>0.3090817010955525</v>
      </c>
      <c r="N8257">
        <v>0.18266802893863171</v>
      </c>
      <c r="O8257">
        <v>0.24050774866830835</v>
      </c>
      <c r="P8257">
        <v>0.26774252129750725</v>
      </c>
    </row>
    <row r="8258" spans="13:16">
      <c r="M8258">
        <v>0.29640373678927184</v>
      </c>
      <c r="N8258">
        <v>0.18840713540547552</v>
      </c>
      <c r="O8258">
        <v>0.24889682795570792</v>
      </c>
      <c r="P8258">
        <v>0.26629229984954483</v>
      </c>
    </row>
    <row r="8259" spans="13:16">
      <c r="M8259">
        <v>0.29099092841087176</v>
      </c>
      <c r="N8259">
        <v>0.1665567697173958</v>
      </c>
      <c r="O8259">
        <v>0.29523944060610374</v>
      </c>
      <c r="P8259">
        <v>0.24721286126562866</v>
      </c>
    </row>
    <row r="8260" spans="13:16">
      <c r="M8260">
        <v>0.26009350138413517</v>
      </c>
      <c r="N8260">
        <v>0.20232921914652516</v>
      </c>
      <c r="O8260">
        <v>0.2653949650931744</v>
      </c>
      <c r="P8260">
        <v>0.27218231437616519</v>
      </c>
    </row>
    <row r="8261" spans="13:16">
      <c r="M8261">
        <v>0.30951667482506007</v>
      </c>
      <c r="N8261">
        <v>0.19032094153212845</v>
      </c>
      <c r="O8261">
        <v>0.23726202513853789</v>
      </c>
      <c r="P8261">
        <v>0.26290035850427357</v>
      </c>
    </row>
    <row r="8262" spans="13:16">
      <c r="M8262">
        <v>0.27953558960370328</v>
      </c>
      <c r="N8262">
        <v>0.17175666660566297</v>
      </c>
      <c r="O8262">
        <v>0.2846719458380953</v>
      </c>
      <c r="P8262">
        <v>0.26403579795253829</v>
      </c>
    </row>
    <row r="8263" spans="13:16">
      <c r="M8263">
        <v>0.29044548341010246</v>
      </c>
      <c r="N8263">
        <v>0.19061688358652637</v>
      </c>
      <c r="O8263">
        <v>0.27020894235759751</v>
      </c>
      <c r="P8263">
        <v>0.24872869064577371</v>
      </c>
    </row>
    <row r="8264" spans="13:16">
      <c r="M8264">
        <v>0.31699346379332027</v>
      </c>
      <c r="N8264">
        <v>0.18815342606770297</v>
      </c>
      <c r="O8264">
        <v>0.22728245152141605</v>
      </c>
      <c r="P8264">
        <v>0.26757065861756069</v>
      </c>
    </row>
    <row r="8265" spans="13:16">
      <c r="M8265">
        <v>0.27267145803228027</v>
      </c>
      <c r="N8265">
        <v>0.18663433215609027</v>
      </c>
      <c r="O8265">
        <v>0.27774073677600908</v>
      </c>
      <c r="P8265">
        <v>0.26295347303562044</v>
      </c>
    </row>
    <row r="8266" spans="13:16">
      <c r="M8266">
        <v>0.27371046489546819</v>
      </c>
      <c r="N8266">
        <v>0.18725317172532385</v>
      </c>
      <c r="O8266">
        <v>0.25580289522486505</v>
      </c>
      <c r="P8266">
        <v>0.28323346815434286</v>
      </c>
    </row>
    <row r="8267" spans="13:16">
      <c r="M8267">
        <v>0.26394844795690381</v>
      </c>
      <c r="N8267">
        <v>0.19587643681819025</v>
      </c>
      <c r="O8267">
        <v>0.27453710305284279</v>
      </c>
      <c r="P8267">
        <v>0.26563801217206312</v>
      </c>
    </row>
    <row r="8268" spans="13:16">
      <c r="M8268">
        <v>0.2715309602576178</v>
      </c>
      <c r="N8268">
        <v>0.18812856596936747</v>
      </c>
      <c r="O8268">
        <v>0.27028933304519071</v>
      </c>
      <c r="P8268">
        <v>0.2700511407278241</v>
      </c>
    </row>
    <row r="8269" spans="13:16">
      <c r="M8269">
        <v>0.32082781877359845</v>
      </c>
      <c r="N8269">
        <v>0.16576925382766727</v>
      </c>
      <c r="O8269">
        <v>0.25788694076838081</v>
      </c>
      <c r="P8269">
        <v>0.25551598663035346</v>
      </c>
    </row>
    <row r="8270" spans="13:16">
      <c r="M8270">
        <v>0.29694080755540669</v>
      </c>
      <c r="N8270">
        <v>0.17752616527977202</v>
      </c>
      <c r="O8270">
        <v>0.26043042682139383</v>
      </c>
      <c r="P8270">
        <v>0.26510260034342742</v>
      </c>
    </row>
    <row r="8271" spans="13:16">
      <c r="M8271">
        <v>0.25897212667754727</v>
      </c>
      <c r="N8271">
        <v>0.1830833924776393</v>
      </c>
      <c r="O8271">
        <v>0.30127827051338169</v>
      </c>
      <c r="P8271">
        <v>0.25666621033143172</v>
      </c>
    </row>
    <row r="8272" spans="13:16">
      <c r="M8272">
        <v>0.29727270944437417</v>
      </c>
      <c r="N8272">
        <v>0.1930903251445901</v>
      </c>
      <c r="O8272">
        <v>0.23150222564382761</v>
      </c>
      <c r="P8272">
        <v>0.27813473976720809</v>
      </c>
    </row>
    <row r="8273" spans="13:16">
      <c r="M8273">
        <v>0.28080718451778452</v>
      </c>
      <c r="N8273">
        <v>0.19047681981889927</v>
      </c>
      <c r="O8273">
        <v>0.28747697808045619</v>
      </c>
      <c r="P8273">
        <v>0.24123901758285993</v>
      </c>
    </row>
    <row r="8274" spans="13:16">
      <c r="M8274">
        <v>0.28617194647064709</v>
      </c>
      <c r="N8274">
        <v>0.18695044441511716</v>
      </c>
      <c r="O8274">
        <v>0.26274717074155041</v>
      </c>
      <c r="P8274">
        <v>0.26413043837268524</v>
      </c>
    </row>
    <row r="8275" spans="13:16">
      <c r="M8275">
        <v>0.28584567385878784</v>
      </c>
      <c r="N8275">
        <v>0.19195506345187022</v>
      </c>
      <c r="O8275">
        <v>0.26673753564710467</v>
      </c>
      <c r="P8275">
        <v>0.25546172704223719</v>
      </c>
    </row>
    <row r="8276" spans="13:16">
      <c r="M8276">
        <v>0.28232462057794511</v>
      </c>
      <c r="N8276">
        <v>0.18133864151424012</v>
      </c>
      <c r="O8276">
        <v>0.28200227444130388</v>
      </c>
      <c r="P8276">
        <v>0.2543344634665109</v>
      </c>
    </row>
    <row r="8277" spans="13:16">
      <c r="M8277">
        <v>0.33849888256171623</v>
      </c>
      <c r="N8277">
        <v>0.16714674588032744</v>
      </c>
      <c r="O8277">
        <v>0.22865035699509914</v>
      </c>
      <c r="P8277">
        <v>0.26570401456285714</v>
      </c>
    </row>
    <row r="8278" spans="13:16">
      <c r="M8278">
        <v>0.31192538159240785</v>
      </c>
      <c r="N8278">
        <v>0.19570485763188933</v>
      </c>
      <c r="O8278">
        <v>0.23769260287420491</v>
      </c>
      <c r="P8278">
        <v>0.25467715790149797</v>
      </c>
    </row>
    <row r="8279" spans="13:16">
      <c r="M8279">
        <v>0.30242468766066777</v>
      </c>
      <c r="N8279">
        <v>0.20089035578055373</v>
      </c>
      <c r="O8279">
        <v>0.22729741975569379</v>
      </c>
      <c r="P8279">
        <v>0.26938753680308469</v>
      </c>
    </row>
    <row r="8280" spans="13:16">
      <c r="M8280">
        <v>0.29200902422696479</v>
      </c>
      <c r="N8280">
        <v>0.17737006552567422</v>
      </c>
      <c r="O8280">
        <v>0.28152797786239275</v>
      </c>
      <c r="P8280">
        <v>0.24909293238496816</v>
      </c>
    </row>
    <row r="8281" spans="13:16">
      <c r="M8281">
        <v>0.31099091885338792</v>
      </c>
      <c r="N8281">
        <v>0.16821232682581727</v>
      </c>
      <c r="O8281">
        <v>0.26407888394254964</v>
      </c>
      <c r="P8281">
        <v>0.25671787037824512</v>
      </c>
    </row>
    <row r="8282" spans="13:16">
      <c r="M8282">
        <v>0.30882572801640362</v>
      </c>
      <c r="N8282">
        <v>0.17021555710106812</v>
      </c>
      <c r="O8282">
        <v>0.25820838534349688</v>
      </c>
      <c r="P8282">
        <v>0.26275032953903127</v>
      </c>
    </row>
    <row r="8283" spans="13:16">
      <c r="M8283">
        <v>0.30826904310220654</v>
      </c>
      <c r="N8283">
        <v>0.17394771054007563</v>
      </c>
      <c r="O8283">
        <v>0.24865138755421587</v>
      </c>
      <c r="P8283">
        <v>0.26913185880350204</v>
      </c>
    </row>
    <row r="8284" spans="13:16">
      <c r="M8284">
        <v>0.30068170191737659</v>
      </c>
      <c r="N8284">
        <v>0.17276321824363608</v>
      </c>
      <c r="O8284">
        <v>0.28981687974444531</v>
      </c>
      <c r="P8284">
        <v>0.23673820009454208</v>
      </c>
    </row>
    <row r="8285" spans="13:16">
      <c r="M8285">
        <v>0.28433401842065997</v>
      </c>
      <c r="N8285">
        <v>0.1787866991524899</v>
      </c>
      <c r="O8285">
        <v>0.27683936584981561</v>
      </c>
      <c r="P8285">
        <v>0.26003991657703451</v>
      </c>
    </row>
    <row r="8286" spans="13:16">
      <c r="M8286">
        <v>0.29464667953047674</v>
      </c>
      <c r="N8286">
        <v>0.18007328758226432</v>
      </c>
      <c r="O8286">
        <v>0.24549193725775781</v>
      </c>
      <c r="P8286">
        <v>0.2797880956295013</v>
      </c>
    </row>
    <row r="8287" spans="13:16">
      <c r="M8287">
        <v>0.29678426149464676</v>
      </c>
      <c r="N8287">
        <v>0.19159991065679155</v>
      </c>
      <c r="O8287">
        <v>0.23632776059376623</v>
      </c>
      <c r="P8287">
        <v>0.27528806725479549</v>
      </c>
    </row>
    <row r="8288" spans="13:16">
      <c r="M8288">
        <v>0.28227381500958726</v>
      </c>
      <c r="N8288">
        <v>0.19249399830065567</v>
      </c>
      <c r="O8288">
        <v>0.26408209303518954</v>
      </c>
      <c r="P8288">
        <v>0.26115009365456748</v>
      </c>
    </row>
    <row r="8289" spans="13:16">
      <c r="M8289">
        <v>0.29703723921985187</v>
      </c>
      <c r="N8289">
        <v>0.18994544812965022</v>
      </c>
      <c r="O8289">
        <v>0.25413674533550296</v>
      </c>
      <c r="P8289">
        <v>0.25888056731499487</v>
      </c>
    </row>
    <row r="8290" spans="13:16">
      <c r="M8290">
        <v>0.29078169173606228</v>
      </c>
      <c r="N8290">
        <v>0.19263839152752363</v>
      </c>
      <c r="O8290">
        <v>0.25368691740437133</v>
      </c>
      <c r="P8290">
        <v>0.26289299933204274</v>
      </c>
    </row>
    <row r="8291" spans="13:16">
      <c r="M8291">
        <v>0.25208581290894999</v>
      </c>
      <c r="N8291">
        <v>0.20252635376929737</v>
      </c>
      <c r="O8291">
        <v>0.27266370884772484</v>
      </c>
      <c r="P8291">
        <v>0.27272412447402783</v>
      </c>
    </row>
    <row r="8292" spans="13:16">
      <c r="M8292">
        <v>0.32340984280822332</v>
      </c>
      <c r="N8292">
        <v>0.1765759181386253</v>
      </c>
      <c r="O8292">
        <v>0.23781000098653568</v>
      </c>
      <c r="P8292">
        <v>0.2622042380666158</v>
      </c>
    </row>
    <row r="8293" spans="13:16">
      <c r="M8293">
        <v>0.28122746878992855</v>
      </c>
      <c r="N8293">
        <v>0.19578641089546922</v>
      </c>
      <c r="O8293">
        <v>0.2490148252798329</v>
      </c>
      <c r="P8293">
        <v>0.27397129503476936</v>
      </c>
    </row>
    <row r="8294" spans="13:16">
      <c r="M8294">
        <v>0.31212596128794956</v>
      </c>
      <c r="N8294">
        <v>0.18964120315112282</v>
      </c>
      <c r="O8294">
        <v>0.22729765554127726</v>
      </c>
      <c r="P8294">
        <v>0.2709351800196505</v>
      </c>
    </row>
    <row r="8295" spans="13:16">
      <c r="M8295">
        <v>0.26310708506667735</v>
      </c>
      <c r="N8295">
        <v>0.19185976076903205</v>
      </c>
      <c r="O8295">
        <v>0.28695391465362785</v>
      </c>
      <c r="P8295">
        <v>0.25807923951066264</v>
      </c>
    </row>
    <row r="8296" spans="13:16">
      <c r="M8296">
        <v>0.29028329848158979</v>
      </c>
      <c r="N8296">
        <v>0.1804938795708424</v>
      </c>
      <c r="O8296">
        <v>0.25114301681488227</v>
      </c>
      <c r="P8296">
        <v>0.2780798051326856</v>
      </c>
    </row>
    <row r="8297" spans="13:16">
      <c r="M8297">
        <v>0.2779441936689111</v>
      </c>
      <c r="N8297">
        <v>0.2008231034027545</v>
      </c>
      <c r="O8297">
        <v>0.25176968892480922</v>
      </c>
      <c r="P8297">
        <v>0.26946301400352518</v>
      </c>
    </row>
    <row r="8298" spans="13:16">
      <c r="M8298">
        <v>0.30617135474226198</v>
      </c>
      <c r="N8298">
        <v>0.16467735947107606</v>
      </c>
      <c r="O8298">
        <v>0.28153859106370849</v>
      </c>
      <c r="P8298">
        <v>0.24761269472295341</v>
      </c>
    </row>
    <row r="8299" spans="13:16">
      <c r="M8299">
        <v>0.30112494407011775</v>
      </c>
      <c r="N8299">
        <v>0.17511972063272824</v>
      </c>
      <c r="O8299">
        <v>0.27917974023513514</v>
      </c>
      <c r="P8299">
        <v>0.24457559506201884</v>
      </c>
    </row>
    <row r="8300" spans="13:16">
      <c r="M8300">
        <v>0.31098990919785158</v>
      </c>
      <c r="N8300">
        <v>0.18604680145972396</v>
      </c>
      <c r="O8300">
        <v>0.24737200585487806</v>
      </c>
      <c r="P8300">
        <v>0.25559128348754628</v>
      </c>
    </row>
    <row r="8301" spans="13:16">
      <c r="M8301">
        <v>0.25964741506315125</v>
      </c>
      <c r="N8301">
        <v>0.20530414477437978</v>
      </c>
      <c r="O8301">
        <v>0.26697148232478496</v>
      </c>
      <c r="P8301">
        <v>0.26807695783768398</v>
      </c>
    </row>
    <row r="8302" spans="13:16">
      <c r="M8302">
        <v>0.30470051619536503</v>
      </c>
      <c r="N8302">
        <v>0.18147051030119388</v>
      </c>
      <c r="O8302">
        <v>0.25411002687101841</v>
      </c>
      <c r="P8302">
        <v>0.25971894663242262</v>
      </c>
    </row>
    <row r="8303" spans="13:16">
      <c r="M8303">
        <v>0.29750813517889818</v>
      </c>
      <c r="N8303">
        <v>0.17460655776765832</v>
      </c>
      <c r="O8303">
        <v>0.26817649338130234</v>
      </c>
      <c r="P8303">
        <v>0.2597088136721411</v>
      </c>
    </row>
    <row r="8304" spans="13:16">
      <c r="M8304">
        <v>0.28262514730918903</v>
      </c>
      <c r="N8304">
        <v>0.17936313177080809</v>
      </c>
      <c r="O8304">
        <v>0.26638665836687819</v>
      </c>
      <c r="P8304">
        <v>0.27162506255312469</v>
      </c>
    </row>
    <row r="8305" spans="13:16">
      <c r="M8305">
        <v>0.27886167750613311</v>
      </c>
      <c r="N8305">
        <v>0.18197426785006479</v>
      </c>
      <c r="O8305">
        <v>0.28584250683247836</v>
      </c>
      <c r="P8305">
        <v>0.25332154781132377</v>
      </c>
    </row>
    <row r="8306" spans="13:16">
      <c r="M8306">
        <v>0.29046213467158716</v>
      </c>
      <c r="N8306">
        <v>0.19309385545869109</v>
      </c>
      <c r="O8306">
        <v>0.25729329643245752</v>
      </c>
      <c r="P8306">
        <v>0.25915071343726415</v>
      </c>
    </row>
    <row r="8307" spans="13:16">
      <c r="M8307">
        <v>0.27242894643513216</v>
      </c>
      <c r="N8307">
        <v>0.19371749797874827</v>
      </c>
      <c r="O8307">
        <v>0.26946271085774326</v>
      </c>
      <c r="P8307">
        <v>0.26439084472837643</v>
      </c>
    </row>
    <row r="8308" spans="13:16">
      <c r="M8308">
        <v>0.27569514380284266</v>
      </c>
      <c r="N8308">
        <v>0.17656621112165036</v>
      </c>
      <c r="O8308">
        <v>0.27841466862057068</v>
      </c>
      <c r="P8308">
        <v>0.26932397645493644</v>
      </c>
    </row>
    <row r="8309" spans="13:16">
      <c r="M8309">
        <v>0.30955655246685737</v>
      </c>
      <c r="N8309">
        <v>0.18332486112582361</v>
      </c>
      <c r="O8309">
        <v>0.25709493670136374</v>
      </c>
      <c r="P8309">
        <v>0.25002364970595536</v>
      </c>
    </row>
    <row r="8310" spans="13:16">
      <c r="M8310">
        <v>0.27281150557422429</v>
      </c>
      <c r="N8310">
        <v>0.19280585709735099</v>
      </c>
      <c r="O8310">
        <v>0.27230287406547093</v>
      </c>
      <c r="P8310">
        <v>0.26207976326295374</v>
      </c>
    </row>
    <row r="8311" spans="13:16">
      <c r="M8311">
        <v>0.31790393970619468</v>
      </c>
      <c r="N8311">
        <v>0.19184855441300083</v>
      </c>
      <c r="O8311">
        <v>0.2056013008657368</v>
      </c>
      <c r="P8311">
        <v>0.28464620501506771</v>
      </c>
    </row>
    <row r="8312" spans="13:16">
      <c r="M8312">
        <v>0.31837089340255609</v>
      </c>
      <c r="N8312">
        <v>0.18292793114295772</v>
      </c>
      <c r="O8312">
        <v>0.22927473217710362</v>
      </c>
      <c r="P8312">
        <v>0.26942644327738258</v>
      </c>
    </row>
    <row r="8313" spans="13:16">
      <c r="M8313">
        <v>0.30952423375344462</v>
      </c>
      <c r="N8313">
        <v>0.17873673510512963</v>
      </c>
      <c r="O8313">
        <v>0.2369303110012855</v>
      </c>
      <c r="P8313">
        <v>0.27480872014014018</v>
      </c>
    </row>
    <row r="8314" spans="13:16">
      <c r="M8314">
        <v>0.26521515842230098</v>
      </c>
      <c r="N8314">
        <v>0.18825483479057092</v>
      </c>
      <c r="O8314">
        <v>0.27738134648211005</v>
      </c>
      <c r="P8314">
        <v>0.26914866030501805</v>
      </c>
    </row>
    <row r="8315" spans="13:16">
      <c r="M8315">
        <v>0.2732630792884399</v>
      </c>
      <c r="N8315">
        <v>0.20863803581914578</v>
      </c>
      <c r="O8315">
        <v>0.2526763394424692</v>
      </c>
      <c r="P8315">
        <v>0.26542254544994509</v>
      </c>
    </row>
    <row r="8316" spans="13:16">
      <c r="M8316">
        <v>0.30250987115979683</v>
      </c>
      <c r="N8316">
        <v>0.16081502398553224</v>
      </c>
      <c r="O8316">
        <v>0.2879522292715177</v>
      </c>
      <c r="P8316">
        <v>0.24872287558315334</v>
      </c>
    </row>
    <row r="8317" spans="13:16">
      <c r="M8317">
        <v>0.29003469626131001</v>
      </c>
      <c r="N8317">
        <v>0.18890778547841061</v>
      </c>
      <c r="O8317">
        <v>0.25774847518996263</v>
      </c>
      <c r="P8317">
        <v>0.26330904307031672</v>
      </c>
    </row>
    <row r="8318" spans="13:16">
      <c r="M8318">
        <v>0.287760417668048</v>
      </c>
      <c r="N8318">
        <v>0.17901039609815725</v>
      </c>
      <c r="O8318">
        <v>0.26315945751131209</v>
      </c>
      <c r="P8318">
        <v>0.27006972872248269</v>
      </c>
    </row>
    <row r="8319" spans="13:16">
      <c r="M8319">
        <v>0.27330190410603944</v>
      </c>
      <c r="N8319">
        <v>0.19388969632836703</v>
      </c>
      <c r="O8319">
        <v>0.26665890416730459</v>
      </c>
      <c r="P8319">
        <v>0.26614949539828897</v>
      </c>
    </row>
    <row r="8320" spans="13:16">
      <c r="M8320">
        <v>0.2806063641832422</v>
      </c>
      <c r="N8320">
        <v>0.17185393156313647</v>
      </c>
      <c r="O8320">
        <v>0.27465548240781479</v>
      </c>
      <c r="P8320">
        <v>0.27288422184580663</v>
      </c>
    </row>
    <row r="8321" spans="13:16">
      <c r="M8321">
        <v>0.29422428142487944</v>
      </c>
      <c r="N8321">
        <v>0.18589653275932838</v>
      </c>
      <c r="O8321">
        <v>0.25684338271262624</v>
      </c>
      <c r="P8321">
        <v>0.2630358031031661</v>
      </c>
    </row>
    <row r="8322" spans="13:16">
      <c r="M8322">
        <v>0.30874886193829798</v>
      </c>
      <c r="N8322">
        <v>0.1921630442442176</v>
      </c>
      <c r="O8322">
        <v>0.22343932568700797</v>
      </c>
      <c r="P8322">
        <v>0.27564876813047651</v>
      </c>
    </row>
    <row r="8323" spans="13:16">
      <c r="M8323">
        <v>0.28762831320042775</v>
      </c>
      <c r="N8323">
        <v>0.1915506547708842</v>
      </c>
      <c r="O8323">
        <v>0.24934062088613787</v>
      </c>
      <c r="P8323">
        <v>0.27148041114255006</v>
      </c>
    </row>
    <row r="8324" spans="13:16">
      <c r="M8324">
        <v>0.30779715865220891</v>
      </c>
      <c r="N8324">
        <v>0.18094650103907625</v>
      </c>
      <c r="O8324">
        <v>0.26383868403718508</v>
      </c>
      <c r="P8324">
        <v>0.24741765627152965</v>
      </c>
    </row>
    <row r="8325" spans="13:16">
      <c r="M8325">
        <v>0.28059754083808691</v>
      </c>
      <c r="N8325">
        <v>0.18509441552456438</v>
      </c>
      <c r="O8325">
        <v>0.26940014251100647</v>
      </c>
      <c r="P8325">
        <v>0.26490790112634227</v>
      </c>
    </row>
    <row r="8326" spans="13:16">
      <c r="M8326">
        <v>0.26309791893022183</v>
      </c>
      <c r="N8326">
        <v>0.19422092559792836</v>
      </c>
      <c r="O8326">
        <v>0.28555281688677397</v>
      </c>
      <c r="P8326">
        <v>0.25712833858507578</v>
      </c>
    </row>
    <row r="8327" spans="13:16">
      <c r="M8327">
        <v>0.29092956148994509</v>
      </c>
      <c r="N8327">
        <v>0.18757300068700578</v>
      </c>
      <c r="O8327">
        <v>0.27304498135429367</v>
      </c>
      <c r="P8327">
        <v>0.24845245646875541</v>
      </c>
    </row>
    <row r="8328" spans="13:16">
      <c r="M8328">
        <v>0.29474430253931844</v>
      </c>
      <c r="N8328">
        <v>0.17113390798549535</v>
      </c>
      <c r="O8328">
        <v>0.27939462792083891</v>
      </c>
      <c r="P8328">
        <v>0.25472716155434727</v>
      </c>
    </row>
    <row r="8329" spans="13:16">
      <c r="M8329">
        <v>0.28118942375173089</v>
      </c>
      <c r="N8329">
        <v>0.18285640089434085</v>
      </c>
      <c r="O8329">
        <v>0.26292653459998727</v>
      </c>
      <c r="P8329">
        <v>0.27302764075394098</v>
      </c>
    </row>
    <row r="8330" spans="13:16">
      <c r="M8330">
        <v>0.27150943998392219</v>
      </c>
      <c r="N8330">
        <v>0.19093712110668248</v>
      </c>
      <c r="O8330">
        <v>0.27810001854770722</v>
      </c>
      <c r="P8330">
        <v>0.25945342036168806</v>
      </c>
    </row>
    <row r="8331" spans="13:16">
      <c r="M8331">
        <v>0.28152326215082846</v>
      </c>
      <c r="N8331">
        <v>0.19910698963450862</v>
      </c>
      <c r="O8331">
        <v>0.25690507754540776</v>
      </c>
      <c r="P8331">
        <v>0.26246467066925527</v>
      </c>
    </row>
    <row r="8332" spans="13:16">
      <c r="M8332">
        <v>0.27028144619309158</v>
      </c>
      <c r="N8332">
        <v>0.193390469390189</v>
      </c>
      <c r="O8332">
        <v>0.26979898712927575</v>
      </c>
      <c r="P8332">
        <v>0.26652909728744373</v>
      </c>
    </row>
    <row r="8333" spans="13:16">
      <c r="M8333">
        <v>0.32236482118889337</v>
      </c>
      <c r="N8333">
        <v>0.1725410648481214</v>
      </c>
      <c r="O8333">
        <v>0.23903606187735837</v>
      </c>
      <c r="P8333">
        <v>0.26605805208562688</v>
      </c>
    </row>
    <row r="8334" spans="13:16">
      <c r="M8334">
        <v>0.27995707371430634</v>
      </c>
      <c r="N8334">
        <v>0.18895767121309828</v>
      </c>
      <c r="O8334">
        <v>0.27365817059275716</v>
      </c>
      <c r="P8334">
        <v>0.25742708447983809</v>
      </c>
    </row>
    <row r="8335" spans="13:16">
      <c r="M8335">
        <v>0.28249017837168799</v>
      </c>
      <c r="N8335">
        <v>0.17827480629897369</v>
      </c>
      <c r="O8335">
        <v>0.26964823518751113</v>
      </c>
      <c r="P8335">
        <v>0.26958678014182724</v>
      </c>
    </row>
    <row r="8336" spans="13:16">
      <c r="M8336">
        <v>0.32111931200627991</v>
      </c>
      <c r="N8336">
        <v>0.17781416747415951</v>
      </c>
      <c r="O8336">
        <v>0.21695341455107356</v>
      </c>
      <c r="P8336">
        <v>0.2841131059684871</v>
      </c>
    </row>
    <row r="8337" spans="13:16">
      <c r="M8337">
        <v>0.29727571827815391</v>
      </c>
      <c r="N8337">
        <v>0.17190211880401715</v>
      </c>
      <c r="O8337">
        <v>0.25862349040771782</v>
      </c>
      <c r="P8337">
        <v>0.27219867251011109</v>
      </c>
    </row>
    <row r="8338" spans="13:16">
      <c r="M8338">
        <v>0.30853641039934326</v>
      </c>
      <c r="N8338">
        <v>0.18879710020681006</v>
      </c>
      <c r="O8338">
        <v>0.26046261098827744</v>
      </c>
      <c r="P8338">
        <v>0.24220387840556931</v>
      </c>
    </row>
    <row r="8339" spans="13:16">
      <c r="M8339">
        <v>0.32669829072239348</v>
      </c>
      <c r="N8339">
        <v>0.16846916614285795</v>
      </c>
      <c r="O8339">
        <v>0.24788327930943102</v>
      </c>
      <c r="P8339">
        <v>0.25694926382531758</v>
      </c>
    </row>
    <row r="8340" spans="13:16">
      <c r="M8340">
        <v>0.31003111397479804</v>
      </c>
      <c r="N8340">
        <v>0.16478272880630943</v>
      </c>
      <c r="O8340">
        <v>0.28698451205029896</v>
      </c>
      <c r="P8340">
        <v>0.2382016451685936</v>
      </c>
    </row>
    <row r="8341" spans="13:16">
      <c r="M8341">
        <v>0.30729895030833515</v>
      </c>
      <c r="N8341">
        <v>0.1736844858436779</v>
      </c>
      <c r="O8341">
        <v>0.23900007946282806</v>
      </c>
      <c r="P8341">
        <v>0.28001648438515886</v>
      </c>
    </row>
    <row r="8342" spans="13:16">
      <c r="M8342">
        <v>0.30126180647350137</v>
      </c>
      <c r="N8342">
        <v>0.19390884040357367</v>
      </c>
      <c r="O8342">
        <v>0.24458581166429627</v>
      </c>
      <c r="P8342">
        <v>0.26024354145862866</v>
      </c>
    </row>
    <row r="8343" spans="13:16">
      <c r="M8343">
        <v>0.27111498054582883</v>
      </c>
      <c r="N8343">
        <v>0.21408666762597181</v>
      </c>
      <c r="O8343">
        <v>0.23583492041415055</v>
      </c>
      <c r="P8343">
        <v>0.27896343141404883</v>
      </c>
    </row>
    <row r="8344" spans="13:16">
      <c r="M8344">
        <v>0.30150274714208281</v>
      </c>
      <c r="N8344">
        <v>0.18319586612603855</v>
      </c>
      <c r="O8344">
        <v>0.23173881458899484</v>
      </c>
      <c r="P8344">
        <v>0.28356257214288377</v>
      </c>
    </row>
    <row r="8345" spans="13:16">
      <c r="M8345">
        <v>0.29601198070488893</v>
      </c>
      <c r="N8345">
        <v>0.18782188691051707</v>
      </c>
      <c r="O8345">
        <v>0.26711487011133528</v>
      </c>
      <c r="P8345">
        <v>0.24905126227325863</v>
      </c>
    </row>
    <row r="8346" spans="13:16">
      <c r="M8346">
        <v>0.29012685204930561</v>
      </c>
      <c r="N8346">
        <v>0.18536624374035923</v>
      </c>
      <c r="O8346">
        <v>0.26264814480576421</v>
      </c>
      <c r="P8346">
        <v>0.26185875940457104</v>
      </c>
    </row>
    <row r="8347" spans="13:16">
      <c r="M8347">
        <v>0.29538367078119238</v>
      </c>
      <c r="N8347">
        <v>0.18287569684862698</v>
      </c>
      <c r="O8347">
        <v>0.26956495745176517</v>
      </c>
      <c r="P8347">
        <v>0.25217567491841547</v>
      </c>
    </row>
    <row r="8348" spans="13:16">
      <c r="M8348">
        <v>0.25763703309203295</v>
      </c>
      <c r="N8348">
        <v>0.18586929610625852</v>
      </c>
      <c r="O8348">
        <v>0.2965488684356174</v>
      </c>
      <c r="P8348">
        <v>0.25994480236609113</v>
      </c>
    </row>
    <row r="8349" spans="13:16">
      <c r="M8349">
        <v>0.30953123666710419</v>
      </c>
      <c r="N8349">
        <v>0.18719941120008138</v>
      </c>
      <c r="O8349">
        <v>0.23358779086745524</v>
      </c>
      <c r="P8349">
        <v>0.26968156126535908</v>
      </c>
    </row>
    <row r="8350" spans="13:16">
      <c r="M8350">
        <v>0.30881033296759969</v>
      </c>
      <c r="N8350">
        <v>0.17472922495605964</v>
      </c>
      <c r="O8350">
        <v>0.25823550675162893</v>
      </c>
      <c r="P8350">
        <v>0.2582249353247118</v>
      </c>
    </row>
    <row r="8351" spans="13:16">
      <c r="M8351">
        <v>0.26114966078851592</v>
      </c>
      <c r="N8351">
        <v>0.20571549473467715</v>
      </c>
      <c r="O8351">
        <v>0.2688630165640517</v>
      </c>
      <c r="P8351">
        <v>0.26427182791275522</v>
      </c>
    </row>
    <row r="8352" spans="13:16">
      <c r="M8352">
        <v>0.29395167950878914</v>
      </c>
      <c r="N8352">
        <v>0.16608521183761277</v>
      </c>
      <c r="O8352">
        <v>0.29133473868117132</v>
      </c>
      <c r="P8352">
        <v>0.24862836997242677</v>
      </c>
    </row>
    <row r="8353" spans="13:16">
      <c r="M8353">
        <v>0.2903863531370896</v>
      </c>
      <c r="N8353">
        <v>0.18609831787138431</v>
      </c>
      <c r="O8353">
        <v>0.2710717286463718</v>
      </c>
      <c r="P8353">
        <v>0.25244360034515428</v>
      </c>
    </row>
    <row r="8354" spans="13:16">
      <c r="M8354">
        <v>0.29513905132909257</v>
      </c>
      <c r="N8354">
        <v>0.18178099068086054</v>
      </c>
      <c r="O8354">
        <v>0.24063478792658599</v>
      </c>
      <c r="P8354">
        <v>0.28244517006346093</v>
      </c>
    </row>
    <row r="8355" spans="13:16">
      <c r="M8355">
        <v>0.29646330530965215</v>
      </c>
      <c r="N8355">
        <v>0.18307117620119004</v>
      </c>
      <c r="O8355">
        <v>0.27635891783069499</v>
      </c>
      <c r="P8355">
        <v>0.24410660065846285</v>
      </c>
    </row>
    <row r="8356" spans="13:16">
      <c r="M8356">
        <v>0.30271072258762943</v>
      </c>
      <c r="N8356">
        <v>0.17065216105009742</v>
      </c>
      <c r="O8356">
        <v>0.27349853272620556</v>
      </c>
      <c r="P8356">
        <v>0.25313858363606762</v>
      </c>
    </row>
    <row r="8357" spans="13:16">
      <c r="M8357">
        <v>0.29153862925309082</v>
      </c>
      <c r="N8357">
        <v>0.16821631543385915</v>
      </c>
      <c r="O8357">
        <v>0.28818563679661946</v>
      </c>
      <c r="P8357">
        <v>0.25205941851643054</v>
      </c>
    </row>
    <row r="8358" spans="13:16">
      <c r="M8358">
        <v>0.29334542749847725</v>
      </c>
      <c r="N8358">
        <v>0.18124514951762558</v>
      </c>
      <c r="O8358">
        <v>0.2310438867166312</v>
      </c>
      <c r="P8358">
        <v>0.29436553626726591</v>
      </c>
    </row>
    <row r="8359" spans="13:16">
      <c r="M8359">
        <v>0.27934196872929079</v>
      </c>
      <c r="N8359">
        <v>0.19794959319906535</v>
      </c>
      <c r="O8359">
        <v>0.24512212470641404</v>
      </c>
      <c r="P8359">
        <v>0.27758631336522988</v>
      </c>
    </row>
    <row r="8360" spans="13:16">
      <c r="M8360">
        <v>0.28319490731749491</v>
      </c>
      <c r="N8360">
        <v>0.20472200623066625</v>
      </c>
      <c r="O8360">
        <v>0.23230311173907719</v>
      </c>
      <c r="P8360">
        <v>0.27977997471276161</v>
      </c>
    </row>
    <row r="8361" spans="13:16">
      <c r="M8361">
        <v>0.27685437718360606</v>
      </c>
      <c r="N8361">
        <v>0.20382231049767086</v>
      </c>
      <c r="O8361">
        <v>0.23703616393721946</v>
      </c>
      <c r="P8361">
        <v>0.28228714838150343</v>
      </c>
    </row>
    <row r="8362" spans="13:16">
      <c r="M8362">
        <v>0.28252676776650043</v>
      </c>
      <c r="N8362">
        <v>0.18472982504839972</v>
      </c>
      <c r="O8362">
        <v>0.26260426913834839</v>
      </c>
      <c r="P8362">
        <v>0.27013913804675138</v>
      </c>
    </row>
    <row r="8363" spans="13:16">
      <c r="M8363">
        <v>0.28352509226675959</v>
      </c>
      <c r="N8363">
        <v>0.19558128062366478</v>
      </c>
      <c r="O8363">
        <v>0.24574103809018508</v>
      </c>
      <c r="P8363">
        <v>0.2751525890193906</v>
      </c>
    </row>
    <row r="8364" spans="13:16">
      <c r="M8364">
        <v>0.30440731420300304</v>
      </c>
      <c r="N8364">
        <v>0.17993620048941583</v>
      </c>
      <c r="O8364">
        <v>0.26473211252451434</v>
      </c>
      <c r="P8364">
        <v>0.25092437278306684</v>
      </c>
    </row>
    <row r="8365" spans="13:16">
      <c r="M8365">
        <v>0.30043747237885748</v>
      </c>
      <c r="N8365">
        <v>0.17051315464959549</v>
      </c>
      <c r="O8365">
        <v>0.28666260017517925</v>
      </c>
      <c r="P8365">
        <v>0.24238677279636764</v>
      </c>
    </row>
    <row r="8366" spans="13:16">
      <c r="M8366">
        <v>0.29714817609282757</v>
      </c>
      <c r="N8366">
        <v>0.18989162865689158</v>
      </c>
      <c r="O8366">
        <v>0.24258587548083441</v>
      </c>
      <c r="P8366">
        <v>0.27037431976944626</v>
      </c>
    </row>
    <row r="8367" spans="13:16">
      <c r="M8367">
        <v>0.28800855784172097</v>
      </c>
      <c r="N8367">
        <v>0.17601433773521521</v>
      </c>
      <c r="O8367">
        <v>0.25712275965763143</v>
      </c>
      <c r="P8367">
        <v>0.27885434476543236</v>
      </c>
    </row>
    <row r="8368" spans="13:16">
      <c r="M8368">
        <v>0.29492209207326425</v>
      </c>
      <c r="N8368">
        <v>0.18170545386359974</v>
      </c>
      <c r="O8368">
        <v>0.26967058309441488</v>
      </c>
      <c r="P8368">
        <v>0.2537018709687211</v>
      </c>
    </row>
    <row r="8369" spans="13:16">
      <c r="M8369">
        <v>0.27932774613213252</v>
      </c>
      <c r="N8369">
        <v>0.18400534896726214</v>
      </c>
      <c r="O8369">
        <v>0.27347231703095914</v>
      </c>
      <c r="P8369">
        <v>0.26319458786964639</v>
      </c>
    </row>
    <row r="8370" spans="13:16">
      <c r="M8370">
        <v>0.28422257270114043</v>
      </c>
      <c r="N8370">
        <v>0.18550311571259087</v>
      </c>
      <c r="O8370">
        <v>0.25629390621664089</v>
      </c>
      <c r="P8370">
        <v>0.27398040536962781</v>
      </c>
    </row>
    <row r="8371" spans="13:16">
      <c r="M8371">
        <v>0.28346580135561766</v>
      </c>
      <c r="N8371">
        <v>0.17925360073296429</v>
      </c>
      <c r="O8371">
        <v>0.27056729954400666</v>
      </c>
      <c r="P8371">
        <v>0.26671329836741137</v>
      </c>
    </row>
    <row r="8372" spans="13:16">
      <c r="M8372">
        <v>0.27301532069943057</v>
      </c>
      <c r="N8372">
        <v>0.20398561885911079</v>
      </c>
      <c r="O8372">
        <v>0.24688279769667673</v>
      </c>
      <c r="P8372">
        <v>0.27611626274478185</v>
      </c>
    </row>
    <row r="8373" spans="13:16">
      <c r="M8373">
        <v>0.3040337104827428</v>
      </c>
      <c r="N8373">
        <v>0.17342763956903332</v>
      </c>
      <c r="O8373">
        <v>0.23571170500592342</v>
      </c>
      <c r="P8373">
        <v>0.28682694494230043</v>
      </c>
    </row>
    <row r="8374" spans="13:16">
      <c r="M8374">
        <v>0.29170790422894205</v>
      </c>
      <c r="N8374">
        <v>0.18451883558830814</v>
      </c>
      <c r="O8374">
        <v>0.27109647481572258</v>
      </c>
      <c r="P8374">
        <v>0.2526767853670272</v>
      </c>
    </row>
    <row r="8375" spans="13:16">
      <c r="M8375">
        <v>0.29044937816844213</v>
      </c>
      <c r="N8375">
        <v>0.20572552349216358</v>
      </c>
      <c r="O8375">
        <v>0.23055856242801107</v>
      </c>
      <c r="P8375">
        <v>0.27326653591138333</v>
      </c>
    </row>
    <row r="8376" spans="13:16">
      <c r="M8376">
        <v>0.30131327935842539</v>
      </c>
      <c r="N8376">
        <v>0.19413044254677811</v>
      </c>
      <c r="O8376">
        <v>0.25797915131030053</v>
      </c>
      <c r="P8376">
        <v>0.24657712678449606</v>
      </c>
    </row>
    <row r="8377" spans="13:16">
      <c r="M8377">
        <v>0.2991890158073986</v>
      </c>
      <c r="N8377">
        <v>0.19081561145716047</v>
      </c>
      <c r="O8377">
        <v>0.24249506673033275</v>
      </c>
      <c r="P8377">
        <v>0.26750030600510816</v>
      </c>
    </row>
    <row r="8378" spans="13:16">
      <c r="M8378">
        <v>0.29878670342149605</v>
      </c>
      <c r="N8378">
        <v>0.18822949152956428</v>
      </c>
      <c r="O8378">
        <v>0.25028965481809634</v>
      </c>
      <c r="P8378">
        <v>0.26269415023084319</v>
      </c>
    </row>
    <row r="8379" spans="13:16">
      <c r="M8379">
        <v>0.31049180592815756</v>
      </c>
      <c r="N8379">
        <v>0.16320917269815408</v>
      </c>
      <c r="O8379">
        <v>0.27884224777968974</v>
      </c>
      <c r="P8379">
        <v>0.24745677359399873</v>
      </c>
    </row>
    <row r="8380" spans="13:16">
      <c r="M8380">
        <v>0.26690281995729997</v>
      </c>
      <c r="N8380">
        <v>0.2024418348352324</v>
      </c>
      <c r="O8380">
        <v>0.26988582351916574</v>
      </c>
      <c r="P8380">
        <v>0.26076952168830186</v>
      </c>
    </row>
    <row r="8381" spans="13:16">
      <c r="M8381">
        <v>0.26643200522754473</v>
      </c>
      <c r="N8381">
        <v>0.19365967686290683</v>
      </c>
      <c r="O8381">
        <v>0.27954267613627876</v>
      </c>
      <c r="P8381">
        <v>0.26036564177326976</v>
      </c>
    </row>
    <row r="8382" spans="13:16">
      <c r="M8382">
        <v>0.31031026753553825</v>
      </c>
      <c r="N8382">
        <v>0.18925118578369313</v>
      </c>
      <c r="O8382">
        <v>0.24119641720910004</v>
      </c>
      <c r="P8382">
        <v>0.25924212947166847</v>
      </c>
    </row>
    <row r="8383" spans="13:16">
      <c r="M8383">
        <v>0.30466853426681528</v>
      </c>
      <c r="N8383">
        <v>0.16238431826134242</v>
      </c>
      <c r="O8383">
        <v>0.2911540634013991</v>
      </c>
      <c r="P8383">
        <v>0.24179308407044323</v>
      </c>
    </row>
    <row r="8384" spans="13:16">
      <c r="M8384">
        <v>0.28799417972624181</v>
      </c>
      <c r="N8384">
        <v>0.19865797780406313</v>
      </c>
      <c r="O8384">
        <v>0.23877963467857222</v>
      </c>
      <c r="P8384">
        <v>0.2745682077911229</v>
      </c>
    </row>
    <row r="8385" spans="13:16">
      <c r="M8385">
        <v>0.26693834721643905</v>
      </c>
      <c r="N8385">
        <v>0.17329095067958364</v>
      </c>
      <c r="O8385">
        <v>0.29809158053485452</v>
      </c>
      <c r="P8385">
        <v>0.26167912156912276</v>
      </c>
    </row>
    <row r="8386" spans="13:16">
      <c r="M8386">
        <v>0.3029093610750081</v>
      </c>
      <c r="N8386">
        <v>0.17704819564056748</v>
      </c>
      <c r="O8386">
        <v>0.25747687511776585</v>
      </c>
      <c r="P8386">
        <v>0.26256556816665855</v>
      </c>
    </row>
    <row r="8387" spans="13:16">
      <c r="M8387">
        <v>0.31325812333616809</v>
      </c>
      <c r="N8387">
        <v>0.1988545193952708</v>
      </c>
      <c r="O8387">
        <v>0.23237202571600424</v>
      </c>
      <c r="P8387">
        <v>0.25551533155255679</v>
      </c>
    </row>
    <row r="8388" spans="13:16">
      <c r="M8388">
        <v>0.27896349725962016</v>
      </c>
      <c r="N8388">
        <v>0.20416821898328696</v>
      </c>
      <c r="O8388">
        <v>0.24795004869856596</v>
      </c>
      <c r="P8388">
        <v>0.26891823505852686</v>
      </c>
    </row>
    <row r="8389" spans="13:16">
      <c r="M8389">
        <v>0.29718407606339253</v>
      </c>
      <c r="N8389">
        <v>0.16833926793729853</v>
      </c>
      <c r="O8389">
        <v>0.28653503377954265</v>
      </c>
      <c r="P8389">
        <v>0.24794162221976621</v>
      </c>
    </row>
    <row r="8390" spans="13:16">
      <c r="M8390">
        <v>0.29224394121484926</v>
      </c>
      <c r="N8390">
        <v>0.18333809546378427</v>
      </c>
      <c r="O8390">
        <v>0.27130811324447557</v>
      </c>
      <c r="P8390">
        <v>0.25310985007689085</v>
      </c>
    </row>
    <row r="8391" spans="13:16">
      <c r="M8391">
        <v>0.31923040588756096</v>
      </c>
      <c r="N8391">
        <v>0.16991321878932791</v>
      </c>
      <c r="O8391">
        <v>0.26632458314515178</v>
      </c>
      <c r="P8391">
        <v>0.24453179217795942</v>
      </c>
    </row>
    <row r="8392" spans="13:16">
      <c r="M8392">
        <v>0.31005183885547988</v>
      </c>
      <c r="N8392">
        <v>0.17471561454166748</v>
      </c>
      <c r="O8392">
        <v>0.25317531645699587</v>
      </c>
      <c r="P8392">
        <v>0.26205723014585663</v>
      </c>
    </row>
    <row r="8393" spans="13:16">
      <c r="M8393">
        <v>0.27881452148465108</v>
      </c>
      <c r="N8393">
        <v>0.16691303554264161</v>
      </c>
      <c r="O8393">
        <v>0.29576113250313552</v>
      </c>
      <c r="P8393">
        <v>0.25851131046957188</v>
      </c>
    </row>
    <row r="8394" spans="13:16">
      <c r="M8394">
        <v>0.29692724802015052</v>
      </c>
      <c r="N8394">
        <v>0.16308052650115798</v>
      </c>
      <c r="O8394">
        <v>0.29825727371350075</v>
      </c>
      <c r="P8394">
        <v>0.24173495176519078</v>
      </c>
    </row>
    <row r="8395" spans="13:16">
      <c r="M8395">
        <v>0.30531913326521198</v>
      </c>
      <c r="N8395">
        <v>0.17331059409688845</v>
      </c>
      <c r="O8395">
        <v>0.26471877845523584</v>
      </c>
      <c r="P8395">
        <v>0.25665149418266359</v>
      </c>
    </row>
    <row r="8396" spans="13:16">
      <c r="M8396">
        <v>0.29432090912384484</v>
      </c>
      <c r="N8396">
        <v>0.16957943880683973</v>
      </c>
      <c r="O8396">
        <v>0.26927235373292358</v>
      </c>
      <c r="P8396">
        <v>0.2668272983363919</v>
      </c>
    </row>
    <row r="8397" spans="13:16">
      <c r="M8397">
        <v>0.26772136743467512</v>
      </c>
      <c r="N8397">
        <v>0.18620606684161059</v>
      </c>
      <c r="O8397">
        <v>0.28152867474114029</v>
      </c>
      <c r="P8397">
        <v>0.26454389098257408</v>
      </c>
    </row>
    <row r="8398" spans="13:16">
      <c r="M8398">
        <v>0.28630484761245345</v>
      </c>
      <c r="N8398">
        <v>0.18066785448892655</v>
      </c>
      <c r="O8398">
        <v>0.25974456808304958</v>
      </c>
      <c r="P8398">
        <v>0.27328272981557045</v>
      </c>
    </row>
    <row r="8399" spans="13:16">
      <c r="M8399">
        <v>0.30603394276932411</v>
      </c>
      <c r="N8399">
        <v>0.16041231416953541</v>
      </c>
      <c r="O8399">
        <v>0.29433167965113466</v>
      </c>
      <c r="P8399">
        <v>0.23922206341000582</v>
      </c>
    </row>
    <row r="8400" spans="13:16">
      <c r="M8400">
        <v>0.29595391447095859</v>
      </c>
      <c r="N8400">
        <v>0.18441974027323355</v>
      </c>
      <c r="O8400">
        <v>0.23902840574012194</v>
      </c>
      <c r="P8400">
        <v>0.28059793951568585</v>
      </c>
    </row>
    <row r="8401" spans="13:16">
      <c r="M8401">
        <v>0.3269365429893929</v>
      </c>
      <c r="N8401">
        <v>0.18939222707158074</v>
      </c>
      <c r="O8401">
        <v>0.22359149197655645</v>
      </c>
      <c r="P8401">
        <v>0.26007973796246986</v>
      </c>
    </row>
    <row r="8402" spans="13:16">
      <c r="M8402">
        <v>0.31664060874476579</v>
      </c>
      <c r="N8402">
        <v>0.17076512821176792</v>
      </c>
      <c r="O8402">
        <v>0.26356345872541248</v>
      </c>
      <c r="P8402">
        <v>0.24903080431805372</v>
      </c>
    </row>
    <row r="8403" spans="13:16">
      <c r="M8403">
        <v>0.31136344956966949</v>
      </c>
      <c r="N8403">
        <v>0.18164864332802944</v>
      </c>
      <c r="O8403">
        <v>0.220674778668869</v>
      </c>
      <c r="P8403">
        <v>0.28631312843343215</v>
      </c>
    </row>
    <row r="8404" spans="13:16">
      <c r="M8404">
        <v>0.32172274955905811</v>
      </c>
      <c r="N8404">
        <v>0.17404011264775077</v>
      </c>
      <c r="O8404">
        <v>0.24891256776835127</v>
      </c>
      <c r="P8404">
        <v>0.25532457002483983</v>
      </c>
    </row>
    <row r="8405" spans="13:16">
      <c r="M8405">
        <v>0.2993492366800285</v>
      </c>
      <c r="N8405">
        <v>0.17875917114263717</v>
      </c>
      <c r="O8405">
        <v>0.25169426338061701</v>
      </c>
      <c r="P8405">
        <v>0.27019732879671743</v>
      </c>
    </row>
    <row r="8406" spans="13:16">
      <c r="M8406">
        <v>0.276156044208209</v>
      </c>
      <c r="N8406">
        <v>0.18265745741718323</v>
      </c>
      <c r="O8406">
        <v>0.28001432871178256</v>
      </c>
      <c r="P8406">
        <v>0.26117216966282519</v>
      </c>
    </row>
    <row r="8407" spans="13:16">
      <c r="M8407">
        <v>0.29712666310310781</v>
      </c>
      <c r="N8407">
        <v>0.17771988689424059</v>
      </c>
      <c r="O8407">
        <v>0.26273234794429279</v>
      </c>
      <c r="P8407">
        <v>0.26242110205835889</v>
      </c>
    </row>
    <row r="8408" spans="13:16">
      <c r="M8408">
        <v>0.28453583723464615</v>
      </c>
      <c r="N8408">
        <v>0.18005556370696482</v>
      </c>
      <c r="O8408">
        <v>0.2713734924034279</v>
      </c>
      <c r="P8408">
        <v>0.26403510665496116</v>
      </c>
    </row>
    <row r="8409" spans="13:16">
      <c r="M8409">
        <v>0.27932206778279461</v>
      </c>
      <c r="N8409">
        <v>0.16873558795665705</v>
      </c>
      <c r="O8409">
        <v>0.30858169137449554</v>
      </c>
      <c r="P8409">
        <v>0.24336065288605269</v>
      </c>
    </row>
    <row r="8410" spans="13:16">
      <c r="M8410">
        <v>0.30058281196476722</v>
      </c>
      <c r="N8410">
        <v>0.17647563593870352</v>
      </c>
      <c r="O8410">
        <v>0.25704146177312703</v>
      </c>
      <c r="P8410">
        <v>0.26590009032340223</v>
      </c>
    </row>
    <row r="8411" spans="13:16">
      <c r="M8411">
        <v>0.32001848657859938</v>
      </c>
      <c r="N8411">
        <v>0.15827204361074781</v>
      </c>
      <c r="O8411">
        <v>0.2743090457902444</v>
      </c>
      <c r="P8411">
        <v>0.24740042402040835</v>
      </c>
    </row>
    <row r="8412" spans="13:16">
      <c r="M8412">
        <v>0.29283039748554818</v>
      </c>
      <c r="N8412">
        <v>0.17385045468613913</v>
      </c>
      <c r="O8412">
        <v>0.26066174287343635</v>
      </c>
      <c r="P8412">
        <v>0.27265740495487628</v>
      </c>
    </row>
    <row r="8413" spans="13:16">
      <c r="M8413">
        <v>0.32448578736399908</v>
      </c>
      <c r="N8413">
        <v>0.18515943807408453</v>
      </c>
      <c r="O8413">
        <v>0.23310147564798317</v>
      </c>
      <c r="P8413">
        <v>0.25725329891393317</v>
      </c>
    </row>
    <row r="8414" spans="13:16">
      <c r="M8414">
        <v>0.29164412253623534</v>
      </c>
      <c r="N8414">
        <v>0.17219146632294294</v>
      </c>
      <c r="O8414">
        <v>0.28735523852771971</v>
      </c>
      <c r="P8414">
        <v>0.24880917261310198</v>
      </c>
    </row>
    <row r="8415" spans="13:16">
      <c r="M8415">
        <v>0.29727593100801586</v>
      </c>
      <c r="N8415">
        <v>0.17193147700752759</v>
      </c>
      <c r="O8415">
        <v>0.27493335428490695</v>
      </c>
      <c r="P8415">
        <v>0.25585923769954949</v>
      </c>
    </row>
    <row r="8416" spans="13:16">
      <c r="M8416">
        <v>0.32240187669323916</v>
      </c>
      <c r="N8416">
        <v>0.16861080577992368</v>
      </c>
      <c r="O8416">
        <v>0.24961988883897798</v>
      </c>
      <c r="P8416">
        <v>0.25936742868785911</v>
      </c>
    </row>
    <row r="8417" spans="13:16">
      <c r="M8417">
        <v>0.28215747346561543</v>
      </c>
      <c r="N8417">
        <v>0.18929942972721478</v>
      </c>
      <c r="O8417">
        <v>0.25334010520105382</v>
      </c>
      <c r="P8417">
        <v>0.275202991606116</v>
      </c>
    </row>
    <row r="8418" spans="13:16">
      <c r="M8418">
        <v>0.27731405124775926</v>
      </c>
      <c r="N8418">
        <v>0.19670506554935915</v>
      </c>
      <c r="O8418">
        <v>0.27140805004980156</v>
      </c>
      <c r="P8418">
        <v>0.25457283315307994</v>
      </c>
    </row>
    <row r="8419" spans="13:16">
      <c r="M8419">
        <v>0.28945899517460177</v>
      </c>
      <c r="N8419">
        <v>0.19998480540698954</v>
      </c>
      <c r="O8419">
        <v>0.22280221673828926</v>
      </c>
      <c r="P8419">
        <v>0.28775398268011937</v>
      </c>
    </row>
    <row r="8420" spans="13:16">
      <c r="M8420">
        <v>0.29181824101938852</v>
      </c>
      <c r="N8420">
        <v>0.18660891304252028</v>
      </c>
      <c r="O8420">
        <v>0.26779852738863713</v>
      </c>
      <c r="P8420">
        <v>0.25377431854945398</v>
      </c>
    </row>
    <row r="8421" spans="13:16">
      <c r="M8421">
        <v>0.3159038777263512</v>
      </c>
      <c r="N8421">
        <v>0.17897718111168959</v>
      </c>
      <c r="O8421">
        <v>0.24941623209236849</v>
      </c>
      <c r="P8421">
        <v>0.25570270906959064</v>
      </c>
    </row>
    <row r="8422" spans="13:16">
      <c r="M8422">
        <v>0.28747449543572329</v>
      </c>
      <c r="N8422">
        <v>0.19225961123168891</v>
      </c>
      <c r="O8422">
        <v>0.25760782455812431</v>
      </c>
      <c r="P8422">
        <v>0.26265806877446346</v>
      </c>
    </row>
    <row r="8423" spans="13:16">
      <c r="M8423">
        <v>0.30826874073586308</v>
      </c>
      <c r="N8423">
        <v>0.1621853912177891</v>
      </c>
      <c r="O8423">
        <v>0.28542932163700308</v>
      </c>
      <c r="P8423">
        <v>0.24411654640934474</v>
      </c>
    </row>
    <row r="8424" spans="13:16">
      <c r="M8424">
        <v>0.2923654522016364</v>
      </c>
      <c r="N8424">
        <v>0.17704382387605391</v>
      </c>
      <c r="O8424">
        <v>0.25676936099624614</v>
      </c>
      <c r="P8424">
        <v>0.27382136292606357</v>
      </c>
    </row>
    <row r="8425" spans="13:16">
      <c r="M8425">
        <v>0.27354311519126373</v>
      </c>
      <c r="N8425">
        <v>0.21113916177813119</v>
      </c>
      <c r="O8425">
        <v>0.2289265653535667</v>
      </c>
      <c r="P8425">
        <v>0.28639115767703832</v>
      </c>
    </row>
    <row r="8426" spans="13:16">
      <c r="M8426">
        <v>0.30405251532031052</v>
      </c>
      <c r="N8426">
        <v>0.18380632127848501</v>
      </c>
      <c r="O8426">
        <v>0.27194452865495744</v>
      </c>
      <c r="P8426">
        <v>0.24019663474624692</v>
      </c>
    </row>
    <row r="8427" spans="13:16">
      <c r="M8427">
        <v>0.27517945752861228</v>
      </c>
      <c r="N8427">
        <v>0.18791113540034665</v>
      </c>
      <c r="O8427">
        <v>0.26836457165776889</v>
      </c>
      <c r="P8427">
        <v>0.26854483541327212</v>
      </c>
    </row>
    <row r="8428" spans="13:16">
      <c r="M8428">
        <v>0.27746274431822643</v>
      </c>
      <c r="N8428">
        <v>0.18832829758163691</v>
      </c>
      <c r="O8428">
        <v>0.26705288411207334</v>
      </c>
      <c r="P8428">
        <v>0.26715607398806346</v>
      </c>
    </row>
    <row r="8429" spans="13:16">
      <c r="M8429">
        <v>0.27179933388743066</v>
      </c>
      <c r="N8429">
        <v>0.19004295513274011</v>
      </c>
      <c r="O8429">
        <v>0.27997656578229568</v>
      </c>
      <c r="P8429">
        <v>0.25818114519753366</v>
      </c>
    </row>
    <row r="8430" spans="13:16">
      <c r="M8430">
        <v>0.29987395179455739</v>
      </c>
      <c r="N8430">
        <v>0.18028841606883364</v>
      </c>
      <c r="O8430">
        <v>0.25769688239653632</v>
      </c>
      <c r="P8430">
        <v>0.26214074974007262</v>
      </c>
    </row>
    <row r="8431" spans="13:16">
      <c r="M8431">
        <v>0.31130615725703126</v>
      </c>
      <c r="N8431">
        <v>0.17033434115225424</v>
      </c>
      <c r="O8431">
        <v>0.26382831778935056</v>
      </c>
      <c r="P8431">
        <v>0.25453118380136391</v>
      </c>
    </row>
    <row r="8432" spans="13:16">
      <c r="M8432">
        <v>0.30650734746736574</v>
      </c>
      <c r="N8432">
        <v>0.16771735714125818</v>
      </c>
      <c r="O8432">
        <v>0.28736257348298211</v>
      </c>
      <c r="P8432">
        <v>0.23841272190839405</v>
      </c>
    </row>
    <row r="8433" spans="13:16">
      <c r="M8433">
        <v>0.29105061853907671</v>
      </c>
      <c r="N8433">
        <v>0.20390978188774422</v>
      </c>
      <c r="O8433">
        <v>0.23966575800401471</v>
      </c>
      <c r="P8433">
        <v>0.26537384156916427</v>
      </c>
    </row>
    <row r="8434" spans="13:16">
      <c r="M8434">
        <v>0.27114492164779946</v>
      </c>
      <c r="N8434">
        <v>0.18574163929651447</v>
      </c>
      <c r="O8434">
        <v>0.28112682280709245</v>
      </c>
      <c r="P8434">
        <v>0.26198661624859365</v>
      </c>
    </row>
    <row r="8435" spans="13:16">
      <c r="M8435">
        <v>0.28740043627549811</v>
      </c>
      <c r="N8435">
        <v>0.19550479245711327</v>
      </c>
      <c r="O8435">
        <v>0.24363462805475136</v>
      </c>
      <c r="P8435">
        <v>0.27346014321263717</v>
      </c>
    </row>
    <row r="8436" spans="13:16">
      <c r="M8436">
        <v>0.32840898669699414</v>
      </c>
      <c r="N8436">
        <v>0.17506671630844051</v>
      </c>
      <c r="O8436">
        <v>0.23099949882282136</v>
      </c>
      <c r="P8436">
        <v>0.26552479817174396</v>
      </c>
    </row>
    <row r="8437" spans="13:16">
      <c r="M8437">
        <v>0.27198061813921259</v>
      </c>
      <c r="N8437">
        <v>0.20624751134271518</v>
      </c>
      <c r="O8437">
        <v>0.25530178755995325</v>
      </c>
      <c r="P8437">
        <v>0.26647008295811897</v>
      </c>
    </row>
    <row r="8438" spans="13:16">
      <c r="M8438">
        <v>0.28758248565469496</v>
      </c>
      <c r="N8438">
        <v>0.18737606018749109</v>
      </c>
      <c r="O8438">
        <v>0.24524204260890664</v>
      </c>
      <c r="P8438">
        <v>0.27979941154890742</v>
      </c>
    </row>
    <row r="8439" spans="13:16">
      <c r="M8439">
        <v>0.29094354692381003</v>
      </c>
      <c r="N8439">
        <v>0.20978742914181095</v>
      </c>
      <c r="O8439">
        <v>0.2321957670127669</v>
      </c>
      <c r="P8439">
        <v>0.26707325692161205</v>
      </c>
    </row>
    <row r="8440" spans="13:16">
      <c r="M8440">
        <v>0.28814205558444916</v>
      </c>
      <c r="N8440">
        <v>0.17772451378370471</v>
      </c>
      <c r="O8440">
        <v>0.26223740437879195</v>
      </c>
      <c r="P8440">
        <v>0.2718960262530542</v>
      </c>
    </row>
    <row r="8441" spans="13:16">
      <c r="M8441">
        <v>0.32165903312931288</v>
      </c>
      <c r="N8441">
        <v>0.17446535390674581</v>
      </c>
      <c r="O8441">
        <v>0.2488125628131943</v>
      </c>
      <c r="P8441">
        <v>0.25506305015074704</v>
      </c>
    </row>
    <row r="8442" spans="13:16">
      <c r="M8442">
        <v>0.32041649637677738</v>
      </c>
      <c r="N8442">
        <v>0.17863594414002443</v>
      </c>
      <c r="O8442">
        <v>0.26210496433139907</v>
      </c>
      <c r="P8442">
        <v>0.23884259515179909</v>
      </c>
    </row>
    <row r="8443" spans="13:16">
      <c r="M8443">
        <v>0.30132470459582494</v>
      </c>
      <c r="N8443">
        <v>0.18284326325515962</v>
      </c>
      <c r="O8443">
        <v>0.26585179473345993</v>
      </c>
      <c r="P8443">
        <v>0.24998023741555556</v>
      </c>
    </row>
    <row r="8444" spans="13:16">
      <c r="M8444">
        <v>0.27939396641796566</v>
      </c>
      <c r="N8444">
        <v>0.19093328219269973</v>
      </c>
      <c r="O8444">
        <v>0.24701511978045212</v>
      </c>
      <c r="P8444">
        <v>0.28265763160888252</v>
      </c>
    </row>
    <row r="8445" spans="13:16">
      <c r="M8445">
        <v>0.3091741764046349</v>
      </c>
      <c r="N8445">
        <v>0.17915706822406191</v>
      </c>
      <c r="O8445">
        <v>0.24394984034992531</v>
      </c>
      <c r="P8445">
        <v>0.26771891502137785</v>
      </c>
    </row>
    <row r="8446" spans="13:16">
      <c r="M8446">
        <v>0.30404012033981526</v>
      </c>
      <c r="N8446">
        <v>0.18377390852086389</v>
      </c>
      <c r="O8446">
        <v>0.24010399055823128</v>
      </c>
      <c r="P8446">
        <v>0.27208198058108951</v>
      </c>
    </row>
    <row r="8447" spans="13:16">
      <c r="M8447">
        <v>0.29832488740426671</v>
      </c>
      <c r="N8447">
        <v>0.17196848632921408</v>
      </c>
      <c r="O8447">
        <v>0.25069751122321421</v>
      </c>
      <c r="P8447">
        <v>0.27900911504330511</v>
      </c>
    </row>
    <row r="8448" spans="13:16">
      <c r="M8448">
        <v>0.29853426301161806</v>
      </c>
      <c r="N8448">
        <v>0.18625094398764511</v>
      </c>
      <c r="O8448">
        <v>0.2690970466896197</v>
      </c>
      <c r="P8448">
        <v>0.24611774631111721</v>
      </c>
    </row>
    <row r="8449" spans="13:16">
      <c r="M8449">
        <v>0.28812139764257194</v>
      </c>
      <c r="N8449">
        <v>0.19441655464367244</v>
      </c>
      <c r="O8449">
        <v>0.26161752200470539</v>
      </c>
      <c r="P8449">
        <v>0.25584452570905031</v>
      </c>
    </row>
    <row r="8450" spans="13:16">
      <c r="M8450">
        <v>0.29438208152493023</v>
      </c>
      <c r="N8450">
        <v>0.18052039767933797</v>
      </c>
      <c r="O8450">
        <v>0.26216565572502182</v>
      </c>
      <c r="P8450">
        <v>0.26293186507070998</v>
      </c>
    </row>
    <row r="8451" spans="13:16">
      <c r="M8451">
        <v>0.32692916227409091</v>
      </c>
      <c r="N8451">
        <v>0.18091659752705572</v>
      </c>
      <c r="O8451">
        <v>0.23455768516164294</v>
      </c>
      <c r="P8451">
        <v>0.25759655503721046</v>
      </c>
    </row>
    <row r="8452" spans="13:16">
      <c r="M8452">
        <v>0.29050936342135558</v>
      </c>
      <c r="N8452">
        <v>0.18624576450461464</v>
      </c>
      <c r="O8452">
        <v>0.26021466277037836</v>
      </c>
      <c r="P8452">
        <v>0.26303020930365145</v>
      </c>
    </row>
    <row r="8453" spans="13:16">
      <c r="M8453">
        <v>0.29457981562849039</v>
      </c>
      <c r="N8453">
        <v>0.17636774553403603</v>
      </c>
      <c r="O8453">
        <v>0.28133059003475763</v>
      </c>
      <c r="P8453">
        <v>0.24772184880271594</v>
      </c>
    </row>
    <row r="8454" spans="13:16">
      <c r="M8454">
        <v>0.31029454616587654</v>
      </c>
      <c r="N8454">
        <v>0.19291600833224584</v>
      </c>
      <c r="O8454">
        <v>0.23200243764210868</v>
      </c>
      <c r="P8454">
        <v>0.264787007859769</v>
      </c>
    </row>
    <row r="8455" spans="13:16">
      <c r="M8455">
        <v>0.30432452319409498</v>
      </c>
      <c r="N8455">
        <v>0.17490985187143199</v>
      </c>
      <c r="O8455">
        <v>0.27187388221399988</v>
      </c>
      <c r="P8455">
        <v>0.24889174272047307</v>
      </c>
    </row>
    <row r="8456" spans="13:16">
      <c r="M8456">
        <v>0.28281302986016832</v>
      </c>
      <c r="N8456">
        <v>0.19772241754475547</v>
      </c>
      <c r="O8456">
        <v>0.25793816937520114</v>
      </c>
      <c r="P8456">
        <v>0.26152638321987498</v>
      </c>
    </row>
    <row r="8457" spans="13:16">
      <c r="M8457">
        <v>0.27518835089268268</v>
      </c>
      <c r="N8457">
        <v>0.18423408032225455</v>
      </c>
      <c r="O8457">
        <v>0.2767478449658814</v>
      </c>
      <c r="P8457">
        <v>0.26382972381918118</v>
      </c>
    </row>
    <row r="8458" spans="13:16">
      <c r="M8458">
        <v>0.29424605662877906</v>
      </c>
      <c r="N8458">
        <v>0.19935836705220206</v>
      </c>
      <c r="O8458">
        <v>0.22938203671212576</v>
      </c>
      <c r="P8458">
        <v>0.27701353960689318</v>
      </c>
    </row>
    <row r="8459" spans="13:16">
      <c r="M8459">
        <v>0.2975483422752972</v>
      </c>
      <c r="N8459">
        <v>0.18088806314875919</v>
      </c>
      <c r="O8459">
        <v>0.2563471638540204</v>
      </c>
      <c r="P8459">
        <v>0.26521643072192319</v>
      </c>
    </row>
    <row r="8460" spans="13:16">
      <c r="M8460">
        <v>0.30695565574756617</v>
      </c>
      <c r="N8460">
        <v>0.18178814988810515</v>
      </c>
      <c r="O8460">
        <v>0.23641372439294078</v>
      </c>
      <c r="P8460">
        <v>0.27484246997138789</v>
      </c>
    </row>
    <row r="8461" spans="13:16">
      <c r="M8461">
        <v>0.31231740893393684</v>
      </c>
      <c r="N8461">
        <v>0.17627803305272546</v>
      </c>
      <c r="O8461">
        <v>0.24954781124238284</v>
      </c>
      <c r="P8461">
        <v>0.26185674677095483</v>
      </c>
    </row>
    <row r="8462" spans="13:16">
      <c r="M8462">
        <v>0.28752082299006121</v>
      </c>
      <c r="N8462">
        <v>0.18308270114893643</v>
      </c>
      <c r="O8462">
        <v>0.27060937015859543</v>
      </c>
      <c r="P8462">
        <v>0.25878710570240687</v>
      </c>
    </row>
    <row r="8463" spans="13:16">
      <c r="M8463">
        <v>0.3202487984732123</v>
      </c>
      <c r="N8463">
        <v>0.16585002167776999</v>
      </c>
      <c r="O8463">
        <v>0.2570084917750009</v>
      </c>
      <c r="P8463">
        <v>0.25689268807401683</v>
      </c>
    </row>
    <row r="8464" spans="13:16">
      <c r="M8464">
        <v>0.278405044437742</v>
      </c>
      <c r="N8464">
        <v>0.19942325531525085</v>
      </c>
      <c r="O8464">
        <v>0.26936458993799911</v>
      </c>
      <c r="P8464">
        <v>0.25280711030900815</v>
      </c>
    </row>
    <row r="8465" spans="13:16">
      <c r="M8465">
        <v>0.27999588501965206</v>
      </c>
      <c r="N8465">
        <v>0.19179081980358215</v>
      </c>
      <c r="O8465">
        <v>0.25420793157436655</v>
      </c>
      <c r="P8465">
        <v>0.27400536360239935</v>
      </c>
    </row>
    <row r="8466" spans="13:16">
      <c r="M8466">
        <v>0.30711170345090538</v>
      </c>
      <c r="N8466">
        <v>0.18348726279507685</v>
      </c>
      <c r="O8466">
        <v>0.22791198885774408</v>
      </c>
      <c r="P8466">
        <v>0.28148904489627363</v>
      </c>
    </row>
    <row r="8467" spans="13:16">
      <c r="M8467">
        <v>0.30570592551354692</v>
      </c>
      <c r="N8467">
        <v>0.17478594027853253</v>
      </c>
      <c r="O8467">
        <v>0.27055377345385795</v>
      </c>
      <c r="P8467">
        <v>0.24895436075406266</v>
      </c>
    </row>
    <row r="8468" spans="13:16">
      <c r="M8468">
        <v>0.28657376224712594</v>
      </c>
      <c r="N8468">
        <v>0.18562177931708762</v>
      </c>
      <c r="O8468">
        <v>0.24468719623260421</v>
      </c>
      <c r="P8468">
        <v>0.28311726220318228</v>
      </c>
    </row>
    <row r="8469" spans="13:16">
      <c r="M8469">
        <v>0.27899236142289563</v>
      </c>
      <c r="N8469">
        <v>0.19058806013859411</v>
      </c>
      <c r="O8469">
        <v>0.25814961048059859</v>
      </c>
      <c r="P8469">
        <v>0.27226996795791164</v>
      </c>
    </row>
    <row r="8470" spans="13:16">
      <c r="M8470">
        <v>0.31635924342595506</v>
      </c>
      <c r="N8470">
        <v>0.16038176648527355</v>
      </c>
      <c r="O8470">
        <v>0.28379176387382266</v>
      </c>
      <c r="P8470">
        <v>0.23946722621494887</v>
      </c>
    </row>
    <row r="8471" spans="13:16">
      <c r="M8471">
        <v>0.28074269775051264</v>
      </c>
      <c r="N8471">
        <v>0.18343864893717057</v>
      </c>
      <c r="O8471">
        <v>0.28264357016245134</v>
      </c>
      <c r="P8471">
        <v>0.25317508314986553</v>
      </c>
    </row>
    <row r="8472" spans="13:16">
      <c r="M8472">
        <v>0.29586401315998601</v>
      </c>
      <c r="N8472">
        <v>0.18930418540913524</v>
      </c>
      <c r="O8472">
        <v>0.25921611901393432</v>
      </c>
      <c r="P8472">
        <v>0.25561568241694449</v>
      </c>
    </row>
    <row r="8473" spans="13:16">
      <c r="M8473">
        <v>0.32720990710472353</v>
      </c>
      <c r="N8473">
        <v>0.17063962295384189</v>
      </c>
      <c r="O8473">
        <v>0.23044909849689624</v>
      </c>
      <c r="P8473">
        <v>0.27170137144453843</v>
      </c>
    </row>
    <row r="8474" spans="13:16">
      <c r="M8474">
        <v>0.29141664301793152</v>
      </c>
      <c r="N8474">
        <v>0.17479690664359934</v>
      </c>
      <c r="O8474">
        <v>0.27992775898014899</v>
      </c>
      <c r="P8474">
        <v>0.25385869135832007</v>
      </c>
    </row>
    <row r="8475" spans="13:16">
      <c r="M8475">
        <v>0.29924104390912371</v>
      </c>
      <c r="N8475">
        <v>0.19311758626707029</v>
      </c>
      <c r="O8475">
        <v>0.23617694428135974</v>
      </c>
      <c r="P8475">
        <v>0.27146442554244632</v>
      </c>
    </row>
    <row r="8476" spans="13:16">
      <c r="M8476">
        <v>0.26391723981957782</v>
      </c>
      <c r="N8476">
        <v>0.18846329942985002</v>
      </c>
      <c r="O8476">
        <v>0.29520418766979556</v>
      </c>
      <c r="P8476">
        <v>0.25241527308077666</v>
      </c>
    </row>
    <row r="8477" spans="13:16">
      <c r="M8477">
        <v>0.28592939925475308</v>
      </c>
      <c r="N8477">
        <v>0.17940818175285736</v>
      </c>
      <c r="O8477">
        <v>0.27914532028701805</v>
      </c>
      <c r="P8477">
        <v>0.25551709870537148</v>
      </c>
    </row>
    <row r="8478" spans="13:16">
      <c r="M8478">
        <v>0.29701790211666934</v>
      </c>
      <c r="N8478">
        <v>0.18585134944715642</v>
      </c>
      <c r="O8478">
        <v>0.25186011292263866</v>
      </c>
      <c r="P8478">
        <v>0.26527063551353558</v>
      </c>
    </row>
    <row r="8479" spans="13:16">
      <c r="M8479">
        <v>0.31134605536165616</v>
      </c>
      <c r="N8479">
        <v>0.17997453141552813</v>
      </c>
      <c r="O8479">
        <v>0.22996604017876887</v>
      </c>
      <c r="P8479">
        <v>0.27871337304404692</v>
      </c>
    </row>
    <row r="8480" spans="13:16">
      <c r="M8480">
        <v>0.3182342412160063</v>
      </c>
      <c r="N8480">
        <v>0.19671401681525269</v>
      </c>
      <c r="O8480">
        <v>0.23258776084561844</v>
      </c>
      <c r="P8480">
        <v>0.25246398112312263</v>
      </c>
    </row>
    <row r="8481" spans="13:16">
      <c r="M8481">
        <v>0.28014414795226245</v>
      </c>
      <c r="N8481">
        <v>0.18721032270230009</v>
      </c>
      <c r="O8481">
        <v>0.24530597209603477</v>
      </c>
      <c r="P8481">
        <v>0.28733955724940274</v>
      </c>
    </row>
    <row r="8482" spans="13:16">
      <c r="M8482">
        <v>0.25630749209308723</v>
      </c>
      <c r="N8482">
        <v>0.193690230474939</v>
      </c>
      <c r="O8482">
        <v>0.2896017238069945</v>
      </c>
      <c r="P8482">
        <v>0.26040055362497916</v>
      </c>
    </row>
    <row r="8483" spans="13:16">
      <c r="M8483">
        <v>0.2996285211812233</v>
      </c>
      <c r="N8483">
        <v>0.19535713757549747</v>
      </c>
      <c r="O8483">
        <v>0.2377535865097046</v>
      </c>
      <c r="P8483">
        <v>0.26726075473357463</v>
      </c>
    </row>
    <row r="8484" spans="13:16">
      <c r="M8484">
        <v>0.29766038754625762</v>
      </c>
      <c r="N8484">
        <v>0.17810657780740216</v>
      </c>
      <c r="O8484">
        <v>0.25479834030819504</v>
      </c>
      <c r="P8484">
        <v>0.26943469433814515</v>
      </c>
    </row>
    <row r="8485" spans="13:16">
      <c r="M8485">
        <v>0.27019329024772848</v>
      </c>
      <c r="N8485">
        <v>0.19505174226871438</v>
      </c>
      <c r="O8485">
        <v>0.26082658458694158</v>
      </c>
      <c r="P8485">
        <v>0.27392838289661559</v>
      </c>
    </row>
    <row r="8486" spans="13:16">
      <c r="M8486">
        <v>0.30661214183858665</v>
      </c>
      <c r="N8486">
        <v>0.19722162474521412</v>
      </c>
      <c r="O8486">
        <v>0.21910686152205555</v>
      </c>
      <c r="P8486">
        <v>0.2770593718941437</v>
      </c>
    </row>
    <row r="8487" spans="13:16">
      <c r="M8487">
        <v>0.30803166230879392</v>
      </c>
      <c r="N8487">
        <v>0.1947038556448418</v>
      </c>
      <c r="O8487">
        <v>0.24545698833500965</v>
      </c>
      <c r="P8487">
        <v>0.25180749371135458</v>
      </c>
    </row>
    <row r="8488" spans="13:16">
      <c r="M8488">
        <v>0.29247494456670642</v>
      </c>
      <c r="N8488">
        <v>0.17814128652904995</v>
      </c>
      <c r="O8488">
        <v>0.26638392484360313</v>
      </c>
      <c r="P8488">
        <v>0.26299984406064064</v>
      </c>
    </row>
    <row r="8489" spans="13:16">
      <c r="M8489">
        <v>0.30700277754201338</v>
      </c>
      <c r="N8489">
        <v>0.17492157848622392</v>
      </c>
      <c r="O8489">
        <v>0.24351663326694029</v>
      </c>
      <c r="P8489">
        <v>0.27455901070482258</v>
      </c>
    </row>
    <row r="8490" spans="13:16">
      <c r="M8490">
        <v>0.29604699429493508</v>
      </c>
      <c r="N8490">
        <v>0.16897237229309892</v>
      </c>
      <c r="O8490">
        <v>0.28409021491160097</v>
      </c>
      <c r="P8490">
        <v>0.25089041850036492</v>
      </c>
    </row>
    <row r="8491" spans="13:16">
      <c r="M8491">
        <v>0.29118873048708777</v>
      </c>
      <c r="N8491">
        <v>0.18814420850710578</v>
      </c>
      <c r="O8491">
        <v>0.23288905669493418</v>
      </c>
      <c r="P8491">
        <v>0.28777800431087225</v>
      </c>
    </row>
    <row r="8492" spans="13:16">
      <c r="M8492">
        <v>0.27958431245585591</v>
      </c>
      <c r="N8492">
        <v>0.19970563774406025</v>
      </c>
      <c r="O8492">
        <v>0.25091308207631252</v>
      </c>
      <c r="P8492">
        <v>0.26979696772377121</v>
      </c>
    </row>
    <row r="8493" spans="13:16">
      <c r="M8493">
        <v>0.30576808461105837</v>
      </c>
      <c r="N8493">
        <v>0.18140692982391504</v>
      </c>
      <c r="O8493">
        <v>0.26971845777255044</v>
      </c>
      <c r="P8493">
        <v>0.24310652779247602</v>
      </c>
    </row>
    <row r="8494" spans="13:16">
      <c r="M8494">
        <v>0.28099311035600177</v>
      </c>
      <c r="N8494">
        <v>0.18876690652181355</v>
      </c>
      <c r="O8494">
        <v>0.27682523173508544</v>
      </c>
      <c r="P8494">
        <v>0.25341475138709924</v>
      </c>
    </row>
    <row r="8495" spans="13:16">
      <c r="M8495">
        <v>0.2888465760570903</v>
      </c>
      <c r="N8495">
        <v>0.18259733448792548</v>
      </c>
      <c r="O8495">
        <v>0.24839940384682233</v>
      </c>
      <c r="P8495">
        <v>0.28015668560816198</v>
      </c>
    </row>
    <row r="8496" spans="13:16">
      <c r="M8496">
        <v>0.28825644521640637</v>
      </c>
      <c r="N8496">
        <v>0.18025731167371856</v>
      </c>
      <c r="O8496">
        <v>0.27606475749896991</v>
      </c>
      <c r="P8496">
        <v>0.25542148561090511</v>
      </c>
    </row>
    <row r="8497" spans="13:16">
      <c r="M8497">
        <v>0.29917418579019733</v>
      </c>
      <c r="N8497">
        <v>0.18703760880398096</v>
      </c>
      <c r="O8497">
        <v>0.25589585027034201</v>
      </c>
      <c r="P8497">
        <v>0.2578923551354797</v>
      </c>
    </row>
    <row r="8498" spans="13:16">
      <c r="M8498">
        <v>0.28307357305878339</v>
      </c>
      <c r="N8498">
        <v>0.19237732624284429</v>
      </c>
      <c r="O8498">
        <v>0.25646851408467525</v>
      </c>
      <c r="P8498">
        <v>0.26808058661369716</v>
      </c>
    </row>
    <row r="8499" spans="13:16">
      <c r="M8499">
        <v>0.2748560504106336</v>
      </c>
      <c r="N8499">
        <v>0.20731317264163332</v>
      </c>
      <c r="O8499">
        <v>0.23743950438581315</v>
      </c>
      <c r="P8499">
        <v>0.28039127256191987</v>
      </c>
    </row>
    <row r="8500" spans="13:16">
      <c r="M8500">
        <v>0.30570909598691109</v>
      </c>
      <c r="N8500">
        <v>0.18846028312209206</v>
      </c>
      <c r="O8500">
        <v>0.23068791199193525</v>
      </c>
      <c r="P8500">
        <v>0.27514270889906162</v>
      </c>
    </row>
    <row r="8501" spans="13:16">
      <c r="M8501">
        <v>0.28478569539310566</v>
      </c>
      <c r="N8501">
        <v>0.18361323401985163</v>
      </c>
      <c r="O8501">
        <v>0.26401656415927921</v>
      </c>
      <c r="P8501">
        <v>0.26758450642776344</v>
      </c>
    </row>
    <row r="8502" spans="13:16">
      <c r="M8502">
        <v>0.30109105768221822</v>
      </c>
      <c r="N8502">
        <v>0.16556112964947564</v>
      </c>
      <c r="O8502">
        <v>0.29216580641403472</v>
      </c>
      <c r="P8502">
        <v>0.24118200625427139</v>
      </c>
    </row>
    <row r="8503" spans="13:16">
      <c r="M8503">
        <v>0.30217994383816105</v>
      </c>
      <c r="N8503">
        <v>0.19527703918317074</v>
      </c>
      <c r="O8503">
        <v>0.21987526357510717</v>
      </c>
      <c r="P8503">
        <v>0.2826677534035611</v>
      </c>
    </row>
    <row r="8504" spans="13:16">
      <c r="M8504">
        <v>0.27907789187251097</v>
      </c>
      <c r="N8504">
        <v>0.19565400612467179</v>
      </c>
      <c r="O8504">
        <v>0.25788352322638292</v>
      </c>
      <c r="P8504">
        <v>0.2673845787764344</v>
      </c>
    </row>
    <row r="8505" spans="13:16">
      <c r="M8505">
        <v>0.3064576122613652</v>
      </c>
      <c r="N8505">
        <v>0.18661192358295448</v>
      </c>
      <c r="O8505">
        <v>0.23942590583977599</v>
      </c>
      <c r="P8505">
        <v>0.26750455831590431</v>
      </c>
    </row>
    <row r="8506" spans="13:16">
      <c r="M8506">
        <v>0.29282194245609261</v>
      </c>
      <c r="N8506">
        <v>0.17999997864865316</v>
      </c>
      <c r="O8506">
        <v>0.25439218666708457</v>
      </c>
      <c r="P8506">
        <v>0.27278589222816968</v>
      </c>
    </row>
    <row r="8507" spans="13:16">
      <c r="M8507">
        <v>0.26669802524820196</v>
      </c>
      <c r="N8507">
        <v>0.18726415443231026</v>
      </c>
      <c r="O8507">
        <v>0.28886486884990081</v>
      </c>
      <c r="P8507">
        <v>0.25717295146958685</v>
      </c>
    </row>
    <row r="8508" spans="13:16">
      <c r="M8508">
        <v>0.29708582814278828</v>
      </c>
      <c r="N8508">
        <v>0.17769901579933997</v>
      </c>
      <c r="O8508">
        <v>0.24607157593002268</v>
      </c>
      <c r="P8508">
        <v>0.27914358012784907</v>
      </c>
    </row>
    <row r="8509" spans="13:16">
      <c r="M8509">
        <v>0.27377107249749466</v>
      </c>
      <c r="N8509">
        <v>0.19407905522679816</v>
      </c>
      <c r="O8509">
        <v>0.26188715046669875</v>
      </c>
      <c r="P8509">
        <v>0.27026272180900851</v>
      </c>
    </row>
    <row r="8510" spans="13:16">
      <c r="M8510">
        <v>0.28785218910377885</v>
      </c>
      <c r="N8510">
        <v>0.19141882706117019</v>
      </c>
      <c r="O8510">
        <v>0.24889185654700433</v>
      </c>
      <c r="P8510">
        <v>0.27183712728804654</v>
      </c>
    </row>
    <row r="8511" spans="13:16">
      <c r="M8511">
        <v>0.32428533168239809</v>
      </c>
      <c r="N8511">
        <v>0.17330083425176343</v>
      </c>
      <c r="O8511">
        <v>0.24040925786196843</v>
      </c>
      <c r="P8511">
        <v>0.26200457620387002</v>
      </c>
    </row>
    <row r="8512" spans="13:16">
      <c r="M8512">
        <v>0.30724282732986563</v>
      </c>
      <c r="N8512">
        <v>0.18552645704646686</v>
      </c>
      <c r="O8512">
        <v>0.23711416701146076</v>
      </c>
      <c r="P8512">
        <v>0.27011654861220663</v>
      </c>
    </row>
    <row r="8513" spans="13:16">
      <c r="M8513">
        <v>0.30061311785367406</v>
      </c>
      <c r="N8513">
        <v>0.16969271079261602</v>
      </c>
      <c r="O8513">
        <v>0.2758817310447223</v>
      </c>
      <c r="P8513">
        <v>0.25381244030898775</v>
      </c>
    </row>
    <row r="8514" spans="13:16">
      <c r="M8514">
        <v>0.28178519850643358</v>
      </c>
      <c r="N8514">
        <v>0.20579165493302504</v>
      </c>
      <c r="O8514">
        <v>0.24538440967311892</v>
      </c>
      <c r="P8514">
        <v>0.26703873688742252</v>
      </c>
    </row>
    <row r="8515" spans="13:16">
      <c r="M8515">
        <v>0.29407498772641727</v>
      </c>
      <c r="N8515">
        <v>0.17444921664474242</v>
      </c>
      <c r="O8515">
        <v>0.2745686004556076</v>
      </c>
      <c r="P8515">
        <v>0.25690719517323257</v>
      </c>
    </row>
    <row r="8516" spans="13:16">
      <c r="M8516">
        <v>0.31332781359016554</v>
      </c>
      <c r="N8516">
        <v>0.16676243543532115</v>
      </c>
      <c r="O8516">
        <v>0.27585725460564847</v>
      </c>
      <c r="P8516">
        <v>0.24405249636886478</v>
      </c>
    </row>
    <row r="8517" spans="13:16">
      <c r="M8517">
        <v>0.32732897243932657</v>
      </c>
      <c r="N8517">
        <v>0.16944713560170177</v>
      </c>
      <c r="O8517">
        <v>0.23982482396293961</v>
      </c>
      <c r="P8517">
        <v>0.26339906799603197</v>
      </c>
    </row>
    <row r="8518" spans="13:16">
      <c r="M8518">
        <v>0.28920928242581739</v>
      </c>
      <c r="N8518">
        <v>0.20434492418361744</v>
      </c>
      <c r="O8518">
        <v>0.22857975701824421</v>
      </c>
      <c r="P8518">
        <v>0.27786603637232088</v>
      </c>
    </row>
    <row r="8519" spans="13:16">
      <c r="M8519">
        <v>0.29487746121720076</v>
      </c>
      <c r="N8519">
        <v>0.1857891161763697</v>
      </c>
      <c r="O8519">
        <v>0.23679883969987345</v>
      </c>
      <c r="P8519">
        <v>0.28253458290655603</v>
      </c>
    </row>
    <row r="8520" spans="13:16">
      <c r="M8520">
        <v>0.30646595060575155</v>
      </c>
      <c r="N8520">
        <v>0.18671282474799336</v>
      </c>
      <c r="O8520">
        <v>0.22584937347447198</v>
      </c>
      <c r="P8520">
        <v>0.28097185117178292</v>
      </c>
    </row>
    <row r="8521" spans="13:16">
      <c r="M8521">
        <v>0.27052480460190348</v>
      </c>
      <c r="N8521">
        <v>0.18732801321239204</v>
      </c>
      <c r="O8521">
        <v>0.27593678945167199</v>
      </c>
      <c r="P8521">
        <v>0.26621039273403246</v>
      </c>
    </row>
    <row r="8522" spans="13:16">
      <c r="M8522">
        <v>0.30221372231821447</v>
      </c>
      <c r="N8522">
        <v>0.20304601701749025</v>
      </c>
      <c r="O8522">
        <v>0.22118512143894625</v>
      </c>
      <c r="P8522">
        <v>0.27355513922534908</v>
      </c>
    </row>
    <row r="8523" spans="13:16">
      <c r="M8523">
        <v>0.27178121063188088</v>
      </c>
      <c r="N8523">
        <v>0.18719636074946547</v>
      </c>
      <c r="O8523">
        <v>0.27732483298791621</v>
      </c>
      <c r="P8523">
        <v>0.26369759563073736</v>
      </c>
    </row>
    <row r="8524" spans="13:16">
      <c r="M8524">
        <v>0.29690409828870717</v>
      </c>
      <c r="N8524">
        <v>0.16940040542834139</v>
      </c>
      <c r="O8524">
        <v>0.28471696554497644</v>
      </c>
      <c r="P8524">
        <v>0.24897853073797499</v>
      </c>
    </row>
    <row r="8525" spans="13:16">
      <c r="M8525">
        <v>0.29108630303160909</v>
      </c>
      <c r="N8525">
        <v>0.1770939422344876</v>
      </c>
      <c r="O8525">
        <v>0.27615617250707358</v>
      </c>
      <c r="P8525">
        <v>0.25566358222682967</v>
      </c>
    </row>
    <row r="8526" spans="13:16">
      <c r="M8526">
        <v>0.26630251012700135</v>
      </c>
      <c r="N8526">
        <v>0.18338174054948136</v>
      </c>
      <c r="O8526">
        <v>0.26954188009320296</v>
      </c>
      <c r="P8526">
        <v>0.28077386923031444</v>
      </c>
    </row>
    <row r="8527" spans="13:16">
      <c r="M8527">
        <v>0.2850783292919894</v>
      </c>
      <c r="N8527">
        <v>0.19450494956604658</v>
      </c>
      <c r="O8527">
        <v>0.26900853274877601</v>
      </c>
      <c r="P8527">
        <v>0.25140818839318796</v>
      </c>
    </row>
    <row r="8528" spans="13:16">
      <c r="M8528">
        <v>0.27552077260141239</v>
      </c>
      <c r="N8528">
        <v>0.20780287487294702</v>
      </c>
      <c r="O8528">
        <v>0.2471345693642287</v>
      </c>
      <c r="P8528">
        <v>0.26954178316141197</v>
      </c>
    </row>
    <row r="8529" spans="13:16">
      <c r="M8529">
        <v>0.30844097500594958</v>
      </c>
      <c r="N8529">
        <v>0.18401212858107513</v>
      </c>
      <c r="O8529">
        <v>0.23523251728727387</v>
      </c>
      <c r="P8529">
        <v>0.27231437912570144</v>
      </c>
    </row>
    <row r="8530" spans="13:16">
      <c r="M8530">
        <v>0.33006040848303209</v>
      </c>
      <c r="N8530">
        <v>0.1843050657551836</v>
      </c>
      <c r="O8530">
        <v>0.23248358752446072</v>
      </c>
      <c r="P8530">
        <v>0.2531509382373236</v>
      </c>
    </row>
    <row r="8531" spans="13:16">
      <c r="M8531">
        <v>0.29740478070155024</v>
      </c>
      <c r="N8531">
        <v>0.19019514423701325</v>
      </c>
      <c r="O8531">
        <v>0.24623325292476456</v>
      </c>
      <c r="P8531">
        <v>0.26616682213667187</v>
      </c>
    </row>
    <row r="8532" spans="13:16">
      <c r="M8532">
        <v>0.28028061561187273</v>
      </c>
      <c r="N8532">
        <v>0.2012558841043135</v>
      </c>
      <c r="O8532">
        <v>0.26677189548501246</v>
      </c>
      <c r="P8532">
        <v>0.25169160479880132</v>
      </c>
    </row>
    <row r="8533" spans="13:16">
      <c r="M8533">
        <v>0.28961121494186448</v>
      </c>
      <c r="N8533">
        <v>0.17870981547213885</v>
      </c>
      <c r="O8533">
        <v>0.27536346723015387</v>
      </c>
      <c r="P8533">
        <v>0.25631550235584283</v>
      </c>
    </row>
    <row r="8534" spans="13:16">
      <c r="M8534">
        <v>0.26819964169518901</v>
      </c>
      <c r="N8534">
        <v>0.19160676593884338</v>
      </c>
      <c r="O8534">
        <v>0.27232707679382911</v>
      </c>
      <c r="P8534">
        <v>0.26786651557213842</v>
      </c>
    </row>
    <row r="8535" spans="13:16">
      <c r="M8535">
        <v>0.29275116164354237</v>
      </c>
      <c r="N8535">
        <v>0.19245027520036573</v>
      </c>
      <c r="O8535">
        <v>0.25380901349799317</v>
      </c>
      <c r="P8535">
        <v>0.26098954965809867</v>
      </c>
    </row>
    <row r="8536" spans="13:16">
      <c r="M8536">
        <v>0.29246318066996202</v>
      </c>
      <c r="N8536">
        <v>0.20118576433614282</v>
      </c>
      <c r="O8536">
        <v>0.23826242756206328</v>
      </c>
      <c r="P8536">
        <v>0.26808862743183198</v>
      </c>
    </row>
    <row r="8537" spans="13:16">
      <c r="M8537">
        <v>0.29920016339082767</v>
      </c>
      <c r="N8537">
        <v>0.18636554515202888</v>
      </c>
      <c r="O8537">
        <v>0.25136097340088331</v>
      </c>
      <c r="P8537">
        <v>0.26307331805626016</v>
      </c>
    </row>
    <row r="8538" spans="13:16">
      <c r="M8538">
        <v>0.30586917474183911</v>
      </c>
      <c r="N8538">
        <v>0.18731609876249594</v>
      </c>
      <c r="O8538">
        <v>0.23774987809890977</v>
      </c>
      <c r="P8538">
        <v>0.26906484839675526</v>
      </c>
    </row>
    <row r="8539" spans="13:16">
      <c r="M8539">
        <v>0.32272331568316387</v>
      </c>
      <c r="N8539">
        <v>0.1656408916464473</v>
      </c>
      <c r="O8539">
        <v>0.25722232168990233</v>
      </c>
      <c r="P8539">
        <v>0.25441347098048639</v>
      </c>
    </row>
    <row r="8540" spans="13:16">
      <c r="M8540">
        <v>0.29637909509277821</v>
      </c>
      <c r="N8540">
        <v>0.17347661022860594</v>
      </c>
      <c r="O8540">
        <v>0.2530614066699397</v>
      </c>
      <c r="P8540">
        <v>0.2770828880086762</v>
      </c>
    </row>
    <row r="8541" spans="13:16">
      <c r="M8541">
        <v>0.33402927177087138</v>
      </c>
      <c r="N8541">
        <v>0.16945104272208128</v>
      </c>
      <c r="O8541">
        <v>0.24388705061978452</v>
      </c>
      <c r="P8541">
        <v>0.25263263488726284</v>
      </c>
    </row>
    <row r="8542" spans="13:16">
      <c r="M8542">
        <v>0.31630831435024082</v>
      </c>
      <c r="N8542">
        <v>0.18129298013151252</v>
      </c>
      <c r="O8542">
        <v>0.24493149315467375</v>
      </c>
      <c r="P8542">
        <v>0.25746721236357306</v>
      </c>
    </row>
    <row r="8543" spans="13:16">
      <c r="M8543">
        <v>0.2922795498636872</v>
      </c>
      <c r="N8543">
        <v>0.18884368540383525</v>
      </c>
      <c r="O8543">
        <v>0.2394458675701486</v>
      </c>
      <c r="P8543">
        <v>0.27943089716232899</v>
      </c>
    </row>
    <row r="8544" spans="13:16">
      <c r="M8544">
        <v>0.28739698380668005</v>
      </c>
      <c r="N8544">
        <v>0.17342136467630948</v>
      </c>
      <c r="O8544">
        <v>0.28510144221978972</v>
      </c>
      <c r="P8544">
        <v>0.25408020929722086</v>
      </c>
    </row>
    <row r="8545" spans="13:16">
      <c r="M8545">
        <v>0.28305141867917849</v>
      </c>
      <c r="N8545">
        <v>0.18926625729597998</v>
      </c>
      <c r="O8545">
        <v>0.26750568286603144</v>
      </c>
      <c r="P8545">
        <v>0.26017664115881006</v>
      </c>
    </row>
    <row r="8546" spans="13:16">
      <c r="M8546">
        <v>0.28736258191130903</v>
      </c>
      <c r="N8546">
        <v>0.17589053018731135</v>
      </c>
      <c r="O8546">
        <v>0.26643176009273045</v>
      </c>
      <c r="P8546">
        <v>0.27031512780864919</v>
      </c>
    </row>
    <row r="8547" spans="13:16">
      <c r="M8547">
        <v>0.27099388048323275</v>
      </c>
      <c r="N8547">
        <v>0.1895955125497665</v>
      </c>
      <c r="O8547">
        <v>0.28005984693649782</v>
      </c>
      <c r="P8547">
        <v>0.25935076003050284</v>
      </c>
    </row>
    <row r="8548" spans="13:16">
      <c r="M8548">
        <v>0.26850180004611374</v>
      </c>
      <c r="N8548">
        <v>0.19561039532892213</v>
      </c>
      <c r="O8548">
        <v>0.28697158693591163</v>
      </c>
      <c r="P8548">
        <v>0.2489162176890525</v>
      </c>
    </row>
    <row r="8549" spans="13:16">
      <c r="M8549">
        <v>0.29000361895443522</v>
      </c>
      <c r="N8549">
        <v>0.19609676688992647</v>
      </c>
      <c r="O8549">
        <v>0.2506676528518007</v>
      </c>
      <c r="P8549">
        <v>0.26323196130383753</v>
      </c>
    </row>
    <row r="8550" spans="13:16">
      <c r="M8550">
        <v>0.30423632747525409</v>
      </c>
      <c r="N8550">
        <v>0.18826415427702423</v>
      </c>
      <c r="O8550">
        <v>0.23922976477651559</v>
      </c>
      <c r="P8550">
        <v>0.26826975347120602</v>
      </c>
    </row>
    <row r="8551" spans="13:16">
      <c r="M8551">
        <v>0.28465550480738283</v>
      </c>
      <c r="N8551">
        <v>0.18596837193609761</v>
      </c>
      <c r="O8551">
        <v>0.2644904847344674</v>
      </c>
      <c r="P8551">
        <v>0.2648856385220521</v>
      </c>
    </row>
    <row r="8552" spans="13:16">
      <c r="M8552">
        <v>0.28456098198732838</v>
      </c>
      <c r="N8552">
        <v>0.18567813362437094</v>
      </c>
      <c r="O8552">
        <v>0.27287431775928278</v>
      </c>
      <c r="P8552">
        <v>0.25688656662901782</v>
      </c>
    </row>
    <row r="8553" spans="13:16">
      <c r="M8553">
        <v>0.27475150444914881</v>
      </c>
      <c r="N8553">
        <v>0.19619027534943312</v>
      </c>
      <c r="O8553">
        <v>0.24833789896999089</v>
      </c>
      <c r="P8553">
        <v>0.28072032123142721</v>
      </c>
    </row>
    <row r="8554" spans="13:16">
      <c r="M8554">
        <v>0.30882496025592626</v>
      </c>
      <c r="N8554">
        <v>0.18674151888949125</v>
      </c>
      <c r="O8554">
        <v>0.24049215694632961</v>
      </c>
      <c r="P8554">
        <v>0.26394136390825274</v>
      </c>
    </row>
    <row r="8555" spans="13:16">
      <c r="M8555">
        <v>0.28961843357841699</v>
      </c>
      <c r="N8555">
        <v>0.18191549516131103</v>
      </c>
      <c r="O8555">
        <v>0.25876525681689516</v>
      </c>
      <c r="P8555">
        <v>0.26970081444337685</v>
      </c>
    </row>
    <row r="8556" spans="13:16">
      <c r="M8556">
        <v>0.28975605531417042</v>
      </c>
      <c r="N8556">
        <v>0.16969767592838678</v>
      </c>
      <c r="O8556">
        <v>0.29043837423564117</v>
      </c>
      <c r="P8556">
        <v>0.25010789452180177</v>
      </c>
    </row>
    <row r="8557" spans="13:16">
      <c r="M8557">
        <v>0.28294756225245099</v>
      </c>
      <c r="N8557">
        <v>0.19501207837423379</v>
      </c>
      <c r="O8557">
        <v>0.2658959087510504</v>
      </c>
      <c r="P8557">
        <v>0.25614445062226476</v>
      </c>
    </row>
    <row r="8558" spans="13:16">
      <c r="M8558">
        <v>0.27749256758053953</v>
      </c>
      <c r="N8558">
        <v>0.19408532017889712</v>
      </c>
      <c r="O8558">
        <v>0.27065347749225721</v>
      </c>
      <c r="P8558">
        <v>0.25776863474830608</v>
      </c>
    </row>
    <row r="8559" spans="13:16">
      <c r="M8559">
        <v>0.29877241749540878</v>
      </c>
      <c r="N8559">
        <v>0.18934751281308715</v>
      </c>
      <c r="O8559">
        <v>0.25396791747465969</v>
      </c>
      <c r="P8559">
        <v>0.25791215221684444</v>
      </c>
    </row>
    <row r="8560" spans="13:16">
      <c r="M8560">
        <v>0.27227347802701535</v>
      </c>
      <c r="N8560">
        <v>0.16863869663948808</v>
      </c>
      <c r="O8560">
        <v>0.3053902037554575</v>
      </c>
      <c r="P8560">
        <v>0.25369762157803899</v>
      </c>
    </row>
    <row r="8561" spans="13:16">
      <c r="M8561">
        <v>0.29010789357931149</v>
      </c>
      <c r="N8561">
        <v>0.18518020576570587</v>
      </c>
      <c r="O8561">
        <v>0.2478842551038361</v>
      </c>
      <c r="P8561">
        <v>0.27682764555114653</v>
      </c>
    </row>
    <row r="8562" spans="13:16">
      <c r="M8562">
        <v>0.28143503216341892</v>
      </c>
      <c r="N8562">
        <v>0.19352996280366769</v>
      </c>
      <c r="O8562">
        <v>0.25020575379479293</v>
      </c>
      <c r="P8562">
        <v>0.27482925123812058</v>
      </c>
    </row>
    <row r="8563" spans="13:16">
      <c r="M8563">
        <v>0.27583850387900544</v>
      </c>
      <c r="N8563">
        <v>0.2051070077932462</v>
      </c>
      <c r="O8563">
        <v>0.24475002518692124</v>
      </c>
      <c r="P8563">
        <v>0.27430446314082707</v>
      </c>
    </row>
    <row r="8564" spans="13:16">
      <c r="M8564">
        <v>0.27536492329660772</v>
      </c>
      <c r="N8564">
        <v>0.19136875773440315</v>
      </c>
      <c r="O8564">
        <v>0.27226385676304732</v>
      </c>
      <c r="P8564">
        <v>0.26100246220594181</v>
      </c>
    </row>
    <row r="8565" spans="13:16">
      <c r="M8565">
        <v>0.28647112384053552</v>
      </c>
      <c r="N8565">
        <v>0.18884579478283137</v>
      </c>
      <c r="O8565">
        <v>0.25414702025845348</v>
      </c>
      <c r="P8565">
        <v>0.27053606111817957</v>
      </c>
    </row>
    <row r="8566" spans="13:16">
      <c r="M8566">
        <v>0.3164839947909911</v>
      </c>
      <c r="N8566">
        <v>0.17052135856153983</v>
      </c>
      <c r="O8566">
        <v>0.25240480752623384</v>
      </c>
      <c r="P8566">
        <v>0.26058983912123518</v>
      </c>
    </row>
    <row r="8567" spans="13:16">
      <c r="M8567">
        <v>0.26648084819136508</v>
      </c>
      <c r="N8567">
        <v>0.190896464348316</v>
      </c>
      <c r="O8567">
        <v>0.27857996191455925</v>
      </c>
      <c r="P8567">
        <v>0.26404272554575969</v>
      </c>
    </row>
    <row r="8568" spans="13:16">
      <c r="M8568">
        <v>0.274797624224072</v>
      </c>
      <c r="N8568">
        <v>0.19369208108181593</v>
      </c>
      <c r="O8568">
        <v>0.26089770741289636</v>
      </c>
      <c r="P8568">
        <v>0.27061258728121579</v>
      </c>
    </row>
    <row r="8569" spans="13:16">
      <c r="M8569">
        <v>0.28185316612766581</v>
      </c>
      <c r="N8569">
        <v>0.18620174988164442</v>
      </c>
      <c r="O8569">
        <v>0.25870783509148471</v>
      </c>
      <c r="P8569">
        <v>0.27323724889920514</v>
      </c>
    </row>
    <row r="8570" spans="13:16">
      <c r="M8570">
        <v>0.25868011721289191</v>
      </c>
      <c r="N8570">
        <v>0.20078597514545712</v>
      </c>
      <c r="O8570">
        <v>0.27194550051365068</v>
      </c>
      <c r="P8570">
        <v>0.26858840712800036</v>
      </c>
    </row>
    <row r="8571" spans="13:16">
      <c r="M8571">
        <v>0.29138326550626026</v>
      </c>
      <c r="N8571">
        <v>0.18606068811965573</v>
      </c>
      <c r="O8571">
        <v>0.26265009902397413</v>
      </c>
      <c r="P8571">
        <v>0.2599059473501098</v>
      </c>
    </row>
    <row r="8572" spans="13:16">
      <c r="M8572">
        <v>0.28962959892183698</v>
      </c>
      <c r="N8572">
        <v>0.18633972709977348</v>
      </c>
      <c r="O8572">
        <v>0.26936613923817432</v>
      </c>
      <c r="P8572">
        <v>0.25466453474021528</v>
      </c>
    </row>
    <row r="8573" spans="13:16">
      <c r="M8573">
        <v>0.29222447339793906</v>
      </c>
      <c r="N8573">
        <v>0.17674026026173525</v>
      </c>
      <c r="O8573">
        <v>0.26361130362180762</v>
      </c>
      <c r="P8573">
        <v>0.2674239627185182</v>
      </c>
    </row>
    <row r="8574" spans="13:16">
      <c r="M8574">
        <v>0.27191149856787344</v>
      </c>
      <c r="N8574">
        <v>0.18291986906502897</v>
      </c>
      <c r="O8574">
        <v>0.28997163002180276</v>
      </c>
      <c r="P8574">
        <v>0.25519700234529497</v>
      </c>
    </row>
    <row r="8575" spans="13:16">
      <c r="M8575">
        <v>0.29775926719694729</v>
      </c>
      <c r="N8575">
        <v>0.17770646119292285</v>
      </c>
      <c r="O8575">
        <v>0.26861589989700208</v>
      </c>
      <c r="P8575">
        <v>0.25591837171312776</v>
      </c>
    </row>
    <row r="8576" spans="13:16">
      <c r="M8576">
        <v>0.30752039963771194</v>
      </c>
      <c r="N8576">
        <v>0.17448522637461034</v>
      </c>
      <c r="O8576">
        <v>0.26547805638664346</v>
      </c>
      <c r="P8576">
        <v>0.25251631760103421</v>
      </c>
    </row>
    <row r="8577" spans="13:16">
      <c r="M8577">
        <v>0.31271938850436592</v>
      </c>
      <c r="N8577">
        <v>0.17346764727924283</v>
      </c>
      <c r="O8577">
        <v>0.25966594345375943</v>
      </c>
      <c r="P8577">
        <v>0.25414702076263185</v>
      </c>
    </row>
    <row r="8578" spans="13:16">
      <c r="M8578">
        <v>0.27711134967124063</v>
      </c>
      <c r="N8578">
        <v>0.19665571199092205</v>
      </c>
      <c r="O8578">
        <v>0.25509816228814836</v>
      </c>
      <c r="P8578">
        <v>0.271134776049689</v>
      </c>
    </row>
    <row r="8579" spans="13:16">
      <c r="M8579">
        <v>0.28872639177445875</v>
      </c>
      <c r="N8579">
        <v>0.18225201033480723</v>
      </c>
      <c r="O8579">
        <v>0.2409264551346412</v>
      </c>
      <c r="P8579">
        <v>0.28809514275609277</v>
      </c>
    </row>
    <row r="8580" spans="13:16">
      <c r="M8580">
        <v>0.28213191966932993</v>
      </c>
      <c r="N8580">
        <v>0.19304880464383728</v>
      </c>
      <c r="O8580">
        <v>0.28141101244455419</v>
      </c>
      <c r="P8580">
        <v>0.24340826324227852</v>
      </c>
    </row>
    <row r="8581" spans="13:16">
      <c r="M8581">
        <v>0.29809661179494551</v>
      </c>
      <c r="N8581">
        <v>0.17724739023027555</v>
      </c>
      <c r="O8581">
        <v>0.27047717403675919</v>
      </c>
      <c r="P8581">
        <v>0.25417882393801972</v>
      </c>
    </row>
    <row r="8582" spans="13:16">
      <c r="M8582">
        <v>0.28491770284071594</v>
      </c>
      <c r="N8582">
        <v>0.20844546562654082</v>
      </c>
      <c r="O8582">
        <v>0.22792114121383678</v>
      </c>
      <c r="P8582">
        <v>0.27871569031890642</v>
      </c>
    </row>
    <row r="8583" spans="13:16">
      <c r="M8583">
        <v>0.29195744780588545</v>
      </c>
      <c r="N8583">
        <v>0.20811022943496377</v>
      </c>
      <c r="O8583">
        <v>0.23560982786510012</v>
      </c>
      <c r="P8583">
        <v>0.26432249489405063</v>
      </c>
    </row>
    <row r="8584" spans="13:16">
      <c r="M8584">
        <v>0.30539304850021431</v>
      </c>
      <c r="N8584">
        <v>0.18190256137847483</v>
      </c>
      <c r="O8584">
        <v>0.25047597794516002</v>
      </c>
      <c r="P8584">
        <v>0.26222841217615078</v>
      </c>
    </row>
    <row r="8585" spans="13:16">
      <c r="M8585">
        <v>0.30627862263458633</v>
      </c>
      <c r="N8585">
        <v>0.183053137580902</v>
      </c>
      <c r="O8585">
        <v>0.25469219900967344</v>
      </c>
      <c r="P8585">
        <v>0.25597604077483832</v>
      </c>
    </row>
    <row r="8586" spans="13:16">
      <c r="M8586">
        <v>0.29617683003857237</v>
      </c>
      <c r="N8586">
        <v>0.18555491409626246</v>
      </c>
      <c r="O8586">
        <v>0.26162751880210311</v>
      </c>
      <c r="P8586">
        <v>0.25664073706306217</v>
      </c>
    </row>
    <row r="8587" spans="13:16">
      <c r="M8587">
        <v>0.30191728812778562</v>
      </c>
      <c r="N8587">
        <v>0.18587215017328743</v>
      </c>
      <c r="O8587">
        <v>0.24517660174228523</v>
      </c>
      <c r="P8587">
        <v>0.2670339599566417</v>
      </c>
    </row>
    <row r="8588" spans="13:16">
      <c r="M8588">
        <v>0.29223935735995105</v>
      </c>
      <c r="N8588">
        <v>0.19111339029674235</v>
      </c>
      <c r="O8588">
        <v>0.24954942483371845</v>
      </c>
      <c r="P8588">
        <v>0.2670978275095881</v>
      </c>
    </row>
    <row r="8589" spans="13:16">
      <c r="M8589">
        <v>0.29504667125322465</v>
      </c>
      <c r="N8589">
        <v>0.17883764462726234</v>
      </c>
      <c r="O8589">
        <v>0.25230557561013134</v>
      </c>
      <c r="P8589">
        <v>0.27381010850938176</v>
      </c>
    </row>
    <row r="8590" spans="13:16">
      <c r="M8590">
        <v>0.29825932224270829</v>
      </c>
      <c r="N8590">
        <v>0.18804800633301796</v>
      </c>
      <c r="O8590">
        <v>0.26163649067764533</v>
      </c>
      <c r="P8590">
        <v>0.25205618074662844</v>
      </c>
    </row>
    <row r="8591" spans="13:16">
      <c r="M8591">
        <v>0.3132734634270577</v>
      </c>
      <c r="N8591">
        <v>0.17670634084948358</v>
      </c>
      <c r="O8591">
        <v>0.24048138490071186</v>
      </c>
      <c r="P8591">
        <v>0.26953881082274689</v>
      </c>
    </row>
    <row r="8592" spans="13:16">
      <c r="M8592">
        <v>0.31820965269271123</v>
      </c>
      <c r="N8592">
        <v>0.18181836842058982</v>
      </c>
      <c r="O8592">
        <v>0.22904902894034576</v>
      </c>
      <c r="P8592">
        <v>0.27092294994635313</v>
      </c>
    </row>
    <row r="8593" spans="13:16">
      <c r="M8593">
        <v>0.27605554353974793</v>
      </c>
      <c r="N8593">
        <v>0.19569723330758074</v>
      </c>
      <c r="O8593">
        <v>0.24740032462701753</v>
      </c>
      <c r="P8593">
        <v>0.28084689852565381</v>
      </c>
    </row>
    <row r="8594" spans="13:16">
      <c r="M8594">
        <v>0.27373649967459396</v>
      </c>
      <c r="N8594">
        <v>0.18077399785592319</v>
      </c>
      <c r="O8594">
        <v>0.29202798966531901</v>
      </c>
      <c r="P8594">
        <v>0.25346151280416379</v>
      </c>
    </row>
    <row r="8595" spans="13:16">
      <c r="M8595">
        <v>0.29562241695785657</v>
      </c>
      <c r="N8595">
        <v>0.1808849673015045</v>
      </c>
      <c r="O8595">
        <v>0.26788371944685768</v>
      </c>
      <c r="P8595">
        <v>0.2556088962937812</v>
      </c>
    </row>
    <row r="8596" spans="13:16">
      <c r="M8596">
        <v>0.27765914728277591</v>
      </c>
      <c r="N8596">
        <v>0.19843244034542296</v>
      </c>
      <c r="O8596">
        <v>0.27372649827027096</v>
      </c>
      <c r="P8596">
        <v>0.25018191410153023</v>
      </c>
    </row>
    <row r="8597" spans="13:16">
      <c r="M8597">
        <v>0.28575111787711677</v>
      </c>
      <c r="N8597">
        <v>0.1734404823507725</v>
      </c>
      <c r="O8597">
        <v>0.28611090953671597</v>
      </c>
      <c r="P8597">
        <v>0.25469749023539467</v>
      </c>
    </row>
    <row r="8598" spans="13:16">
      <c r="M8598">
        <v>0.27499390421693709</v>
      </c>
      <c r="N8598">
        <v>0.19897154766050842</v>
      </c>
      <c r="O8598">
        <v>0.26200826926101106</v>
      </c>
      <c r="P8598">
        <v>0.2640262788615434</v>
      </c>
    </row>
    <row r="8599" spans="13:16">
      <c r="M8599">
        <v>0.27963660781042848</v>
      </c>
      <c r="N8599">
        <v>0.19472256517977685</v>
      </c>
      <c r="O8599">
        <v>0.25064325736160264</v>
      </c>
      <c r="P8599">
        <v>0.27499756964819211</v>
      </c>
    </row>
    <row r="8600" spans="13:16">
      <c r="M8600">
        <v>0.27489668974664211</v>
      </c>
      <c r="N8600">
        <v>0.20284295954084</v>
      </c>
      <c r="O8600">
        <v>0.25893657418906646</v>
      </c>
      <c r="P8600">
        <v>0.26332377652345151</v>
      </c>
    </row>
    <row r="8601" spans="13:16">
      <c r="M8601">
        <v>0.29082135103646262</v>
      </c>
      <c r="N8601">
        <v>0.18948752009931891</v>
      </c>
      <c r="O8601">
        <v>0.23784175287957776</v>
      </c>
      <c r="P8601">
        <v>0.28184937598464088</v>
      </c>
    </row>
    <row r="8602" spans="13:16">
      <c r="M8602">
        <v>0.29047771117724236</v>
      </c>
      <c r="N8602">
        <v>0.17828478590151711</v>
      </c>
      <c r="O8602">
        <v>0.27995057273009866</v>
      </c>
      <c r="P8602">
        <v>0.25128693019114173</v>
      </c>
    </row>
    <row r="8603" spans="13:16">
      <c r="M8603">
        <v>0.28526638518488984</v>
      </c>
      <c r="N8603">
        <v>0.18855383144973051</v>
      </c>
      <c r="O8603">
        <v>0.23941276147951479</v>
      </c>
      <c r="P8603">
        <v>0.286767021885865</v>
      </c>
    </row>
    <row r="8604" spans="13:16">
      <c r="M8604">
        <v>0.26583516309860289</v>
      </c>
      <c r="N8604">
        <v>0.19575563402880211</v>
      </c>
      <c r="O8604">
        <v>0.27010881716244262</v>
      </c>
      <c r="P8604">
        <v>0.26830038571015241</v>
      </c>
    </row>
    <row r="8605" spans="13:16">
      <c r="M8605">
        <v>0.29753921385976839</v>
      </c>
      <c r="N8605">
        <v>0.17391929786977586</v>
      </c>
      <c r="O8605">
        <v>0.26582273414884933</v>
      </c>
      <c r="P8605">
        <v>0.26271875412160633</v>
      </c>
    </row>
    <row r="8606" spans="13:16">
      <c r="M8606">
        <v>0.26726570396810889</v>
      </c>
      <c r="N8606">
        <v>0.20943864691334993</v>
      </c>
      <c r="O8606">
        <v>0.24631457189960979</v>
      </c>
      <c r="P8606">
        <v>0.27698107721893139</v>
      </c>
    </row>
    <row r="8607" spans="13:16">
      <c r="M8607">
        <v>0.28934093342231487</v>
      </c>
      <c r="N8607">
        <v>0.18675202722113632</v>
      </c>
      <c r="O8607">
        <v>0.26091981108839896</v>
      </c>
      <c r="P8607">
        <v>0.26298722826814985</v>
      </c>
    </row>
    <row r="8608" spans="13:16">
      <c r="M8608">
        <v>0.29083982315930018</v>
      </c>
      <c r="N8608">
        <v>0.17282872910104977</v>
      </c>
      <c r="O8608">
        <v>0.26718136184680158</v>
      </c>
      <c r="P8608">
        <v>0.26915008589284833</v>
      </c>
    </row>
    <row r="8609" spans="13:16">
      <c r="M8609">
        <v>0.34698992132008344</v>
      </c>
      <c r="N8609">
        <v>0.17727637022405446</v>
      </c>
      <c r="O8609">
        <v>0.2002395592930214</v>
      </c>
      <c r="P8609">
        <v>0.27549414916284054</v>
      </c>
    </row>
    <row r="8610" spans="13:16">
      <c r="M8610">
        <v>0.27712223366843375</v>
      </c>
      <c r="N8610">
        <v>0.17992697337002778</v>
      </c>
      <c r="O8610">
        <v>0.26901813498310162</v>
      </c>
      <c r="P8610">
        <v>0.27393265797843691</v>
      </c>
    </row>
    <row r="8611" spans="13:16">
      <c r="M8611">
        <v>0.28269711462381641</v>
      </c>
      <c r="N8611">
        <v>0.21120429202736993</v>
      </c>
      <c r="O8611">
        <v>0.23979661004461508</v>
      </c>
      <c r="P8611">
        <v>0.26630198330419863</v>
      </c>
    </row>
    <row r="8612" spans="13:16">
      <c r="M8612">
        <v>0.30599640166505748</v>
      </c>
      <c r="N8612">
        <v>0.17567740247242633</v>
      </c>
      <c r="O8612">
        <v>0.2574142971214326</v>
      </c>
      <c r="P8612">
        <v>0.26091189874108356</v>
      </c>
    </row>
    <row r="8613" spans="13:16">
      <c r="M8613">
        <v>0.29122833840074352</v>
      </c>
      <c r="N8613">
        <v>0.20586752476614925</v>
      </c>
      <c r="O8613">
        <v>0.2286399085447966</v>
      </c>
      <c r="P8613">
        <v>0.27426422828831065</v>
      </c>
    </row>
    <row r="8614" spans="13:16">
      <c r="M8614">
        <v>0.29019712438159406</v>
      </c>
      <c r="N8614">
        <v>0.20296781186382529</v>
      </c>
      <c r="O8614">
        <v>0.22675474961692546</v>
      </c>
      <c r="P8614">
        <v>0.28008031413765522</v>
      </c>
    </row>
    <row r="8615" spans="13:16">
      <c r="M8615">
        <v>0.27900361104850108</v>
      </c>
      <c r="N8615">
        <v>0.18824813747944444</v>
      </c>
      <c r="O8615">
        <v>0.26994311954506445</v>
      </c>
      <c r="P8615">
        <v>0.26280513192699001</v>
      </c>
    </row>
    <row r="8616" spans="13:16">
      <c r="M8616">
        <v>0.27942655711110903</v>
      </c>
      <c r="N8616">
        <v>0.17848731338098817</v>
      </c>
      <c r="O8616">
        <v>0.2654464181681338</v>
      </c>
      <c r="P8616">
        <v>0.27663971133976895</v>
      </c>
    </row>
    <row r="8617" spans="13:16">
      <c r="M8617">
        <v>0.3122325811963223</v>
      </c>
      <c r="N8617">
        <v>0.18784186718976012</v>
      </c>
      <c r="O8617">
        <v>0.23226383968057576</v>
      </c>
      <c r="P8617">
        <v>0.26766171193334182</v>
      </c>
    </row>
    <row r="8618" spans="13:16">
      <c r="M8618">
        <v>0.28109641917646883</v>
      </c>
      <c r="N8618">
        <v>0.2103118001515068</v>
      </c>
      <c r="O8618">
        <v>0.2420152547984348</v>
      </c>
      <c r="P8618">
        <v>0.26657652587358949</v>
      </c>
    </row>
    <row r="8619" spans="13:16">
      <c r="M8619">
        <v>0.27515474869357665</v>
      </c>
      <c r="N8619">
        <v>0.18447962396519305</v>
      </c>
      <c r="O8619">
        <v>0.28177701826483703</v>
      </c>
      <c r="P8619">
        <v>0.25858860907639331</v>
      </c>
    </row>
    <row r="8620" spans="13:16">
      <c r="M8620">
        <v>0.26678977728809505</v>
      </c>
      <c r="N8620">
        <v>0.18205237603347782</v>
      </c>
      <c r="O8620">
        <v>0.29435966224789983</v>
      </c>
      <c r="P8620">
        <v>0.25679818443052721</v>
      </c>
    </row>
    <row r="8621" spans="13:16">
      <c r="M8621">
        <v>0.29524679276110177</v>
      </c>
      <c r="N8621">
        <v>0.17172443501897267</v>
      </c>
      <c r="O8621">
        <v>0.26343953719311691</v>
      </c>
      <c r="P8621">
        <v>0.2695892350268087</v>
      </c>
    </row>
    <row r="8622" spans="13:16">
      <c r="M8622">
        <v>0.29041398394737328</v>
      </c>
      <c r="N8622">
        <v>0.19977059346592449</v>
      </c>
      <c r="O8622">
        <v>0.25838635251695163</v>
      </c>
      <c r="P8622">
        <v>0.25142907006975057</v>
      </c>
    </row>
    <row r="8623" spans="13:16">
      <c r="M8623">
        <v>0.29475833517325617</v>
      </c>
      <c r="N8623">
        <v>0.18516753512829709</v>
      </c>
      <c r="O8623">
        <v>0.25851784111751747</v>
      </c>
      <c r="P8623">
        <v>0.26155628858092939</v>
      </c>
    </row>
    <row r="8624" spans="13:16">
      <c r="M8624">
        <v>0.26222753225553525</v>
      </c>
      <c r="N8624">
        <v>0.20325247814619615</v>
      </c>
      <c r="O8624">
        <v>0.27445042051715218</v>
      </c>
      <c r="P8624">
        <v>0.26006956908111634</v>
      </c>
    </row>
    <row r="8625" spans="13:16">
      <c r="M8625">
        <v>0.3077928149550711</v>
      </c>
      <c r="N8625">
        <v>0.20133016185903355</v>
      </c>
      <c r="O8625">
        <v>0.23104102689554609</v>
      </c>
      <c r="P8625">
        <v>0.25983599629034937</v>
      </c>
    </row>
    <row r="8626" spans="13:16">
      <c r="M8626">
        <v>0.27461548984604861</v>
      </c>
      <c r="N8626">
        <v>0.19539327985124658</v>
      </c>
      <c r="O8626">
        <v>0.25678127698299402</v>
      </c>
      <c r="P8626">
        <v>0.27320995331971071</v>
      </c>
    </row>
    <row r="8627" spans="13:16">
      <c r="M8627">
        <v>0.28995660840044107</v>
      </c>
      <c r="N8627">
        <v>0.17034100901293844</v>
      </c>
      <c r="O8627">
        <v>0.27869537137858813</v>
      </c>
      <c r="P8627">
        <v>0.26100701120803244</v>
      </c>
    </row>
    <row r="8628" spans="13:16">
      <c r="M8628">
        <v>0.31491420945478282</v>
      </c>
      <c r="N8628">
        <v>0.17804861663750601</v>
      </c>
      <c r="O8628">
        <v>0.22858786220405042</v>
      </c>
      <c r="P8628">
        <v>0.27844931170366066</v>
      </c>
    </row>
    <row r="8629" spans="13:16">
      <c r="M8629">
        <v>0.27672582795256301</v>
      </c>
      <c r="N8629">
        <v>0.17511039977073689</v>
      </c>
      <c r="O8629">
        <v>0.28238504957665167</v>
      </c>
      <c r="P8629">
        <v>0.2657787227000486</v>
      </c>
    </row>
    <row r="8630" spans="13:16">
      <c r="M8630">
        <v>0.29861359084050471</v>
      </c>
      <c r="N8630">
        <v>0.17185569890967217</v>
      </c>
      <c r="O8630">
        <v>0.2559781452980614</v>
      </c>
      <c r="P8630">
        <v>0.27355256495176172</v>
      </c>
    </row>
    <row r="8631" spans="13:16">
      <c r="M8631">
        <v>0.28819660882131942</v>
      </c>
      <c r="N8631">
        <v>0.18531566362531751</v>
      </c>
      <c r="O8631">
        <v>0.26550302628424072</v>
      </c>
      <c r="P8631">
        <v>0.26098470126912232</v>
      </c>
    </row>
    <row r="8632" spans="13:16">
      <c r="M8632">
        <v>0.3027529323728963</v>
      </c>
      <c r="N8632">
        <v>0.18423227497725483</v>
      </c>
      <c r="O8632">
        <v>0.25324326090477084</v>
      </c>
      <c r="P8632">
        <v>0.25977153174507817</v>
      </c>
    </row>
    <row r="8633" spans="13:16">
      <c r="M8633">
        <v>0.28024312450393368</v>
      </c>
      <c r="N8633">
        <v>0.17854807653122526</v>
      </c>
      <c r="O8633">
        <v>0.25930006850249671</v>
      </c>
      <c r="P8633">
        <v>0.28190873046234427</v>
      </c>
    </row>
    <row r="8634" spans="13:16">
      <c r="M8634">
        <v>0.28689061585129427</v>
      </c>
      <c r="N8634">
        <v>0.18023816779750745</v>
      </c>
      <c r="O8634">
        <v>0.25889535634217131</v>
      </c>
      <c r="P8634">
        <v>0.27397586000902707</v>
      </c>
    </row>
    <row r="8635" spans="13:16">
      <c r="M8635">
        <v>0.30297926037553735</v>
      </c>
      <c r="N8635">
        <v>0.17792568241936138</v>
      </c>
      <c r="O8635">
        <v>0.26701436128688388</v>
      </c>
      <c r="P8635">
        <v>0.25208069591821736</v>
      </c>
    </row>
    <row r="8636" spans="13:16">
      <c r="M8636">
        <v>0.26279670861390919</v>
      </c>
      <c r="N8636">
        <v>0.18309482638694502</v>
      </c>
      <c r="O8636">
        <v>0.2997572306169542</v>
      </c>
      <c r="P8636">
        <v>0.25435123438219159</v>
      </c>
    </row>
    <row r="8637" spans="13:16">
      <c r="M8637">
        <v>0.29884867940159049</v>
      </c>
      <c r="N8637">
        <v>0.18730045036356946</v>
      </c>
      <c r="O8637">
        <v>0.2424380057708666</v>
      </c>
      <c r="P8637">
        <v>0.27141286446397328</v>
      </c>
    </row>
    <row r="8638" spans="13:16">
      <c r="M8638">
        <v>0.29296688650584385</v>
      </c>
      <c r="N8638">
        <v>0.18798205982653424</v>
      </c>
      <c r="O8638">
        <v>0.23298479584314027</v>
      </c>
      <c r="P8638">
        <v>0.2860662578244817</v>
      </c>
    </row>
    <row r="8639" spans="13:16">
      <c r="M8639">
        <v>0.28603763775046881</v>
      </c>
      <c r="N8639">
        <v>0.18260412721804656</v>
      </c>
      <c r="O8639">
        <v>0.25155423493126838</v>
      </c>
      <c r="P8639">
        <v>0.27980400010021617</v>
      </c>
    </row>
    <row r="8640" spans="13:16">
      <c r="M8640">
        <v>0.30597338949797154</v>
      </c>
      <c r="N8640">
        <v>0.16631236188053417</v>
      </c>
      <c r="O8640">
        <v>0.27800914718694736</v>
      </c>
      <c r="P8640">
        <v>0.24970510143454697</v>
      </c>
    </row>
    <row r="8641" spans="13:16">
      <c r="M8641">
        <v>0.31077077874769843</v>
      </c>
      <c r="N8641">
        <v>0.1719494054428474</v>
      </c>
      <c r="O8641">
        <v>0.26171583074874816</v>
      </c>
      <c r="P8641">
        <v>0.25556398506070604</v>
      </c>
    </row>
    <row r="8642" spans="13:16">
      <c r="M8642">
        <v>0.26821016860717428</v>
      </c>
      <c r="N8642">
        <v>0.17684628824868903</v>
      </c>
      <c r="O8642">
        <v>0.28529345839564141</v>
      </c>
      <c r="P8642">
        <v>0.26965008474849539</v>
      </c>
    </row>
    <row r="8643" spans="13:16">
      <c r="M8643">
        <v>0.30658839405185784</v>
      </c>
      <c r="N8643">
        <v>0.17862963599434442</v>
      </c>
      <c r="O8643">
        <v>0.25728800668995322</v>
      </c>
      <c r="P8643">
        <v>0.25749396326384444</v>
      </c>
    </row>
    <row r="8644" spans="13:16">
      <c r="M8644">
        <v>0.32212633738232654</v>
      </c>
      <c r="N8644">
        <v>0.16685214938744877</v>
      </c>
      <c r="O8644">
        <v>0.25511555206399783</v>
      </c>
      <c r="P8644">
        <v>0.25590596116622694</v>
      </c>
    </row>
    <row r="8645" spans="13:16">
      <c r="M8645">
        <v>0.30623952361945117</v>
      </c>
      <c r="N8645">
        <v>0.19336829660405411</v>
      </c>
      <c r="O8645">
        <v>0.23093356827863804</v>
      </c>
      <c r="P8645">
        <v>0.26945861149785671</v>
      </c>
    </row>
    <row r="8646" spans="13:16">
      <c r="M8646">
        <v>0.30459289799648143</v>
      </c>
      <c r="N8646">
        <v>0.2030894713473399</v>
      </c>
      <c r="O8646">
        <v>0.22658879355508668</v>
      </c>
      <c r="P8646">
        <v>0.26572883710109185</v>
      </c>
    </row>
    <row r="8647" spans="13:16">
      <c r="M8647">
        <v>0.27547113580641169</v>
      </c>
      <c r="N8647">
        <v>0.18099831204011108</v>
      </c>
      <c r="O8647">
        <v>0.28140555766211867</v>
      </c>
      <c r="P8647">
        <v>0.26212499449135856</v>
      </c>
    </row>
    <row r="8648" spans="13:16">
      <c r="M8648">
        <v>0.30203376289720174</v>
      </c>
      <c r="N8648">
        <v>0.18928083127956818</v>
      </c>
      <c r="O8648">
        <v>0.24323664682324733</v>
      </c>
      <c r="P8648">
        <v>0.26544875899998288</v>
      </c>
    </row>
    <row r="8649" spans="13:16">
      <c r="M8649">
        <v>0.30950318326721682</v>
      </c>
      <c r="N8649">
        <v>0.18408542548413764</v>
      </c>
      <c r="O8649">
        <v>0.23503192048253879</v>
      </c>
      <c r="P8649">
        <v>0.2713794707661068</v>
      </c>
    </row>
    <row r="8650" spans="13:16">
      <c r="M8650">
        <v>0.29309898894044678</v>
      </c>
      <c r="N8650">
        <v>0.19817160657266067</v>
      </c>
      <c r="O8650">
        <v>0.23560975235028775</v>
      </c>
      <c r="P8650">
        <v>0.27311965213660461</v>
      </c>
    </row>
    <row r="8651" spans="13:16">
      <c r="M8651">
        <v>0.2701211386822569</v>
      </c>
      <c r="N8651">
        <v>0.20237260828850021</v>
      </c>
      <c r="O8651">
        <v>0.25876453516530068</v>
      </c>
      <c r="P8651">
        <v>0.26874171786394235</v>
      </c>
    </row>
    <row r="8652" spans="13:16">
      <c r="M8652">
        <v>0.28938010161022232</v>
      </c>
      <c r="N8652">
        <v>0.17959156355997433</v>
      </c>
      <c r="O8652">
        <v>0.25803061530419108</v>
      </c>
      <c r="P8652">
        <v>0.27299771952561225</v>
      </c>
    </row>
    <row r="8653" spans="13:16">
      <c r="M8653">
        <v>0.27249695054398387</v>
      </c>
      <c r="N8653">
        <v>0.19862237941039762</v>
      </c>
      <c r="O8653">
        <v>0.28048387411085685</v>
      </c>
      <c r="P8653">
        <v>0.24839679593476158</v>
      </c>
    </row>
    <row r="8654" spans="13:16">
      <c r="M8654">
        <v>0.2911120766736322</v>
      </c>
      <c r="N8654">
        <v>0.18311525956258307</v>
      </c>
      <c r="O8654">
        <v>0.25681828148462899</v>
      </c>
      <c r="P8654">
        <v>0.26895438227915563</v>
      </c>
    </row>
    <row r="8655" spans="13:16">
      <c r="M8655">
        <v>0.30643788895429652</v>
      </c>
      <c r="N8655">
        <v>0.17344544933522954</v>
      </c>
      <c r="O8655">
        <v>0.27607404588498136</v>
      </c>
      <c r="P8655">
        <v>0.24404261582549258</v>
      </c>
    </row>
    <row r="8656" spans="13:16">
      <c r="M8656">
        <v>0.29316754649354043</v>
      </c>
      <c r="N8656">
        <v>0.18369857106255014</v>
      </c>
      <c r="O8656">
        <v>0.26148463532902261</v>
      </c>
      <c r="P8656">
        <v>0.26164924711488691</v>
      </c>
    </row>
    <row r="8657" spans="13:16">
      <c r="M8657">
        <v>0.29931190731170482</v>
      </c>
      <c r="N8657">
        <v>0.19472173049300817</v>
      </c>
      <c r="O8657">
        <v>0.23793547512208441</v>
      </c>
      <c r="P8657">
        <v>0.2680308870732025</v>
      </c>
    </row>
    <row r="8658" spans="13:16">
      <c r="M8658">
        <v>0.32192220773777269</v>
      </c>
      <c r="N8658">
        <v>0.17696844512043866</v>
      </c>
      <c r="O8658">
        <v>0.24839476489012369</v>
      </c>
      <c r="P8658">
        <v>0.2527145822516651</v>
      </c>
    </row>
    <row r="8659" spans="13:16">
      <c r="M8659">
        <v>0.27778973830255499</v>
      </c>
      <c r="N8659">
        <v>0.19446641923423977</v>
      </c>
      <c r="O8659">
        <v>0.23437338160356855</v>
      </c>
      <c r="P8659">
        <v>0.29337046085963669</v>
      </c>
    </row>
    <row r="8660" spans="13:16">
      <c r="M8660">
        <v>0.28850677092421811</v>
      </c>
      <c r="N8660">
        <v>0.18552857813897813</v>
      </c>
      <c r="O8660">
        <v>0.26107722817889795</v>
      </c>
      <c r="P8660">
        <v>0.26488742275790589</v>
      </c>
    </row>
    <row r="8661" spans="13:16">
      <c r="M8661">
        <v>0.3198704296722169</v>
      </c>
      <c r="N8661">
        <v>0.17242567591637378</v>
      </c>
      <c r="O8661">
        <v>0.23696948102877208</v>
      </c>
      <c r="P8661">
        <v>0.27073441338263715</v>
      </c>
    </row>
    <row r="8662" spans="13:16">
      <c r="M8662">
        <v>0.28118314525612204</v>
      </c>
      <c r="N8662">
        <v>0.19208419196064058</v>
      </c>
      <c r="O8662">
        <v>0.26491122649686172</v>
      </c>
      <c r="P8662">
        <v>0.26182143628637555</v>
      </c>
    </row>
    <row r="8663" spans="13:16">
      <c r="M8663">
        <v>0.31695038914781642</v>
      </c>
      <c r="N8663">
        <v>0.17911538517107464</v>
      </c>
      <c r="O8663">
        <v>0.24681940663961321</v>
      </c>
      <c r="P8663">
        <v>0.25711481904149591</v>
      </c>
    </row>
    <row r="8664" spans="13:16">
      <c r="M8664">
        <v>0.30665159314926882</v>
      </c>
      <c r="N8664">
        <v>0.17842037255907606</v>
      </c>
      <c r="O8664">
        <v>0.26290788175858593</v>
      </c>
      <c r="P8664">
        <v>0.25202015253306914</v>
      </c>
    </row>
    <row r="8665" spans="13:16">
      <c r="M8665">
        <v>0.30871854778570496</v>
      </c>
      <c r="N8665">
        <v>0.1669972195228579</v>
      </c>
      <c r="O8665">
        <v>0.27991415000786846</v>
      </c>
      <c r="P8665">
        <v>0.2443700826835688</v>
      </c>
    </row>
    <row r="8666" spans="13:16">
      <c r="M8666">
        <v>0.30330805914990161</v>
      </c>
      <c r="N8666">
        <v>0.17381389839090669</v>
      </c>
      <c r="O8666">
        <v>0.27145279208739292</v>
      </c>
      <c r="P8666">
        <v>0.25142525037179891</v>
      </c>
    </row>
    <row r="8667" spans="13:16">
      <c r="M8667">
        <v>0.28040777245779408</v>
      </c>
      <c r="N8667">
        <v>0.20272603549806462</v>
      </c>
      <c r="O8667">
        <v>0.25918433932091356</v>
      </c>
      <c r="P8667">
        <v>0.25768185272322774</v>
      </c>
    </row>
    <row r="8668" spans="13:16">
      <c r="M8668">
        <v>0.29313962570933544</v>
      </c>
      <c r="N8668">
        <v>0.1903067513499542</v>
      </c>
      <c r="O8668">
        <v>0.27120516588704879</v>
      </c>
      <c r="P8668">
        <v>0.24534845705366151</v>
      </c>
    </row>
    <row r="8669" spans="13:16">
      <c r="M8669">
        <v>0.30592676539139357</v>
      </c>
      <c r="N8669">
        <v>0.18958712685585041</v>
      </c>
      <c r="O8669">
        <v>0.26691742382919231</v>
      </c>
      <c r="P8669">
        <v>0.23756868392356367</v>
      </c>
    </row>
    <row r="8670" spans="13:16">
      <c r="M8670">
        <v>0.30025628503222551</v>
      </c>
      <c r="N8670">
        <v>0.17743497953493231</v>
      </c>
      <c r="O8670">
        <v>0.25825956796945149</v>
      </c>
      <c r="P8670">
        <v>0.26404916746339069</v>
      </c>
    </row>
    <row r="8671" spans="13:16">
      <c r="M8671">
        <v>0.31755430556442144</v>
      </c>
      <c r="N8671">
        <v>0.17979153292919395</v>
      </c>
      <c r="O8671">
        <v>0.24547408622973041</v>
      </c>
      <c r="P8671">
        <v>0.25718007527665432</v>
      </c>
    </row>
    <row r="8672" spans="13:16">
      <c r="M8672">
        <v>0.28655069490791962</v>
      </c>
      <c r="N8672">
        <v>0.19238655108242123</v>
      </c>
      <c r="O8672">
        <v>0.26387986304148286</v>
      </c>
      <c r="P8672">
        <v>0.25718289096817654</v>
      </c>
    </row>
    <row r="8673" spans="13:16">
      <c r="M8673">
        <v>0.27773528201660708</v>
      </c>
      <c r="N8673">
        <v>0.16733514409547251</v>
      </c>
      <c r="O8673">
        <v>0.29150086971742223</v>
      </c>
      <c r="P8673">
        <v>0.26342870417049824</v>
      </c>
    </row>
    <row r="8674" spans="13:16">
      <c r="M8674">
        <v>0.2938225645996449</v>
      </c>
      <c r="N8674">
        <v>0.19636186262126307</v>
      </c>
      <c r="O8674">
        <v>0.24383596869970112</v>
      </c>
      <c r="P8674">
        <v>0.26597960407939086</v>
      </c>
    </row>
    <row r="8675" spans="13:16">
      <c r="M8675">
        <v>0.3154197584253669</v>
      </c>
      <c r="N8675">
        <v>0.17486441651441587</v>
      </c>
      <c r="O8675">
        <v>0.25900259663743941</v>
      </c>
      <c r="P8675">
        <v>0.25071322842277777</v>
      </c>
    </row>
    <row r="8676" spans="13:16">
      <c r="M8676">
        <v>0.2668886501127859</v>
      </c>
      <c r="N8676">
        <v>0.18971477976702639</v>
      </c>
      <c r="O8676">
        <v>0.27464002920281738</v>
      </c>
      <c r="P8676">
        <v>0.26875654091737011</v>
      </c>
    </row>
    <row r="8677" spans="13:16">
      <c r="M8677">
        <v>0.27618972147896825</v>
      </c>
      <c r="N8677">
        <v>0.18316317532227977</v>
      </c>
      <c r="O8677">
        <v>0.27225612023056811</v>
      </c>
      <c r="P8677">
        <v>0.26839098296818381</v>
      </c>
    </row>
    <row r="8678" spans="13:16">
      <c r="M8678">
        <v>0.27149149000017353</v>
      </c>
      <c r="N8678">
        <v>0.21240437742084539</v>
      </c>
      <c r="O8678">
        <v>0.24738410567127928</v>
      </c>
      <c r="P8678">
        <v>0.2687200269077018</v>
      </c>
    </row>
    <row r="8679" spans="13:16">
      <c r="M8679">
        <v>0.29262242681412143</v>
      </c>
      <c r="N8679">
        <v>0.20244395430838052</v>
      </c>
      <c r="O8679">
        <v>0.21640345342276834</v>
      </c>
      <c r="P8679">
        <v>0.28853016545472976</v>
      </c>
    </row>
    <row r="8680" spans="13:16">
      <c r="M8680">
        <v>0.29762713507497635</v>
      </c>
      <c r="N8680">
        <v>0.1904895351537465</v>
      </c>
      <c r="O8680">
        <v>0.25900554056375985</v>
      </c>
      <c r="P8680">
        <v>0.25287778920751736</v>
      </c>
    </row>
    <row r="8681" spans="13:16">
      <c r="M8681">
        <v>0.29175981998207923</v>
      </c>
      <c r="N8681">
        <v>0.17227127929716585</v>
      </c>
      <c r="O8681">
        <v>0.28042899044918579</v>
      </c>
      <c r="P8681">
        <v>0.25553991027156925</v>
      </c>
    </row>
    <row r="8682" spans="13:16">
      <c r="M8682">
        <v>0.31151180410523499</v>
      </c>
      <c r="N8682">
        <v>0.16274952611027085</v>
      </c>
      <c r="O8682">
        <v>0.29531231661743312</v>
      </c>
      <c r="P8682">
        <v>0.23042635316706106</v>
      </c>
    </row>
    <row r="8683" spans="13:16">
      <c r="M8683">
        <v>0.30658189723404428</v>
      </c>
      <c r="N8683">
        <v>0.1692938547552616</v>
      </c>
      <c r="O8683">
        <v>0.26300360758436264</v>
      </c>
      <c r="P8683">
        <v>0.2611206404263316</v>
      </c>
    </row>
    <row r="8684" spans="13:16">
      <c r="M8684">
        <v>0.30851655177768283</v>
      </c>
      <c r="N8684">
        <v>0.17514401655686779</v>
      </c>
      <c r="O8684">
        <v>0.24455265548906396</v>
      </c>
      <c r="P8684">
        <v>0.27178677617638547</v>
      </c>
    </row>
    <row r="8685" spans="13:16">
      <c r="M8685">
        <v>0.29045957786125287</v>
      </c>
      <c r="N8685">
        <v>0.18829140925989729</v>
      </c>
      <c r="O8685">
        <v>0.28370968339070607</v>
      </c>
      <c r="P8685">
        <v>0.23753932948814371</v>
      </c>
    </row>
    <row r="8686" spans="13:16">
      <c r="M8686">
        <v>0.25534203894013557</v>
      </c>
      <c r="N8686">
        <v>0.20062193818345539</v>
      </c>
      <c r="O8686">
        <v>0.28065824371602349</v>
      </c>
      <c r="P8686">
        <v>0.26337777916038552</v>
      </c>
    </row>
    <row r="8687" spans="13:16">
      <c r="M8687">
        <v>0.29532426616338309</v>
      </c>
      <c r="N8687">
        <v>0.19535872948269059</v>
      </c>
      <c r="O8687">
        <v>0.23875700505752379</v>
      </c>
      <c r="P8687">
        <v>0.27055999929640256</v>
      </c>
    </row>
    <row r="8688" spans="13:16">
      <c r="M8688">
        <v>0.30544225323880009</v>
      </c>
      <c r="N8688">
        <v>0.18543217491892805</v>
      </c>
      <c r="O8688">
        <v>0.24999196723646966</v>
      </c>
      <c r="P8688">
        <v>0.25913360460580215</v>
      </c>
    </row>
    <row r="8689" spans="13:16">
      <c r="M8689">
        <v>0.31826609504639641</v>
      </c>
      <c r="N8689">
        <v>0.17712766587593112</v>
      </c>
      <c r="O8689">
        <v>0.25175100408491313</v>
      </c>
      <c r="P8689">
        <v>0.25285523499275936</v>
      </c>
    </row>
    <row r="8690" spans="13:16">
      <c r="M8690">
        <v>0.29027447176823384</v>
      </c>
      <c r="N8690">
        <v>0.1999848589246607</v>
      </c>
      <c r="O8690">
        <v>0.23475227222433659</v>
      </c>
      <c r="P8690">
        <v>0.27498839708276901</v>
      </c>
    </row>
    <row r="8691" spans="13:16">
      <c r="M8691">
        <v>0.26778260030506196</v>
      </c>
      <c r="N8691">
        <v>0.18391551470581985</v>
      </c>
      <c r="O8691">
        <v>0.26831158161733187</v>
      </c>
      <c r="P8691">
        <v>0.27999030337178632</v>
      </c>
    </row>
    <row r="8692" spans="13:16">
      <c r="M8692">
        <v>0.30854096592120073</v>
      </c>
      <c r="N8692">
        <v>0.18021938768622536</v>
      </c>
      <c r="O8692">
        <v>0.25476997603509938</v>
      </c>
      <c r="P8692">
        <v>0.25646967035747464</v>
      </c>
    </row>
    <row r="8693" spans="13:16">
      <c r="M8693">
        <v>0.2891216172515827</v>
      </c>
      <c r="N8693">
        <v>0.19555456199471663</v>
      </c>
      <c r="O8693">
        <v>0.24464855905150948</v>
      </c>
      <c r="P8693">
        <v>0.27067526170219119</v>
      </c>
    </row>
    <row r="8694" spans="13:16">
      <c r="M8694">
        <v>0.29386826671768546</v>
      </c>
      <c r="N8694">
        <v>0.18368983288482343</v>
      </c>
      <c r="O8694">
        <v>0.27250494024554373</v>
      </c>
      <c r="P8694">
        <v>0.24993696015194747</v>
      </c>
    </row>
    <row r="8695" spans="13:16">
      <c r="M8695">
        <v>0.29105936709927294</v>
      </c>
      <c r="N8695">
        <v>0.19357015667100089</v>
      </c>
      <c r="O8695">
        <v>0.24200711569318609</v>
      </c>
      <c r="P8695">
        <v>0.27336336053654015</v>
      </c>
    </row>
    <row r="8696" spans="13:16">
      <c r="M8696">
        <v>0.28745982165829936</v>
      </c>
      <c r="N8696">
        <v>0.16344690905188361</v>
      </c>
      <c r="O8696">
        <v>0.30502428673084414</v>
      </c>
      <c r="P8696">
        <v>0.2440689825589728</v>
      </c>
    </row>
    <row r="8697" spans="13:16">
      <c r="M8697">
        <v>0.33154582903377888</v>
      </c>
      <c r="N8697">
        <v>0.17360093454910408</v>
      </c>
      <c r="O8697">
        <v>0.23883448813179081</v>
      </c>
      <c r="P8697">
        <v>0.25601874828532623</v>
      </c>
    </row>
    <row r="8698" spans="13:16">
      <c r="M8698">
        <v>0.2850134161357788</v>
      </c>
      <c r="N8698">
        <v>0.19680714535545391</v>
      </c>
      <c r="O8698">
        <v>0.25918805129270089</v>
      </c>
      <c r="P8698">
        <v>0.25899138721606629</v>
      </c>
    </row>
    <row r="8699" spans="13:16">
      <c r="M8699">
        <v>0.29568619981559074</v>
      </c>
      <c r="N8699">
        <v>0.1857852042255434</v>
      </c>
      <c r="O8699">
        <v>0.25911752339293265</v>
      </c>
      <c r="P8699">
        <v>0.25941107256593315</v>
      </c>
    </row>
    <row r="8700" spans="13:16">
      <c r="M8700">
        <v>0.26705211186260763</v>
      </c>
      <c r="N8700">
        <v>0.18519914426161671</v>
      </c>
      <c r="O8700">
        <v>0.26967248787490905</v>
      </c>
      <c r="P8700">
        <v>0.27807625600086666</v>
      </c>
    </row>
    <row r="8701" spans="13:16">
      <c r="M8701">
        <v>0.29844870677510599</v>
      </c>
      <c r="N8701">
        <v>0.17059228447978936</v>
      </c>
      <c r="O8701">
        <v>0.28477740840775012</v>
      </c>
      <c r="P8701">
        <v>0.24618160033735451</v>
      </c>
    </row>
    <row r="8702" spans="13:16">
      <c r="M8702">
        <v>0.27569550973380663</v>
      </c>
      <c r="N8702">
        <v>0.20909232802279026</v>
      </c>
      <c r="O8702">
        <v>0.24884270997170033</v>
      </c>
      <c r="P8702">
        <v>0.26636945227170289</v>
      </c>
    </row>
    <row r="8703" spans="13:16">
      <c r="M8703">
        <v>0.29921655508279699</v>
      </c>
      <c r="N8703">
        <v>0.18486687346427624</v>
      </c>
      <c r="O8703">
        <v>0.23303967266136044</v>
      </c>
      <c r="P8703">
        <v>0.28287689879156641</v>
      </c>
    </row>
    <row r="8704" spans="13:16">
      <c r="M8704">
        <v>0.30271488518462702</v>
      </c>
      <c r="N8704">
        <v>0.1803511973343464</v>
      </c>
      <c r="O8704">
        <v>0.24660638622304568</v>
      </c>
      <c r="P8704">
        <v>0.27032753125798087</v>
      </c>
    </row>
    <row r="8705" spans="13:16">
      <c r="M8705">
        <v>0.28096557834871272</v>
      </c>
      <c r="N8705">
        <v>0.1820954446467237</v>
      </c>
      <c r="O8705">
        <v>0.27402714360839375</v>
      </c>
      <c r="P8705">
        <v>0.2629118333961698</v>
      </c>
    </row>
    <row r="8706" spans="13:16">
      <c r="M8706">
        <v>0.29170582161866893</v>
      </c>
      <c r="N8706">
        <v>0.18209484686786229</v>
      </c>
      <c r="O8706">
        <v>0.26175415281073255</v>
      </c>
      <c r="P8706">
        <v>0.26444517870273615</v>
      </c>
    </row>
    <row r="8707" spans="13:16">
      <c r="M8707">
        <v>0.27710248621544237</v>
      </c>
      <c r="N8707">
        <v>0.19241980635394151</v>
      </c>
      <c r="O8707">
        <v>0.26627915397742008</v>
      </c>
      <c r="P8707">
        <v>0.26419855345319604</v>
      </c>
    </row>
    <row r="8708" spans="13:16">
      <c r="M8708">
        <v>0.30061873448859905</v>
      </c>
      <c r="N8708">
        <v>0.19112626419884232</v>
      </c>
      <c r="O8708">
        <v>0.25187648268104523</v>
      </c>
      <c r="P8708">
        <v>0.25637851863151334</v>
      </c>
    </row>
    <row r="8709" spans="13:16">
      <c r="M8709">
        <v>0.28851712800957358</v>
      </c>
      <c r="N8709">
        <v>0.18693773607823722</v>
      </c>
      <c r="O8709">
        <v>0.26550422659049022</v>
      </c>
      <c r="P8709">
        <v>0.25904090932169899</v>
      </c>
    </row>
    <row r="8710" spans="13:16">
      <c r="M8710">
        <v>0.29087075296335008</v>
      </c>
      <c r="N8710">
        <v>0.17163214806977017</v>
      </c>
      <c r="O8710">
        <v>0.27486083761830626</v>
      </c>
      <c r="P8710">
        <v>0.26263626134857354</v>
      </c>
    </row>
    <row r="8711" spans="13:16">
      <c r="M8711">
        <v>0.30676488577434896</v>
      </c>
      <c r="N8711">
        <v>0.19381403101756201</v>
      </c>
      <c r="O8711">
        <v>0.24272162316987966</v>
      </c>
      <c r="P8711">
        <v>0.25669946003820937</v>
      </c>
    </row>
    <row r="8712" spans="13:16">
      <c r="M8712">
        <v>0.29403648740462845</v>
      </c>
      <c r="N8712">
        <v>0.17431372729382841</v>
      </c>
      <c r="O8712">
        <v>0.26753555892909137</v>
      </c>
      <c r="P8712">
        <v>0.26411422637245169</v>
      </c>
    </row>
    <row r="8713" spans="13:16">
      <c r="M8713">
        <v>0.29295848196370355</v>
      </c>
      <c r="N8713">
        <v>0.19927782167058289</v>
      </c>
      <c r="O8713">
        <v>0.22098878718398124</v>
      </c>
      <c r="P8713">
        <v>0.28677490918173226</v>
      </c>
    </row>
    <row r="8714" spans="13:16">
      <c r="M8714">
        <v>0.26166146240897914</v>
      </c>
      <c r="N8714">
        <v>0.1804652889624547</v>
      </c>
      <c r="O8714">
        <v>0.2983565965075628</v>
      </c>
      <c r="P8714">
        <v>0.2595166521210035</v>
      </c>
    </row>
    <row r="8715" spans="13:16">
      <c r="M8715">
        <v>0.32207747656240043</v>
      </c>
      <c r="N8715">
        <v>0.17286310062008733</v>
      </c>
      <c r="O8715">
        <v>0.24779989377839062</v>
      </c>
      <c r="P8715">
        <v>0.25725952903912164</v>
      </c>
    </row>
    <row r="8716" spans="13:16">
      <c r="M8716">
        <v>0.30890392166442765</v>
      </c>
      <c r="N8716">
        <v>0.16728098769745256</v>
      </c>
      <c r="O8716">
        <v>0.27551763219860953</v>
      </c>
      <c r="P8716">
        <v>0.24829745843951026</v>
      </c>
    </row>
    <row r="8717" spans="13:16">
      <c r="M8717">
        <v>0.28044373118515975</v>
      </c>
      <c r="N8717">
        <v>0.21230723994848585</v>
      </c>
      <c r="O8717">
        <v>0.22607911983435311</v>
      </c>
      <c r="P8717">
        <v>0.28116990903200118</v>
      </c>
    </row>
    <row r="8718" spans="13:16">
      <c r="M8718">
        <v>0.27188767127505503</v>
      </c>
      <c r="N8718">
        <v>0.16888907144699564</v>
      </c>
      <c r="O8718">
        <v>0.29997810858073626</v>
      </c>
      <c r="P8718">
        <v>0.2592451486972131</v>
      </c>
    </row>
    <row r="8719" spans="13:16">
      <c r="M8719">
        <v>0.28334968991896681</v>
      </c>
      <c r="N8719">
        <v>0.19939467589985524</v>
      </c>
      <c r="O8719">
        <v>0.23082953819551399</v>
      </c>
      <c r="P8719">
        <v>0.28642609598566399</v>
      </c>
    </row>
    <row r="8720" spans="13:16">
      <c r="M8720">
        <v>0.27737737632527104</v>
      </c>
      <c r="N8720">
        <v>0.18879347737904503</v>
      </c>
      <c r="O8720">
        <v>0.2868234650194012</v>
      </c>
      <c r="P8720">
        <v>0.24700568127628264</v>
      </c>
    </row>
    <row r="8721" spans="13:16">
      <c r="M8721">
        <v>0.25951945910513391</v>
      </c>
      <c r="N8721">
        <v>0.19832265673211755</v>
      </c>
      <c r="O8721">
        <v>0.27378357856924923</v>
      </c>
      <c r="P8721">
        <v>0.26837430559349928</v>
      </c>
    </row>
    <row r="8722" spans="13:16">
      <c r="M8722">
        <v>0.28219734402820151</v>
      </c>
      <c r="N8722">
        <v>0.17505763740684166</v>
      </c>
      <c r="O8722">
        <v>0.27464217198494228</v>
      </c>
      <c r="P8722">
        <v>0.26810284658001454</v>
      </c>
    </row>
    <row r="8723" spans="13:16">
      <c r="M8723">
        <v>0.32578021849551037</v>
      </c>
      <c r="N8723">
        <v>0.17598545616271916</v>
      </c>
      <c r="O8723">
        <v>0.25953962172388262</v>
      </c>
      <c r="P8723">
        <v>0.23869470361788778</v>
      </c>
    </row>
    <row r="8724" spans="13:16">
      <c r="M8724">
        <v>0.28727047208220963</v>
      </c>
      <c r="N8724">
        <v>0.18833301111749218</v>
      </c>
      <c r="O8724">
        <v>0.26453814618293636</v>
      </c>
      <c r="P8724">
        <v>0.25985837061736183</v>
      </c>
    </row>
    <row r="8725" spans="13:16">
      <c r="M8725">
        <v>0.31506697620724511</v>
      </c>
      <c r="N8725">
        <v>0.18754930150833216</v>
      </c>
      <c r="O8725">
        <v>0.24572735005974478</v>
      </c>
      <c r="P8725">
        <v>0.25165637222467807</v>
      </c>
    </row>
    <row r="8726" spans="13:16">
      <c r="M8726">
        <v>0.27268091979012105</v>
      </c>
      <c r="N8726">
        <v>0.19412754466643106</v>
      </c>
      <c r="O8726">
        <v>0.28266549813399361</v>
      </c>
      <c r="P8726">
        <v>0.25052603740945428</v>
      </c>
    </row>
    <row r="8727" spans="13:16">
      <c r="M8727">
        <v>0.28539335703623503</v>
      </c>
      <c r="N8727">
        <v>0.19880578167186971</v>
      </c>
      <c r="O8727">
        <v>0.2664028231963913</v>
      </c>
      <c r="P8727">
        <v>0.24939803809550401</v>
      </c>
    </row>
    <row r="8728" spans="13:16">
      <c r="M8728">
        <v>0.31722432040491622</v>
      </c>
      <c r="N8728">
        <v>0.17147848970463903</v>
      </c>
      <c r="O8728">
        <v>0.25608038870133332</v>
      </c>
      <c r="P8728">
        <v>0.25521680118911144</v>
      </c>
    </row>
    <row r="8729" spans="13:16">
      <c r="M8729">
        <v>0.30479000833091402</v>
      </c>
      <c r="N8729">
        <v>0.17244746643638512</v>
      </c>
      <c r="O8729">
        <v>0.25675981857662272</v>
      </c>
      <c r="P8729">
        <v>0.26600270665607806</v>
      </c>
    </row>
    <row r="8730" spans="13:16">
      <c r="M8730">
        <v>0.28977121517757293</v>
      </c>
      <c r="N8730">
        <v>0.19022123781985359</v>
      </c>
      <c r="O8730">
        <v>0.23042258103067212</v>
      </c>
      <c r="P8730">
        <v>0.28958496597190142</v>
      </c>
    </row>
    <row r="8731" spans="13:16">
      <c r="M8731">
        <v>0.29973659554628906</v>
      </c>
      <c r="N8731">
        <v>0.18456746678698888</v>
      </c>
      <c r="O8731">
        <v>0.23924636518532935</v>
      </c>
      <c r="P8731">
        <v>0.27644957248139268</v>
      </c>
    </row>
    <row r="8732" spans="13:16">
      <c r="M8732">
        <v>0.28658305986852528</v>
      </c>
      <c r="N8732">
        <v>0.17950509553615809</v>
      </c>
      <c r="O8732">
        <v>0.28479670602433932</v>
      </c>
      <c r="P8732">
        <v>0.24911513857097717</v>
      </c>
    </row>
    <row r="8733" spans="13:16">
      <c r="M8733">
        <v>0.27779197947829093</v>
      </c>
      <c r="N8733">
        <v>0.18752300328568949</v>
      </c>
      <c r="O8733">
        <v>0.27200711843514602</v>
      </c>
      <c r="P8733">
        <v>0.2626778988008735</v>
      </c>
    </row>
    <row r="8734" spans="13:16">
      <c r="M8734">
        <v>0.26733649017597244</v>
      </c>
      <c r="N8734">
        <v>0.19178435580953601</v>
      </c>
      <c r="O8734">
        <v>0.28077720942481427</v>
      </c>
      <c r="P8734">
        <v>0.26010194458967728</v>
      </c>
    </row>
    <row r="8735" spans="13:16">
      <c r="M8735">
        <v>0.30745340440688335</v>
      </c>
      <c r="N8735">
        <v>0.18408658800334449</v>
      </c>
      <c r="O8735">
        <v>0.25565090314983596</v>
      </c>
      <c r="P8735">
        <v>0.25280910443993621</v>
      </c>
    </row>
    <row r="8736" spans="13:16">
      <c r="M8736">
        <v>0.27434553584367544</v>
      </c>
      <c r="N8736">
        <v>0.17970714990666534</v>
      </c>
      <c r="O8736">
        <v>0.28776799796320041</v>
      </c>
      <c r="P8736">
        <v>0.25817931628645874</v>
      </c>
    </row>
    <row r="8737" spans="13:16">
      <c r="M8737">
        <v>0.27144710667824329</v>
      </c>
      <c r="N8737">
        <v>0.18817696516802077</v>
      </c>
      <c r="O8737">
        <v>0.27654470768724487</v>
      </c>
      <c r="P8737">
        <v>0.26383122046649099</v>
      </c>
    </row>
    <row r="8738" spans="13:16">
      <c r="M8738">
        <v>0.28721713829438567</v>
      </c>
      <c r="N8738">
        <v>0.18357433451883315</v>
      </c>
      <c r="O8738">
        <v>0.28451177997568422</v>
      </c>
      <c r="P8738">
        <v>0.24469674721109697</v>
      </c>
    </row>
    <row r="8739" spans="13:16">
      <c r="M8739">
        <v>0.29531030673394332</v>
      </c>
      <c r="N8739">
        <v>0.18338995162027069</v>
      </c>
      <c r="O8739">
        <v>0.23428492150606203</v>
      </c>
      <c r="P8739">
        <v>0.28701482013972407</v>
      </c>
    </row>
    <row r="8740" spans="13:16">
      <c r="M8740">
        <v>0.31581988482304213</v>
      </c>
      <c r="N8740">
        <v>0.16521530299094311</v>
      </c>
      <c r="O8740">
        <v>0.27448112624703569</v>
      </c>
      <c r="P8740">
        <v>0.2444836859389791</v>
      </c>
    </row>
    <row r="8741" spans="13:16">
      <c r="M8741">
        <v>0.30580732601423727</v>
      </c>
      <c r="N8741">
        <v>0.18417961498991339</v>
      </c>
      <c r="O8741">
        <v>0.23980356932028624</v>
      </c>
      <c r="P8741">
        <v>0.27020948967556307</v>
      </c>
    </row>
    <row r="8742" spans="13:16">
      <c r="M8742">
        <v>0.28550357206051569</v>
      </c>
      <c r="N8742">
        <v>0.18830545618506081</v>
      </c>
      <c r="O8742">
        <v>0.27240718370127737</v>
      </c>
      <c r="P8742">
        <v>0.25378378805314611</v>
      </c>
    </row>
    <row r="8743" spans="13:16">
      <c r="M8743">
        <v>0.29447163729708092</v>
      </c>
      <c r="N8743">
        <v>0.1917100346595117</v>
      </c>
      <c r="O8743">
        <v>0.26226629476401797</v>
      </c>
      <c r="P8743">
        <v>0.25155203327938941</v>
      </c>
    </row>
    <row r="8744" spans="13:16">
      <c r="M8744">
        <v>0.28070132135779252</v>
      </c>
      <c r="N8744">
        <v>0.19306618351235819</v>
      </c>
      <c r="O8744">
        <v>0.26052705122206837</v>
      </c>
      <c r="P8744">
        <v>0.265705443907781</v>
      </c>
    </row>
    <row r="8745" spans="13:16">
      <c r="M8745">
        <v>0.29817177281384066</v>
      </c>
      <c r="N8745">
        <v>0.20581123859060049</v>
      </c>
      <c r="O8745">
        <v>0.23788156326960272</v>
      </c>
      <c r="P8745">
        <v>0.25813542532595601</v>
      </c>
    </row>
    <row r="8746" spans="13:16">
      <c r="M8746">
        <v>0.27634171005335167</v>
      </c>
      <c r="N8746">
        <v>0.18292486239653741</v>
      </c>
      <c r="O8746">
        <v>0.27187930925465909</v>
      </c>
      <c r="P8746">
        <v>0.26885411829545175</v>
      </c>
    </row>
    <row r="8747" spans="13:16">
      <c r="M8747">
        <v>0.27755557729262476</v>
      </c>
      <c r="N8747">
        <v>0.18242587520289347</v>
      </c>
      <c r="O8747">
        <v>0.29862725188393707</v>
      </c>
      <c r="P8747">
        <v>0.2413912956205447</v>
      </c>
    </row>
    <row r="8748" spans="13:16">
      <c r="M8748">
        <v>0.30908163159204871</v>
      </c>
      <c r="N8748">
        <v>0.18870490150743385</v>
      </c>
      <c r="O8748">
        <v>0.24246021010461785</v>
      </c>
      <c r="P8748">
        <v>0.2597532567958995</v>
      </c>
    </row>
    <row r="8749" spans="13:16">
      <c r="M8749">
        <v>0.29976811645237189</v>
      </c>
      <c r="N8749">
        <v>0.20564217324629475</v>
      </c>
      <c r="O8749">
        <v>0.2324762674282663</v>
      </c>
      <c r="P8749">
        <v>0.26211344287306698</v>
      </c>
    </row>
    <row r="8750" spans="13:16">
      <c r="M8750">
        <v>0.28401339442275747</v>
      </c>
      <c r="N8750">
        <v>0.17898797648422674</v>
      </c>
      <c r="O8750">
        <v>0.28172215616484214</v>
      </c>
      <c r="P8750">
        <v>0.25527647292817368</v>
      </c>
    </row>
    <row r="8751" spans="13:16">
      <c r="M8751">
        <v>0.27771183016778439</v>
      </c>
      <c r="N8751">
        <v>0.19422690516828933</v>
      </c>
      <c r="O8751">
        <v>0.27258333981100258</v>
      </c>
      <c r="P8751">
        <v>0.25547792485292375</v>
      </c>
    </row>
    <row r="8752" spans="13:16">
      <c r="M8752">
        <v>0.3019798199687162</v>
      </c>
      <c r="N8752">
        <v>0.18857857244444989</v>
      </c>
      <c r="O8752">
        <v>0.2505883303067109</v>
      </c>
      <c r="P8752">
        <v>0.25885327728012286</v>
      </c>
    </row>
    <row r="8753" spans="13:16">
      <c r="M8753">
        <v>0.30552643827123938</v>
      </c>
      <c r="N8753">
        <v>0.18728286907723674</v>
      </c>
      <c r="O8753">
        <v>0.2567370547794029</v>
      </c>
      <c r="P8753">
        <v>0.25045363787212099</v>
      </c>
    </row>
    <row r="8754" spans="13:16">
      <c r="M8754">
        <v>0.30463221692247794</v>
      </c>
      <c r="N8754">
        <v>0.18720268849748248</v>
      </c>
      <c r="O8754">
        <v>0.23298560614104755</v>
      </c>
      <c r="P8754">
        <v>0.27517948843899204</v>
      </c>
    </row>
    <row r="8755" spans="13:16">
      <c r="M8755">
        <v>0.27778267597693335</v>
      </c>
      <c r="N8755">
        <v>0.19395331880571973</v>
      </c>
      <c r="O8755">
        <v>0.24058628522608871</v>
      </c>
      <c r="P8755">
        <v>0.28767771999125824</v>
      </c>
    </row>
    <row r="8756" spans="13:16">
      <c r="M8756">
        <v>0.27137647366390283</v>
      </c>
      <c r="N8756">
        <v>0.21056587285274661</v>
      </c>
      <c r="O8756">
        <v>0.23438443835220793</v>
      </c>
      <c r="P8756">
        <v>0.28367321513114252</v>
      </c>
    </row>
    <row r="8757" spans="13:16">
      <c r="M8757">
        <v>0.29088009397586967</v>
      </c>
      <c r="N8757">
        <v>0.19067946259428592</v>
      </c>
      <c r="O8757">
        <v>0.2536320641297084</v>
      </c>
      <c r="P8757">
        <v>0.26480837930013595</v>
      </c>
    </row>
    <row r="8758" spans="13:16">
      <c r="M8758">
        <v>0.3085173641902515</v>
      </c>
      <c r="N8758">
        <v>0.18203018357050821</v>
      </c>
      <c r="O8758">
        <v>0.24872448022610077</v>
      </c>
      <c r="P8758">
        <v>0.26072797201313958</v>
      </c>
    </row>
    <row r="8759" spans="13:16">
      <c r="M8759">
        <v>0.29362129999241027</v>
      </c>
      <c r="N8759">
        <v>0.1956738092866849</v>
      </c>
      <c r="O8759">
        <v>0.2550245889808897</v>
      </c>
      <c r="P8759">
        <v>0.25568030174001521</v>
      </c>
    </row>
    <row r="8760" spans="13:16">
      <c r="M8760">
        <v>0.28294506841984257</v>
      </c>
      <c r="N8760">
        <v>0.1964304783405707</v>
      </c>
      <c r="O8760">
        <v>0.25384070074168652</v>
      </c>
      <c r="P8760">
        <v>0.2667837524979001</v>
      </c>
    </row>
    <row r="8761" spans="13:16">
      <c r="M8761">
        <v>0.2916046237868869</v>
      </c>
      <c r="N8761">
        <v>0.17298028173802932</v>
      </c>
      <c r="O8761">
        <v>0.29126679806695965</v>
      </c>
      <c r="P8761">
        <v>0.24414829640812419</v>
      </c>
    </row>
    <row r="8762" spans="13:16">
      <c r="M8762">
        <v>0.30900142830855915</v>
      </c>
      <c r="N8762">
        <v>0.178346020280091</v>
      </c>
      <c r="O8762">
        <v>0.25712254746917146</v>
      </c>
      <c r="P8762">
        <v>0.25553000394217845</v>
      </c>
    </row>
    <row r="8763" spans="13:16">
      <c r="M8763">
        <v>0.28034691558302766</v>
      </c>
      <c r="N8763">
        <v>0.2098510245413735</v>
      </c>
      <c r="O8763">
        <v>0.22914924553926638</v>
      </c>
      <c r="P8763">
        <v>0.28065281433633249</v>
      </c>
    </row>
    <row r="8764" spans="13:16">
      <c r="M8764">
        <v>0.29139981167771717</v>
      </c>
      <c r="N8764">
        <v>0.17894160027693712</v>
      </c>
      <c r="O8764">
        <v>0.25074758308712852</v>
      </c>
      <c r="P8764">
        <v>0.27891100495821719</v>
      </c>
    </row>
    <row r="8765" spans="13:16">
      <c r="M8765">
        <v>0.30119425113070525</v>
      </c>
      <c r="N8765">
        <v>0.19443034159623998</v>
      </c>
      <c r="O8765">
        <v>0.24063714709976514</v>
      </c>
      <c r="P8765">
        <v>0.26373826017328961</v>
      </c>
    </row>
    <row r="8766" spans="13:16">
      <c r="M8766">
        <v>0.30574979754155068</v>
      </c>
      <c r="N8766">
        <v>0.19333199241117607</v>
      </c>
      <c r="O8766">
        <v>0.21066475397905035</v>
      </c>
      <c r="P8766">
        <v>0.29025345606822278</v>
      </c>
    </row>
    <row r="8767" spans="13:16">
      <c r="M8767">
        <v>0.28290580276099875</v>
      </c>
      <c r="N8767">
        <v>0.18464504649507113</v>
      </c>
      <c r="O8767">
        <v>0.26717841136715365</v>
      </c>
      <c r="P8767">
        <v>0.26527073937677642</v>
      </c>
    </row>
    <row r="8768" spans="13:16">
      <c r="M8768">
        <v>0.26753358358717699</v>
      </c>
      <c r="N8768">
        <v>0.20747388906006511</v>
      </c>
      <c r="O8768">
        <v>0.24617418747551231</v>
      </c>
      <c r="P8768">
        <v>0.27881833987724558</v>
      </c>
    </row>
    <row r="8769" spans="13:16">
      <c r="M8769">
        <v>0.28892669616239192</v>
      </c>
      <c r="N8769">
        <v>0.18669296396357055</v>
      </c>
      <c r="O8769">
        <v>0.26357307769990396</v>
      </c>
      <c r="P8769">
        <v>0.26080726217413369</v>
      </c>
    </row>
    <row r="8770" spans="13:16">
      <c r="M8770">
        <v>0.33720363766420353</v>
      </c>
      <c r="N8770">
        <v>0.17032865707008799</v>
      </c>
      <c r="O8770">
        <v>0.22113436060487834</v>
      </c>
      <c r="P8770">
        <v>0.27133334466083014</v>
      </c>
    </row>
    <row r="8771" spans="13:16">
      <c r="M8771">
        <v>0.2690111716991892</v>
      </c>
      <c r="N8771">
        <v>0.19909090379822231</v>
      </c>
      <c r="O8771">
        <v>0.26686667917076223</v>
      </c>
      <c r="P8771">
        <v>0.2650312453318262</v>
      </c>
    </row>
    <row r="8772" spans="13:16">
      <c r="M8772">
        <v>0.29733796991087869</v>
      </c>
      <c r="N8772">
        <v>0.20207151768998699</v>
      </c>
      <c r="O8772">
        <v>0.2343209311584516</v>
      </c>
      <c r="P8772">
        <v>0.26626958124068273</v>
      </c>
    </row>
    <row r="8773" spans="13:16">
      <c r="M8773">
        <v>0.28061148816947729</v>
      </c>
      <c r="N8773">
        <v>0.18750759133066949</v>
      </c>
      <c r="O8773">
        <v>0.26020214110340389</v>
      </c>
      <c r="P8773">
        <v>0.27167877939644935</v>
      </c>
    </row>
    <row r="8774" spans="13:16">
      <c r="M8774">
        <v>0.29749269479161961</v>
      </c>
      <c r="N8774">
        <v>0.20507139245292194</v>
      </c>
      <c r="O8774">
        <v>0.20984785686176829</v>
      </c>
      <c r="P8774">
        <v>0.28758805589369019</v>
      </c>
    </row>
    <row r="8775" spans="13:16">
      <c r="M8775">
        <v>0.29187325550395216</v>
      </c>
      <c r="N8775">
        <v>0.18044706234261729</v>
      </c>
      <c r="O8775">
        <v>0.26281494578127773</v>
      </c>
      <c r="P8775">
        <v>0.26486473637215269</v>
      </c>
    </row>
    <row r="8776" spans="13:16">
      <c r="M8776">
        <v>0.29886998186500741</v>
      </c>
      <c r="N8776">
        <v>0.18915706985382566</v>
      </c>
      <c r="O8776">
        <v>0.25131530356956183</v>
      </c>
      <c r="P8776">
        <v>0.26065764471160524</v>
      </c>
    </row>
    <row r="8777" spans="13:16">
      <c r="M8777">
        <v>0.27852629263506046</v>
      </c>
      <c r="N8777">
        <v>0.20034030279727688</v>
      </c>
      <c r="O8777">
        <v>0.24319815021115557</v>
      </c>
      <c r="P8777">
        <v>0.27793525435650712</v>
      </c>
    </row>
    <row r="8778" spans="13:16">
      <c r="M8778">
        <v>0.28026205240136454</v>
      </c>
      <c r="N8778">
        <v>0.19579948984013218</v>
      </c>
      <c r="O8778">
        <v>0.25544390706437381</v>
      </c>
      <c r="P8778">
        <v>0.26849455069412947</v>
      </c>
    </row>
    <row r="8779" spans="13:16">
      <c r="M8779">
        <v>0.3114223155187052</v>
      </c>
      <c r="N8779">
        <v>0.18389886696099389</v>
      </c>
      <c r="O8779">
        <v>0.23612093290794828</v>
      </c>
      <c r="P8779">
        <v>0.26855788461235258</v>
      </c>
    </row>
    <row r="8780" spans="13:16">
      <c r="M8780">
        <v>0.30281291408155186</v>
      </c>
      <c r="N8780">
        <v>0.17796980386023503</v>
      </c>
      <c r="O8780">
        <v>0.24845209703298432</v>
      </c>
      <c r="P8780">
        <v>0.27076518502522878</v>
      </c>
    </row>
    <row r="8781" spans="13:16">
      <c r="M8781">
        <v>0.30411158323013759</v>
      </c>
      <c r="N8781">
        <v>0.17225051122202528</v>
      </c>
      <c r="O8781">
        <v>0.27056440209448812</v>
      </c>
      <c r="P8781">
        <v>0.25307350345334895</v>
      </c>
    </row>
    <row r="8782" spans="13:16">
      <c r="M8782">
        <v>0.30994519002635001</v>
      </c>
      <c r="N8782">
        <v>0.19292279749261426</v>
      </c>
      <c r="O8782">
        <v>0.23408856695985025</v>
      </c>
      <c r="P8782">
        <v>0.26304344552118547</v>
      </c>
    </row>
    <row r="8783" spans="13:16">
      <c r="M8783">
        <v>0.27695000371792489</v>
      </c>
      <c r="N8783">
        <v>0.17606547798213407</v>
      </c>
      <c r="O8783">
        <v>0.28138799632456701</v>
      </c>
      <c r="P8783">
        <v>0.26559652197537387</v>
      </c>
    </row>
    <row r="8784" spans="13:16">
      <c r="M8784">
        <v>0.30394468600170671</v>
      </c>
      <c r="N8784">
        <v>0.18604744208880539</v>
      </c>
      <c r="O8784">
        <v>0.24853799724031983</v>
      </c>
      <c r="P8784">
        <v>0.26146987466916827</v>
      </c>
    </row>
    <row r="8785" spans="13:16">
      <c r="M8785">
        <v>0.29904327204272108</v>
      </c>
      <c r="N8785">
        <v>0.18736434149610037</v>
      </c>
      <c r="O8785">
        <v>0.25941861524554072</v>
      </c>
      <c r="P8785">
        <v>0.25417377121563778</v>
      </c>
    </row>
    <row r="8786" spans="13:16">
      <c r="M8786">
        <v>0.31206589833686088</v>
      </c>
      <c r="N8786">
        <v>0.16755696356068842</v>
      </c>
      <c r="O8786">
        <v>0.26164009567282137</v>
      </c>
      <c r="P8786">
        <v>0.2587370424296293</v>
      </c>
    </row>
    <row r="8787" spans="13:16">
      <c r="M8787">
        <v>0.28262865199263743</v>
      </c>
      <c r="N8787">
        <v>0.19954307325860624</v>
      </c>
      <c r="O8787">
        <v>0.25233411026795688</v>
      </c>
      <c r="P8787">
        <v>0.26549416448079943</v>
      </c>
    </row>
    <row r="8788" spans="13:16">
      <c r="M8788">
        <v>0.31878035425455853</v>
      </c>
      <c r="N8788">
        <v>0.18083656119919897</v>
      </c>
      <c r="O8788">
        <v>0.23902005719559308</v>
      </c>
      <c r="P8788">
        <v>0.26136302735064948</v>
      </c>
    </row>
    <row r="8789" spans="13:16">
      <c r="M8789">
        <v>0.32776500084028259</v>
      </c>
      <c r="N8789">
        <v>0.17812322848525958</v>
      </c>
      <c r="O8789">
        <v>0.21471379361448384</v>
      </c>
      <c r="P8789">
        <v>0.27939797705997399</v>
      </c>
    </row>
    <row r="8790" spans="13:16">
      <c r="M8790">
        <v>0.27682731123614235</v>
      </c>
      <c r="N8790">
        <v>0.18806375650382884</v>
      </c>
      <c r="O8790">
        <v>0.2720682108630697</v>
      </c>
      <c r="P8790">
        <v>0.26304072139695922</v>
      </c>
    </row>
    <row r="8791" spans="13:16">
      <c r="M8791">
        <v>0.28995473088014928</v>
      </c>
      <c r="N8791">
        <v>0.18443935805316333</v>
      </c>
      <c r="O8791">
        <v>0.26030670812629708</v>
      </c>
      <c r="P8791">
        <v>0.26529920294039039</v>
      </c>
    </row>
    <row r="8792" spans="13:16">
      <c r="M8792">
        <v>0.29581350087917063</v>
      </c>
      <c r="N8792">
        <v>0.17957546980975811</v>
      </c>
      <c r="O8792">
        <v>0.26295373822265466</v>
      </c>
      <c r="P8792">
        <v>0.26165729108841657</v>
      </c>
    </row>
    <row r="8793" spans="13:16">
      <c r="M8793">
        <v>0.27960455465748729</v>
      </c>
      <c r="N8793">
        <v>0.20432710776009888</v>
      </c>
      <c r="O8793">
        <v>0.22532186918970815</v>
      </c>
      <c r="P8793">
        <v>0.29074646839270585</v>
      </c>
    </row>
    <row r="8794" spans="13:16">
      <c r="M8794">
        <v>0.27770068430129446</v>
      </c>
      <c r="N8794">
        <v>0.19475214373611832</v>
      </c>
      <c r="O8794">
        <v>0.26888973928232779</v>
      </c>
      <c r="P8794">
        <v>0.25865743268025931</v>
      </c>
    </row>
    <row r="8795" spans="13:16">
      <c r="M8795">
        <v>0.29014260843470657</v>
      </c>
      <c r="N8795">
        <v>0.19389414366563074</v>
      </c>
      <c r="O8795">
        <v>0.23284023347569552</v>
      </c>
      <c r="P8795">
        <v>0.28312301442396726</v>
      </c>
    </row>
    <row r="8796" spans="13:16">
      <c r="M8796">
        <v>0.29889206325982426</v>
      </c>
      <c r="N8796">
        <v>0.19843331041354567</v>
      </c>
      <c r="O8796">
        <v>0.22660017941379235</v>
      </c>
      <c r="P8796">
        <v>0.27607444691283772</v>
      </c>
    </row>
    <row r="8797" spans="13:16">
      <c r="M8797">
        <v>0.33835266520624857</v>
      </c>
      <c r="N8797">
        <v>0.16781398059960692</v>
      </c>
      <c r="O8797">
        <v>0.22755857085867731</v>
      </c>
      <c r="P8797">
        <v>0.26627478333546728</v>
      </c>
    </row>
    <row r="8798" spans="13:16">
      <c r="M8798">
        <v>0.2893461619369142</v>
      </c>
      <c r="N8798">
        <v>0.17163932856160485</v>
      </c>
      <c r="O8798">
        <v>0.28962593615452908</v>
      </c>
      <c r="P8798">
        <v>0.24938857334695197</v>
      </c>
    </row>
    <row r="8799" spans="13:16">
      <c r="M8799">
        <v>0.29234071415190627</v>
      </c>
      <c r="N8799">
        <v>0.19486666934124611</v>
      </c>
      <c r="O8799">
        <v>0.23500788843693934</v>
      </c>
      <c r="P8799">
        <v>0.27778472806990823</v>
      </c>
    </row>
    <row r="8800" spans="13:16">
      <c r="M8800">
        <v>0.29260375836357838</v>
      </c>
      <c r="N8800">
        <v>0.16602343161897987</v>
      </c>
      <c r="O8800">
        <v>0.29175081708307199</v>
      </c>
      <c r="P8800">
        <v>0.24962199293436979</v>
      </c>
    </row>
    <row r="8801" spans="13:16">
      <c r="M8801">
        <v>0.32850581512434618</v>
      </c>
      <c r="N8801">
        <v>0.18639395683015841</v>
      </c>
      <c r="O8801">
        <v>0.23443712825301932</v>
      </c>
      <c r="P8801">
        <v>0.25066309979247609</v>
      </c>
    </row>
    <row r="8802" spans="13:16">
      <c r="M8802">
        <v>0.28430322895859461</v>
      </c>
      <c r="N8802">
        <v>0.171822972194667</v>
      </c>
      <c r="O8802">
        <v>0.29782435004905716</v>
      </c>
      <c r="P8802">
        <v>0.24604944879768118</v>
      </c>
    </row>
    <row r="8803" spans="13:16">
      <c r="M8803">
        <v>0.29964813296567744</v>
      </c>
      <c r="N8803">
        <v>0.16920229499341946</v>
      </c>
      <c r="O8803">
        <v>0.28233920130893447</v>
      </c>
      <c r="P8803">
        <v>0.24881037073196863</v>
      </c>
    </row>
    <row r="8804" spans="13:16">
      <c r="M8804">
        <v>0.28675897266546041</v>
      </c>
      <c r="N8804">
        <v>0.18466697910619875</v>
      </c>
      <c r="O8804">
        <v>0.2719983185050931</v>
      </c>
      <c r="P8804">
        <v>0.25657572972324788</v>
      </c>
    </row>
    <row r="8805" spans="13:16">
      <c r="M8805">
        <v>0.30906600134117762</v>
      </c>
      <c r="N8805">
        <v>0.17983726883280723</v>
      </c>
      <c r="O8805">
        <v>0.25738899760849249</v>
      </c>
      <c r="P8805">
        <v>0.25370773221752252</v>
      </c>
    </row>
    <row r="8806" spans="13:16">
      <c r="M8806">
        <v>0.30914811649646184</v>
      </c>
      <c r="N8806">
        <v>0.1781229867750333</v>
      </c>
      <c r="O8806">
        <v>0.2474023514610123</v>
      </c>
      <c r="P8806">
        <v>0.26532654526749261</v>
      </c>
    </row>
    <row r="8807" spans="13:16">
      <c r="M8807">
        <v>0.28745793645755485</v>
      </c>
      <c r="N8807">
        <v>0.19870597313333133</v>
      </c>
      <c r="O8807">
        <v>0.24372330308191939</v>
      </c>
      <c r="P8807">
        <v>0.27011278732719429</v>
      </c>
    </row>
    <row r="8808" spans="13:16">
      <c r="M8808">
        <v>0.29693333088412571</v>
      </c>
      <c r="N8808">
        <v>0.18075497586094516</v>
      </c>
      <c r="O8808">
        <v>0.26498570714018727</v>
      </c>
      <c r="P8808">
        <v>0.25732598611474178</v>
      </c>
    </row>
    <row r="8809" spans="13:16">
      <c r="M8809">
        <v>0.309455320348761</v>
      </c>
      <c r="N8809">
        <v>0.18533229408839191</v>
      </c>
      <c r="O8809">
        <v>0.24432748793482045</v>
      </c>
      <c r="P8809">
        <v>0.26088489762802664</v>
      </c>
    </row>
    <row r="8810" spans="13:16">
      <c r="M8810">
        <v>0.2723076844982053</v>
      </c>
      <c r="N8810">
        <v>0.21112690959237856</v>
      </c>
      <c r="O8810">
        <v>0.23539883166930908</v>
      </c>
      <c r="P8810">
        <v>0.2811665742401071</v>
      </c>
    </row>
    <row r="8811" spans="13:16">
      <c r="M8811">
        <v>0.30435167441406324</v>
      </c>
      <c r="N8811">
        <v>0.17368400801542089</v>
      </c>
      <c r="O8811">
        <v>0.26939425368699277</v>
      </c>
      <c r="P8811">
        <v>0.25257006388352315</v>
      </c>
    </row>
    <row r="8812" spans="13:16">
      <c r="M8812">
        <v>0.30060921256318762</v>
      </c>
      <c r="N8812">
        <v>0.1780401461374021</v>
      </c>
      <c r="O8812">
        <v>0.26139442711495403</v>
      </c>
      <c r="P8812">
        <v>0.25995621418445625</v>
      </c>
    </row>
    <row r="8813" spans="13:16">
      <c r="M8813">
        <v>0.28118672462055805</v>
      </c>
      <c r="N8813">
        <v>0.17348243639080776</v>
      </c>
      <c r="O8813">
        <v>0.28716866003399488</v>
      </c>
      <c r="P8813">
        <v>0.25816217895463933</v>
      </c>
    </row>
    <row r="8814" spans="13:16">
      <c r="M8814">
        <v>0.29515577579526825</v>
      </c>
      <c r="N8814">
        <v>0.18268828726841474</v>
      </c>
      <c r="O8814">
        <v>0.23395695765098712</v>
      </c>
      <c r="P8814">
        <v>0.28819897928532989</v>
      </c>
    </row>
    <row r="8815" spans="13:16">
      <c r="M8815">
        <v>0.27257298266968571</v>
      </c>
      <c r="N8815">
        <v>0.18235981007860774</v>
      </c>
      <c r="O8815">
        <v>0.2870117900408124</v>
      </c>
      <c r="P8815">
        <v>0.2580554172108942</v>
      </c>
    </row>
    <row r="8816" spans="13:16">
      <c r="M8816">
        <v>0.3057171068135483</v>
      </c>
      <c r="N8816">
        <v>0.20264392549909149</v>
      </c>
      <c r="O8816">
        <v>0.22743118472145393</v>
      </c>
      <c r="P8816">
        <v>0.26420778296590641</v>
      </c>
    </row>
    <row r="8817" spans="13:16">
      <c r="M8817">
        <v>0.28071095650178035</v>
      </c>
      <c r="N8817">
        <v>0.20370378898047264</v>
      </c>
      <c r="O8817">
        <v>0.23322021060187231</v>
      </c>
      <c r="P8817">
        <v>0.28236504391587475</v>
      </c>
    </row>
    <row r="8818" spans="13:16">
      <c r="M8818">
        <v>0.2939189464737566</v>
      </c>
      <c r="N8818">
        <v>0.18068682016134291</v>
      </c>
      <c r="O8818">
        <v>0.2619466913048763</v>
      </c>
      <c r="P8818">
        <v>0.26344754206002435</v>
      </c>
    </row>
    <row r="8819" spans="13:16">
      <c r="M8819">
        <v>0.28316899858397471</v>
      </c>
      <c r="N8819">
        <v>0.19174421797612162</v>
      </c>
      <c r="O8819">
        <v>0.255433385677096</v>
      </c>
      <c r="P8819">
        <v>0.26965339776280772</v>
      </c>
    </row>
    <row r="8820" spans="13:16">
      <c r="M8820">
        <v>0.28517589835594481</v>
      </c>
      <c r="N8820">
        <v>0.18698705399323476</v>
      </c>
      <c r="O8820">
        <v>0.24624743618922793</v>
      </c>
      <c r="P8820">
        <v>0.28158961146159234</v>
      </c>
    </row>
    <row r="8821" spans="13:16">
      <c r="M8821">
        <v>0.3018294334506107</v>
      </c>
      <c r="N8821">
        <v>0.18579490153056455</v>
      </c>
      <c r="O8821">
        <v>0.24919635857121963</v>
      </c>
      <c r="P8821">
        <v>0.26317930644760512</v>
      </c>
    </row>
    <row r="8822" spans="13:16">
      <c r="M8822">
        <v>0.27441343934881046</v>
      </c>
      <c r="N8822">
        <v>0.20682405145139435</v>
      </c>
      <c r="O8822">
        <v>0.24823559317103713</v>
      </c>
      <c r="P8822">
        <v>0.27052691602875817</v>
      </c>
    </row>
    <row r="8823" spans="13:16">
      <c r="M8823">
        <v>0.28969910301997942</v>
      </c>
      <c r="N8823">
        <v>0.18614234524811216</v>
      </c>
      <c r="O8823">
        <v>0.26865171230984286</v>
      </c>
      <c r="P8823">
        <v>0.25550683942206542</v>
      </c>
    </row>
    <row r="8824" spans="13:16">
      <c r="M8824">
        <v>0.28558344025571097</v>
      </c>
      <c r="N8824">
        <v>0.19846696516825266</v>
      </c>
      <c r="O8824">
        <v>0.23589901110127584</v>
      </c>
      <c r="P8824">
        <v>0.28005058347476053</v>
      </c>
    </row>
    <row r="8825" spans="13:16">
      <c r="M8825">
        <v>0.28502379297734243</v>
      </c>
      <c r="N8825">
        <v>0.19358614473611832</v>
      </c>
      <c r="O8825">
        <v>0.24855753039996925</v>
      </c>
      <c r="P8825">
        <v>0.27283253188657014</v>
      </c>
    </row>
    <row r="8826" spans="13:16">
      <c r="M8826">
        <v>0.3216425033204095</v>
      </c>
      <c r="N8826">
        <v>0.17439457877738951</v>
      </c>
      <c r="O8826">
        <v>0.23167923165558604</v>
      </c>
      <c r="P8826">
        <v>0.27228368624661492</v>
      </c>
    </row>
    <row r="8827" spans="13:16">
      <c r="M8827">
        <v>0.30469294580821182</v>
      </c>
      <c r="N8827">
        <v>0.17512143003848882</v>
      </c>
      <c r="O8827">
        <v>0.25646743704395997</v>
      </c>
      <c r="P8827">
        <v>0.26371818710933931</v>
      </c>
    </row>
    <row r="8828" spans="13:16">
      <c r="M8828">
        <v>0.32730884424853462</v>
      </c>
      <c r="N8828">
        <v>0.17334866925509679</v>
      </c>
      <c r="O8828">
        <v>0.23283008116441931</v>
      </c>
      <c r="P8828">
        <v>0.26651240533194936</v>
      </c>
    </row>
    <row r="8829" spans="13:16">
      <c r="M8829">
        <v>0.29683876055025815</v>
      </c>
      <c r="N8829">
        <v>0.19114704774931368</v>
      </c>
      <c r="O8829">
        <v>0.24731932182643726</v>
      </c>
      <c r="P8829">
        <v>0.26469486987399082</v>
      </c>
    </row>
    <row r="8830" spans="13:16">
      <c r="M8830">
        <v>0.30764961069616692</v>
      </c>
      <c r="N8830">
        <v>0.19566646291248621</v>
      </c>
      <c r="O8830">
        <v>0.22732201415250405</v>
      </c>
      <c r="P8830">
        <v>0.26936191223884276</v>
      </c>
    </row>
    <row r="8831" spans="13:16">
      <c r="M8831">
        <v>0.28871300995958693</v>
      </c>
      <c r="N8831">
        <v>0.18446478873290903</v>
      </c>
      <c r="O8831">
        <v>0.2632710783990409</v>
      </c>
      <c r="P8831">
        <v>0.26355112290846328</v>
      </c>
    </row>
    <row r="8832" spans="13:16">
      <c r="M8832">
        <v>0.32900763218708479</v>
      </c>
      <c r="N8832">
        <v>0.1747889497880713</v>
      </c>
      <c r="O8832">
        <v>0.23730470120243896</v>
      </c>
      <c r="P8832">
        <v>0.2588987168224049</v>
      </c>
    </row>
    <row r="8833" spans="13:16">
      <c r="M8833">
        <v>0.28464701529045039</v>
      </c>
      <c r="N8833">
        <v>0.16752719331730159</v>
      </c>
      <c r="O8833">
        <v>0.29118210181075038</v>
      </c>
      <c r="P8833">
        <v>0.25664368958149752</v>
      </c>
    </row>
    <row r="8834" spans="13:16">
      <c r="M8834">
        <v>0.28197427497583155</v>
      </c>
      <c r="N8834">
        <v>0.18382358289685152</v>
      </c>
      <c r="O8834">
        <v>0.2730373283727241</v>
      </c>
      <c r="P8834">
        <v>0.26116481375459283</v>
      </c>
    </row>
    <row r="8835" spans="13:16">
      <c r="M8835">
        <v>0.30385068405852589</v>
      </c>
      <c r="N8835">
        <v>0.18408231268624142</v>
      </c>
      <c r="O8835">
        <v>0.25671709969134981</v>
      </c>
      <c r="P8835">
        <v>0.25534990356388304</v>
      </c>
    </row>
    <row r="8836" spans="13:16">
      <c r="M8836">
        <v>0.2833614967794032</v>
      </c>
      <c r="N8836">
        <v>0.19835743895897309</v>
      </c>
      <c r="O8836">
        <v>0.24469804050192168</v>
      </c>
      <c r="P8836">
        <v>0.27358302375970212</v>
      </c>
    </row>
    <row r="8837" spans="13:16">
      <c r="M8837">
        <v>0.28728440326366406</v>
      </c>
      <c r="N8837">
        <v>0.18348291586220239</v>
      </c>
      <c r="O8837">
        <v>0.27327884522664447</v>
      </c>
      <c r="P8837">
        <v>0.25595383564748908</v>
      </c>
    </row>
    <row r="8838" spans="13:16">
      <c r="M8838">
        <v>0.27879014185023876</v>
      </c>
      <c r="N8838">
        <v>0.18884022825697175</v>
      </c>
      <c r="O8838">
        <v>0.27088611338028912</v>
      </c>
      <c r="P8838">
        <v>0.26148351651250024</v>
      </c>
    </row>
    <row r="8839" spans="13:16">
      <c r="M8839">
        <v>0.26330865106185253</v>
      </c>
      <c r="N8839">
        <v>0.19191014928929417</v>
      </c>
      <c r="O8839">
        <v>0.27226141018208455</v>
      </c>
      <c r="P8839">
        <v>0.2725197894667688</v>
      </c>
    </row>
    <row r="8840" spans="13:16">
      <c r="M8840">
        <v>0.27514531799439423</v>
      </c>
      <c r="N8840">
        <v>0.18473946756137025</v>
      </c>
      <c r="O8840">
        <v>0.27835831445899212</v>
      </c>
      <c r="P8840">
        <v>0.26175689998524343</v>
      </c>
    </row>
    <row r="8841" spans="13:16">
      <c r="M8841">
        <v>0.29899182264932972</v>
      </c>
      <c r="N8841">
        <v>0.18256165175997036</v>
      </c>
      <c r="O8841">
        <v>0.24087275871620639</v>
      </c>
      <c r="P8841">
        <v>0.2775737668744937</v>
      </c>
    </row>
    <row r="8842" spans="13:16">
      <c r="M8842">
        <v>0.29603675703472138</v>
      </c>
      <c r="N8842">
        <v>0.18094294593394555</v>
      </c>
      <c r="O8842">
        <v>0.27644408694165973</v>
      </c>
      <c r="P8842">
        <v>0.24657621008967329</v>
      </c>
    </row>
    <row r="8843" spans="13:16">
      <c r="M8843">
        <v>0.29673197732688544</v>
      </c>
      <c r="N8843">
        <v>0.17980587017761071</v>
      </c>
      <c r="O8843">
        <v>0.25951601493717852</v>
      </c>
      <c r="P8843">
        <v>0.26394613755832536</v>
      </c>
    </row>
    <row r="8844" spans="13:16">
      <c r="M8844">
        <v>0.29806013765381334</v>
      </c>
      <c r="N8844">
        <v>0.19721894934759152</v>
      </c>
      <c r="O8844">
        <v>0.22859672058599462</v>
      </c>
      <c r="P8844">
        <v>0.2761241924126005</v>
      </c>
    </row>
    <row r="8845" spans="13:16">
      <c r="M8845">
        <v>0.26626100557659005</v>
      </c>
      <c r="N8845">
        <v>0.19770505728024093</v>
      </c>
      <c r="O8845">
        <v>0.27197531256223467</v>
      </c>
      <c r="P8845">
        <v>0.26405862458093438</v>
      </c>
    </row>
    <row r="8846" spans="13:16">
      <c r="M8846">
        <v>0.32032470888880887</v>
      </c>
      <c r="N8846">
        <v>0.18450864217054985</v>
      </c>
      <c r="O8846">
        <v>0.22720686638853996</v>
      </c>
      <c r="P8846">
        <v>0.2679597825521014</v>
      </c>
    </row>
    <row r="8847" spans="13:16">
      <c r="M8847">
        <v>0.32658383920993528</v>
      </c>
      <c r="N8847">
        <v>0.18736799115774713</v>
      </c>
      <c r="O8847">
        <v>0.24542395353003268</v>
      </c>
      <c r="P8847">
        <v>0.24062421610228479</v>
      </c>
    </row>
    <row r="8848" spans="13:16">
      <c r="M8848">
        <v>0.2920620868479748</v>
      </c>
      <c r="N8848">
        <v>0.18798200583345578</v>
      </c>
      <c r="O8848">
        <v>0.25829010612868908</v>
      </c>
      <c r="P8848">
        <v>0.26166580118988048</v>
      </c>
    </row>
    <row r="8849" spans="13:16">
      <c r="M8849">
        <v>0.27991247264937352</v>
      </c>
      <c r="N8849">
        <v>0.18333493386989691</v>
      </c>
      <c r="O8849">
        <v>0.25969975388504024</v>
      </c>
      <c r="P8849">
        <v>0.27705283959568922</v>
      </c>
    </row>
    <row r="8850" spans="13:16">
      <c r="M8850">
        <v>0.28589821435082147</v>
      </c>
      <c r="N8850">
        <v>0.20034493942870515</v>
      </c>
      <c r="O8850">
        <v>0.24994570037906966</v>
      </c>
      <c r="P8850">
        <v>0.2638111458414038</v>
      </c>
    </row>
    <row r="8851" spans="13:16">
      <c r="M8851">
        <v>0.30403723147050637</v>
      </c>
      <c r="N8851">
        <v>0.18235456096139774</v>
      </c>
      <c r="O8851">
        <v>0.25929444986058003</v>
      </c>
      <c r="P8851">
        <v>0.25431375770751569</v>
      </c>
    </row>
    <row r="8852" spans="13:16">
      <c r="M8852">
        <v>0.31194074861977755</v>
      </c>
      <c r="N8852">
        <v>0.18496892424013564</v>
      </c>
      <c r="O8852">
        <v>0.2570442587154656</v>
      </c>
      <c r="P8852">
        <v>0.24604606842462115</v>
      </c>
    </row>
    <row r="8853" spans="13:16">
      <c r="M8853">
        <v>0.27002484505351215</v>
      </c>
      <c r="N8853">
        <v>0.1988464771715614</v>
      </c>
      <c r="O8853">
        <v>0.26847429681893831</v>
      </c>
      <c r="P8853">
        <v>0.26265438095598809</v>
      </c>
    </row>
    <row r="8854" spans="13:16">
      <c r="M8854">
        <v>0.30808833245210254</v>
      </c>
      <c r="N8854">
        <v>0.19962298868708558</v>
      </c>
      <c r="O8854">
        <v>0.21145246414842989</v>
      </c>
      <c r="P8854">
        <v>0.28083621471238202</v>
      </c>
    </row>
    <row r="8855" spans="13:16">
      <c r="M8855">
        <v>0.28010343500845369</v>
      </c>
      <c r="N8855">
        <v>0.18963787284919392</v>
      </c>
      <c r="O8855">
        <v>0.27876711978833379</v>
      </c>
      <c r="P8855">
        <v>0.25149157235401853</v>
      </c>
    </row>
    <row r="8856" spans="13:16">
      <c r="M8856">
        <v>0.28739880608307194</v>
      </c>
      <c r="N8856">
        <v>0.18441876893286127</v>
      </c>
      <c r="O8856">
        <v>0.24264832058955133</v>
      </c>
      <c r="P8856">
        <v>0.28553410439451549</v>
      </c>
    </row>
    <row r="8857" spans="13:16">
      <c r="M8857">
        <v>0.27248104632814835</v>
      </c>
      <c r="N8857">
        <v>0.19109925388151114</v>
      </c>
      <c r="O8857">
        <v>0.27956743472140894</v>
      </c>
      <c r="P8857">
        <v>0.25685226506893155</v>
      </c>
    </row>
    <row r="8858" spans="13:16">
      <c r="M8858">
        <v>0.32000244646902748</v>
      </c>
      <c r="N8858">
        <v>0.18032275970063208</v>
      </c>
      <c r="O8858">
        <v>0.24512470276683082</v>
      </c>
      <c r="P8858">
        <v>0.25455009106350956</v>
      </c>
    </row>
    <row r="8859" spans="13:16">
      <c r="M8859">
        <v>0.31573611242411886</v>
      </c>
      <c r="N8859">
        <v>0.16738405931809702</v>
      </c>
      <c r="O8859">
        <v>0.27344675596444129</v>
      </c>
      <c r="P8859">
        <v>0.24343307229334279</v>
      </c>
    </row>
    <row r="8860" spans="13:16">
      <c r="M8860">
        <v>0.31647648258651917</v>
      </c>
      <c r="N8860">
        <v>0.1985934188904199</v>
      </c>
      <c r="O8860">
        <v>0.24151921355469871</v>
      </c>
      <c r="P8860">
        <v>0.24341088496836216</v>
      </c>
    </row>
    <row r="8861" spans="13:16">
      <c r="M8861">
        <v>0.31024756654146302</v>
      </c>
      <c r="N8861">
        <v>0.19290712013509806</v>
      </c>
      <c r="O8861">
        <v>0.21835086671003506</v>
      </c>
      <c r="P8861">
        <v>0.27849444661340395</v>
      </c>
    </row>
    <row r="8862" spans="13:16">
      <c r="M8862">
        <v>0.30790012720122678</v>
      </c>
      <c r="N8862">
        <v>0.17964117541599245</v>
      </c>
      <c r="O8862">
        <v>0.2550137199535441</v>
      </c>
      <c r="P8862">
        <v>0.25744497742923678</v>
      </c>
    </row>
    <row r="8863" spans="13:16">
      <c r="M8863">
        <v>0.27584650594943411</v>
      </c>
      <c r="N8863">
        <v>0.20562142812598452</v>
      </c>
      <c r="O8863">
        <v>0.23234304276003123</v>
      </c>
      <c r="P8863">
        <v>0.28618902316455019</v>
      </c>
    </row>
    <row r="8864" spans="13:16">
      <c r="M8864">
        <v>0.2801077808703254</v>
      </c>
      <c r="N8864">
        <v>0.19753800510408792</v>
      </c>
      <c r="O8864">
        <v>0.2523499020344982</v>
      </c>
      <c r="P8864">
        <v>0.27000431199108849</v>
      </c>
    </row>
    <row r="8865" spans="13:16">
      <c r="M8865">
        <v>0.31829478302715658</v>
      </c>
      <c r="N8865">
        <v>0.17461874749316028</v>
      </c>
      <c r="O8865">
        <v>0.24380359707703098</v>
      </c>
      <c r="P8865">
        <v>0.26328287240265219</v>
      </c>
    </row>
    <row r="8866" spans="13:16">
      <c r="M8866">
        <v>0.2834972321576984</v>
      </c>
      <c r="N8866">
        <v>0.20196421985857391</v>
      </c>
      <c r="O8866">
        <v>0.25518982447893984</v>
      </c>
      <c r="P8866">
        <v>0.25934872350478777</v>
      </c>
    </row>
    <row r="8867" spans="13:16">
      <c r="M8867">
        <v>0.26164890302803667</v>
      </c>
      <c r="N8867">
        <v>0.18886890260035402</v>
      </c>
      <c r="O8867">
        <v>0.28231715752575265</v>
      </c>
      <c r="P8867">
        <v>0.26716503684585674</v>
      </c>
    </row>
    <row r="8868" spans="13:16">
      <c r="M8868">
        <v>0.28495356977028152</v>
      </c>
      <c r="N8868">
        <v>0.17643044903231941</v>
      </c>
      <c r="O8868">
        <v>0.28117209891289069</v>
      </c>
      <c r="P8868">
        <v>0.25744388228450843</v>
      </c>
    </row>
    <row r="8869" spans="13:16">
      <c r="M8869">
        <v>0.28142671334829095</v>
      </c>
      <c r="N8869">
        <v>0.16395548103016166</v>
      </c>
      <c r="O8869">
        <v>0.31098786584536547</v>
      </c>
      <c r="P8869">
        <v>0.24362993977618169</v>
      </c>
    </row>
    <row r="8870" spans="13:16">
      <c r="M8870">
        <v>0.2865968949874344</v>
      </c>
      <c r="N8870">
        <v>0.16575305093548109</v>
      </c>
      <c r="O8870">
        <v>0.29689823742396032</v>
      </c>
      <c r="P8870">
        <v>0.25075181665312435</v>
      </c>
    </row>
    <row r="8871" spans="13:16">
      <c r="M8871">
        <v>0.27935784502457911</v>
      </c>
      <c r="N8871">
        <v>0.20359611013922924</v>
      </c>
      <c r="O8871">
        <v>0.24681009770649381</v>
      </c>
      <c r="P8871">
        <v>0.27023594712969784</v>
      </c>
    </row>
    <row r="8872" spans="13:16">
      <c r="M8872">
        <v>0.27388651031952849</v>
      </c>
      <c r="N8872">
        <v>0.19780954950051474</v>
      </c>
      <c r="O8872">
        <v>0.25970431405686573</v>
      </c>
      <c r="P8872">
        <v>0.26859962612309102</v>
      </c>
    </row>
    <row r="8873" spans="13:16">
      <c r="M8873">
        <v>0.28169276248173825</v>
      </c>
      <c r="N8873">
        <v>0.17420551485119587</v>
      </c>
      <c r="O8873">
        <v>0.27812074862803055</v>
      </c>
      <c r="P8873">
        <v>0.26598097403903537</v>
      </c>
    </row>
    <row r="8874" spans="13:16">
      <c r="M8874">
        <v>0.2947000479305224</v>
      </c>
      <c r="N8874">
        <v>0.17509536023700703</v>
      </c>
      <c r="O8874">
        <v>0.27198760538015154</v>
      </c>
      <c r="P8874">
        <v>0.258216986452319</v>
      </c>
    </row>
    <row r="8875" spans="13:16">
      <c r="M8875">
        <v>0.26888249673058739</v>
      </c>
      <c r="N8875">
        <v>0.18916184789734791</v>
      </c>
      <c r="O8875">
        <v>0.27075594873029402</v>
      </c>
      <c r="P8875">
        <v>0.27119970664177073</v>
      </c>
    </row>
    <row r="8876" spans="13:16">
      <c r="M8876">
        <v>0.29752162600008458</v>
      </c>
      <c r="N8876">
        <v>0.19568120555661708</v>
      </c>
      <c r="O8876">
        <v>0.240116712437807</v>
      </c>
      <c r="P8876">
        <v>0.26668045600549123</v>
      </c>
    </row>
    <row r="8877" spans="13:16">
      <c r="M8877">
        <v>0.27522205333667726</v>
      </c>
      <c r="N8877">
        <v>0.20580865255597225</v>
      </c>
      <c r="O8877">
        <v>0.24132663509539054</v>
      </c>
      <c r="P8877">
        <v>0.27764265901195995</v>
      </c>
    </row>
    <row r="8878" spans="13:16">
      <c r="M8878">
        <v>0.33832901035596891</v>
      </c>
      <c r="N8878">
        <v>0.16084428375010459</v>
      </c>
      <c r="O8878">
        <v>0.2445125628834017</v>
      </c>
      <c r="P8878">
        <v>0.25631414301052485</v>
      </c>
    </row>
    <row r="8879" spans="13:16">
      <c r="M8879">
        <v>0.29741123477235881</v>
      </c>
      <c r="N8879">
        <v>0.18440994386671344</v>
      </c>
      <c r="O8879">
        <v>0.24292158313794907</v>
      </c>
      <c r="P8879">
        <v>0.2752572382229786</v>
      </c>
    </row>
    <row r="8880" spans="13:16">
      <c r="M8880">
        <v>0.28359744694232247</v>
      </c>
      <c r="N8880">
        <v>0.20300931627474766</v>
      </c>
      <c r="O8880">
        <v>0.24948878932192683</v>
      </c>
      <c r="P8880">
        <v>0.26390444746100322</v>
      </c>
    </row>
    <row r="8881" spans="13:16">
      <c r="M8881">
        <v>0.27806825253092043</v>
      </c>
      <c r="N8881">
        <v>0.18207363201933213</v>
      </c>
      <c r="O8881">
        <v>0.2670536493058317</v>
      </c>
      <c r="P8881">
        <v>0.27280446614391579</v>
      </c>
    </row>
    <row r="8882" spans="13:16">
      <c r="M8882">
        <v>0.32399824589423171</v>
      </c>
      <c r="N8882">
        <v>0.1839277844071795</v>
      </c>
      <c r="O8882">
        <v>0.22060554988960643</v>
      </c>
      <c r="P8882">
        <v>0.2714684198089824</v>
      </c>
    </row>
    <row r="8883" spans="13:16">
      <c r="M8883">
        <v>0.33377374234728951</v>
      </c>
      <c r="N8883">
        <v>0.18854936543529702</v>
      </c>
      <c r="O8883">
        <v>0.21375005111347642</v>
      </c>
      <c r="P8883">
        <v>0.26392684110393699</v>
      </c>
    </row>
    <row r="8884" spans="13:16">
      <c r="M8884">
        <v>0.27965558865541368</v>
      </c>
      <c r="N8884">
        <v>0.18799583498768635</v>
      </c>
      <c r="O8884">
        <v>0.26729192473462882</v>
      </c>
      <c r="P8884">
        <v>0.26505665162227121</v>
      </c>
    </row>
    <row r="8885" spans="13:16">
      <c r="M8885">
        <v>0.29090496621609219</v>
      </c>
      <c r="N8885">
        <v>0.18109203058062825</v>
      </c>
      <c r="O8885">
        <v>0.27464228175180194</v>
      </c>
      <c r="P8885">
        <v>0.25336072145147764</v>
      </c>
    </row>
    <row r="8886" spans="13:16">
      <c r="M8886">
        <v>0.30156097434068935</v>
      </c>
      <c r="N8886">
        <v>0.18724395167906868</v>
      </c>
      <c r="O8886">
        <v>0.25600161506683722</v>
      </c>
      <c r="P8886">
        <v>0.25519345891340478</v>
      </c>
    </row>
    <row r="8887" spans="13:16">
      <c r="M8887">
        <v>0.28944270505643854</v>
      </c>
      <c r="N8887">
        <v>0.1832102329228171</v>
      </c>
      <c r="O8887">
        <v>0.27194881964765033</v>
      </c>
      <c r="P8887">
        <v>0.255398242373094</v>
      </c>
    </row>
    <row r="8888" spans="13:16">
      <c r="M8888">
        <v>0.29059228924495967</v>
      </c>
      <c r="N8888">
        <v>0.181106823957532</v>
      </c>
      <c r="O8888">
        <v>0.27251650947546469</v>
      </c>
      <c r="P8888">
        <v>0.25578437732204351</v>
      </c>
    </row>
    <row r="8889" spans="13:16">
      <c r="M8889">
        <v>0.27994053621440496</v>
      </c>
      <c r="N8889">
        <v>0.19883782339786957</v>
      </c>
      <c r="O8889">
        <v>0.23673214486446789</v>
      </c>
      <c r="P8889">
        <v>0.28448949552325753</v>
      </c>
    </row>
    <row r="8890" spans="13:16">
      <c r="M8890">
        <v>0.28401444133629133</v>
      </c>
      <c r="N8890">
        <v>0.1974744126328539</v>
      </c>
      <c r="O8890">
        <v>0.24771092634882383</v>
      </c>
      <c r="P8890">
        <v>0.27080021968203083</v>
      </c>
    </row>
    <row r="8891" spans="13:16">
      <c r="M8891">
        <v>0.31368877499387732</v>
      </c>
      <c r="N8891">
        <v>0.17797916549107262</v>
      </c>
      <c r="O8891">
        <v>0.26007971863226831</v>
      </c>
      <c r="P8891">
        <v>0.24825234088278159</v>
      </c>
    </row>
    <row r="8892" spans="13:16">
      <c r="M8892">
        <v>0.28263698930469333</v>
      </c>
      <c r="N8892">
        <v>0.191209435346478</v>
      </c>
      <c r="O8892">
        <v>0.23616050695954</v>
      </c>
      <c r="P8892">
        <v>0.28999306838928868</v>
      </c>
    </row>
    <row r="8893" spans="13:16">
      <c r="M8893">
        <v>0.28197548421877894</v>
      </c>
      <c r="N8893">
        <v>0.17939249180484204</v>
      </c>
      <c r="O8893">
        <v>0.26977590252864203</v>
      </c>
      <c r="P8893">
        <v>0.26885612144773707</v>
      </c>
    </row>
    <row r="8894" spans="13:16">
      <c r="M8894">
        <v>0.31692584247200828</v>
      </c>
      <c r="N8894">
        <v>0.15763002298301756</v>
      </c>
      <c r="O8894">
        <v>0.29356995576178013</v>
      </c>
      <c r="P8894">
        <v>0.23187417878319413</v>
      </c>
    </row>
    <row r="8895" spans="13:16">
      <c r="M8895">
        <v>0.26239664766532944</v>
      </c>
      <c r="N8895">
        <v>0.18454643231587789</v>
      </c>
      <c r="O8895">
        <v>0.29887429667411419</v>
      </c>
      <c r="P8895">
        <v>0.25418262334467834</v>
      </c>
    </row>
    <row r="8896" spans="13:16">
      <c r="M8896">
        <v>0.29322578761358697</v>
      </c>
      <c r="N8896">
        <v>0.18846906341565461</v>
      </c>
      <c r="O8896">
        <v>0.26079049831845141</v>
      </c>
      <c r="P8896">
        <v>0.25751465065230705</v>
      </c>
    </row>
    <row r="8897" spans="13:16">
      <c r="M8897">
        <v>0.28166309124590355</v>
      </c>
      <c r="N8897">
        <v>0.18858799983533164</v>
      </c>
      <c r="O8897">
        <v>0.25048690695072778</v>
      </c>
      <c r="P8897">
        <v>0.27926200196803702</v>
      </c>
    </row>
    <row r="8898" spans="13:16">
      <c r="M8898">
        <v>0.29962829433248778</v>
      </c>
      <c r="N8898">
        <v>0.17175423366350728</v>
      </c>
      <c r="O8898">
        <v>0.27232263724384392</v>
      </c>
      <c r="P8898">
        <v>0.25629483476016107</v>
      </c>
    </row>
    <row r="8899" spans="13:16">
      <c r="M8899">
        <v>0.29904719457886469</v>
      </c>
      <c r="N8899">
        <v>0.19001275803455911</v>
      </c>
      <c r="O8899">
        <v>0.2545352611227808</v>
      </c>
      <c r="P8899">
        <v>0.25640478626379543</v>
      </c>
    </row>
    <row r="8900" spans="13:16">
      <c r="M8900">
        <v>0.28382211228469917</v>
      </c>
      <c r="N8900">
        <v>0.18260116237800303</v>
      </c>
      <c r="O8900">
        <v>0.28396253032245172</v>
      </c>
      <c r="P8900">
        <v>0.24961419501484616</v>
      </c>
    </row>
    <row r="8901" spans="13:16">
      <c r="M8901">
        <v>0.29624065845972009</v>
      </c>
      <c r="N8901">
        <v>0.18581683163405799</v>
      </c>
      <c r="O8901">
        <v>0.27029148225493793</v>
      </c>
      <c r="P8901">
        <v>0.24765102765128399</v>
      </c>
    </row>
    <row r="8902" spans="13:16">
      <c r="M8902">
        <v>0.29640036022726546</v>
      </c>
      <c r="N8902">
        <v>0.18022788669168133</v>
      </c>
      <c r="O8902">
        <v>0.26622614882022966</v>
      </c>
      <c r="P8902">
        <v>0.25714560426082356</v>
      </c>
    </row>
    <row r="8903" spans="13:16">
      <c r="M8903">
        <v>0.30839594582038121</v>
      </c>
      <c r="N8903">
        <v>0.17318337421861554</v>
      </c>
      <c r="O8903">
        <v>0.24290697815281603</v>
      </c>
      <c r="P8903">
        <v>0.27551370180818718</v>
      </c>
    </row>
    <row r="8904" spans="13:16">
      <c r="M8904">
        <v>0.29321780535963121</v>
      </c>
      <c r="N8904">
        <v>0.20310963540789403</v>
      </c>
      <c r="O8904">
        <v>0.25156990188267081</v>
      </c>
      <c r="P8904">
        <v>0.25210265734980392</v>
      </c>
    </row>
    <row r="8905" spans="13:16">
      <c r="M8905">
        <v>0.28057295945240451</v>
      </c>
      <c r="N8905">
        <v>0.18845258052875696</v>
      </c>
      <c r="O8905">
        <v>0.24627828276770986</v>
      </c>
      <c r="P8905">
        <v>0.28469617725112867</v>
      </c>
    </row>
    <row r="8906" spans="13:16">
      <c r="M8906">
        <v>0.32400548689356601</v>
      </c>
      <c r="N8906">
        <v>0.18144468223143989</v>
      </c>
      <c r="O8906">
        <v>0.23672452323120008</v>
      </c>
      <c r="P8906">
        <v>0.25782530764379408</v>
      </c>
    </row>
    <row r="8907" spans="13:16">
      <c r="M8907">
        <v>0.31448150784872508</v>
      </c>
      <c r="N8907">
        <v>0.18968391265060691</v>
      </c>
      <c r="O8907">
        <v>0.22234425759597906</v>
      </c>
      <c r="P8907">
        <v>0.27349032190468886</v>
      </c>
    </row>
    <row r="8908" spans="13:16">
      <c r="M8908">
        <v>0.30601067815402755</v>
      </c>
      <c r="N8908">
        <v>0.18319382768568182</v>
      </c>
      <c r="O8908">
        <v>0.25229562019452023</v>
      </c>
      <c r="P8908">
        <v>0.25849987396577045</v>
      </c>
    </row>
    <row r="8909" spans="13:16">
      <c r="M8909">
        <v>0.29103414239339132</v>
      </c>
      <c r="N8909">
        <v>0.18305543863678059</v>
      </c>
      <c r="O8909">
        <v>0.27983573812078516</v>
      </c>
      <c r="P8909">
        <v>0.24607468084904299</v>
      </c>
    </row>
    <row r="8910" spans="13:16">
      <c r="M8910">
        <v>0.32148872753023311</v>
      </c>
      <c r="N8910">
        <v>0.1837794934823738</v>
      </c>
      <c r="O8910">
        <v>0.25206112579235074</v>
      </c>
      <c r="P8910">
        <v>0.2426706531950423</v>
      </c>
    </row>
    <row r="8911" spans="13:16">
      <c r="M8911">
        <v>0.31731967361968305</v>
      </c>
      <c r="N8911">
        <v>0.18894530111982202</v>
      </c>
      <c r="O8911">
        <v>0.23151010753341708</v>
      </c>
      <c r="P8911">
        <v>0.26222491772707773</v>
      </c>
    </row>
    <row r="8912" spans="13:16">
      <c r="M8912">
        <v>0.27010300997032205</v>
      </c>
      <c r="N8912">
        <v>0.18283922010237863</v>
      </c>
      <c r="O8912">
        <v>0.28556352561204013</v>
      </c>
      <c r="P8912">
        <v>0.26149424431525925</v>
      </c>
    </row>
    <row r="8913" spans="13:16">
      <c r="M8913">
        <v>0.32757272458603287</v>
      </c>
      <c r="N8913">
        <v>0.16920380724474338</v>
      </c>
      <c r="O8913">
        <v>0.2420499637104678</v>
      </c>
      <c r="P8913">
        <v>0.26117350445875592</v>
      </c>
    </row>
    <row r="8914" spans="13:16">
      <c r="M8914">
        <v>0.2939165346663099</v>
      </c>
      <c r="N8914">
        <v>0.17276505035575893</v>
      </c>
      <c r="O8914">
        <v>0.27037637550868021</v>
      </c>
      <c r="P8914">
        <v>0.26294203946925093</v>
      </c>
    </row>
    <row r="8915" spans="13:16">
      <c r="M8915">
        <v>0.32530097629627214</v>
      </c>
      <c r="N8915">
        <v>0.17589071896207092</v>
      </c>
      <c r="O8915">
        <v>0.24474422039849467</v>
      </c>
      <c r="P8915">
        <v>0.2540640843431623</v>
      </c>
    </row>
    <row r="8916" spans="13:16">
      <c r="M8916">
        <v>0.29139031632137885</v>
      </c>
      <c r="N8916">
        <v>0.17690155988439313</v>
      </c>
      <c r="O8916">
        <v>0.26640532245588799</v>
      </c>
      <c r="P8916">
        <v>0.26530280133833994</v>
      </c>
    </row>
    <row r="8917" spans="13:16">
      <c r="M8917">
        <v>0.28149473019958177</v>
      </c>
      <c r="N8917">
        <v>0.20240448209410913</v>
      </c>
      <c r="O8917">
        <v>0.26536386454998034</v>
      </c>
      <c r="P8917">
        <v>0.25073692315632867</v>
      </c>
    </row>
    <row r="8918" spans="13:16">
      <c r="M8918">
        <v>0.3227648831498971</v>
      </c>
      <c r="N8918">
        <v>0.17744438086838479</v>
      </c>
      <c r="O8918">
        <v>0.23539426675464289</v>
      </c>
      <c r="P8918">
        <v>0.2643964692270751</v>
      </c>
    </row>
    <row r="8919" spans="13:16">
      <c r="M8919">
        <v>0.3087429103292762</v>
      </c>
      <c r="N8919">
        <v>0.1790745269475234</v>
      </c>
      <c r="O8919">
        <v>0.25190336474421976</v>
      </c>
      <c r="P8919">
        <v>0.26027919797898064</v>
      </c>
    </row>
    <row r="8920" spans="13:16">
      <c r="M8920">
        <v>0.3104693925133577</v>
      </c>
      <c r="N8920">
        <v>0.1870286462575125</v>
      </c>
      <c r="O8920">
        <v>0.22983423482644375</v>
      </c>
      <c r="P8920">
        <v>0.27266772640268605</v>
      </c>
    </row>
    <row r="8921" spans="13:16">
      <c r="M8921">
        <v>0.31573528269545981</v>
      </c>
      <c r="N8921">
        <v>0.17746311446785026</v>
      </c>
      <c r="O8921">
        <v>0.23498475458209142</v>
      </c>
      <c r="P8921">
        <v>0.27181684825459851</v>
      </c>
    </row>
    <row r="8922" spans="13:16">
      <c r="M8922">
        <v>0.2851101054717845</v>
      </c>
      <c r="N8922">
        <v>0.19762318128044223</v>
      </c>
      <c r="O8922">
        <v>0.26417424848188409</v>
      </c>
      <c r="P8922">
        <v>0.25309246476588915</v>
      </c>
    </row>
    <row r="8923" spans="13:16">
      <c r="M8923">
        <v>0.30868955333616649</v>
      </c>
      <c r="N8923">
        <v>0.17551375330261104</v>
      </c>
      <c r="O8923">
        <v>0.26457524762638124</v>
      </c>
      <c r="P8923">
        <v>0.25122144573484118</v>
      </c>
    </row>
    <row r="8924" spans="13:16">
      <c r="M8924">
        <v>0.27591208212486384</v>
      </c>
      <c r="N8924">
        <v>0.19524161283174921</v>
      </c>
      <c r="O8924">
        <v>0.24069691256657663</v>
      </c>
      <c r="P8924">
        <v>0.28814939247681043</v>
      </c>
    </row>
    <row r="8925" spans="13:16">
      <c r="M8925">
        <v>0.27997601996577537</v>
      </c>
      <c r="N8925">
        <v>0.18371213134226391</v>
      </c>
      <c r="O8925">
        <v>0.27609728510011622</v>
      </c>
      <c r="P8925">
        <v>0.26021456359184453</v>
      </c>
    </row>
    <row r="8926" spans="13:16">
      <c r="M8926">
        <v>0.28397476258928961</v>
      </c>
      <c r="N8926">
        <v>0.19891180817258319</v>
      </c>
      <c r="O8926">
        <v>0.25625445534064095</v>
      </c>
      <c r="P8926">
        <v>0.26085897389748619</v>
      </c>
    </row>
    <row r="8927" spans="13:16">
      <c r="M8927">
        <v>0.3014204829206466</v>
      </c>
      <c r="N8927">
        <v>0.21081181399577656</v>
      </c>
      <c r="O8927">
        <v>0.20093058375178222</v>
      </c>
      <c r="P8927">
        <v>0.28683711933179468</v>
      </c>
    </row>
    <row r="8928" spans="13:16">
      <c r="M8928">
        <v>0.27597588577097582</v>
      </c>
      <c r="N8928">
        <v>0.1802402684276187</v>
      </c>
      <c r="O8928">
        <v>0.27393325845771643</v>
      </c>
      <c r="P8928">
        <v>0.26985058734368911</v>
      </c>
    </row>
    <row r="8929" spans="13:16">
      <c r="M8929">
        <v>0.29292211460051759</v>
      </c>
      <c r="N8929">
        <v>0.1792773476813008</v>
      </c>
      <c r="O8929">
        <v>0.24367785025768651</v>
      </c>
      <c r="P8929">
        <v>0.28412268746049496</v>
      </c>
    </row>
    <row r="8930" spans="13:16">
      <c r="M8930">
        <v>0.29146171660135717</v>
      </c>
      <c r="N8930">
        <v>0.18684977528383789</v>
      </c>
      <c r="O8930">
        <v>0.27208508969062661</v>
      </c>
      <c r="P8930">
        <v>0.24960341842417824</v>
      </c>
    </row>
    <row r="8931" spans="13:16">
      <c r="M8931">
        <v>0.28337886306401766</v>
      </c>
      <c r="N8931">
        <v>0.19663095146175993</v>
      </c>
      <c r="O8931">
        <v>0.24093331156497985</v>
      </c>
      <c r="P8931">
        <v>0.27905687390924261</v>
      </c>
    </row>
    <row r="8932" spans="13:16">
      <c r="M8932">
        <v>0.25777893936185003</v>
      </c>
      <c r="N8932">
        <v>0.1972207840240908</v>
      </c>
      <c r="O8932">
        <v>0.29037088518848747</v>
      </c>
      <c r="P8932">
        <v>0.25462939142557173</v>
      </c>
    </row>
    <row r="8933" spans="13:16">
      <c r="M8933">
        <v>0.28837541707322178</v>
      </c>
      <c r="N8933">
        <v>0.1856351265083146</v>
      </c>
      <c r="O8933">
        <v>0.27103841563341619</v>
      </c>
      <c r="P8933">
        <v>0.25495104078504749</v>
      </c>
    </row>
    <row r="8934" spans="13:16">
      <c r="M8934">
        <v>0.28051561354981108</v>
      </c>
      <c r="N8934">
        <v>0.19735039050153905</v>
      </c>
      <c r="O8934">
        <v>0.24134184993860314</v>
      </c>
      <c r="P8934">
        <v>0.28079214601004665</v>
      </c>
    </row>
    <row r="8935" spans="13:16">
      <c r="M8935">
        <v>0.28295083513402819</v>
      </c>
      <c r="N8935">
        <v>0.20681092050931618</v>
      </c>
      <c r="O8935">
        <v>0.24243978646065437</v>
      </c>
      <c r="P8935">
        <v>0.26779845789600121</v>
      </c>
    </row>
    <row r="8936" spans="13:16">
      <c r="M8936">
        <v>0.28299702166127427</v>
      </c>
      <c r="N8936">
        <v>0.17356140496313854</v>
      </c>
      <c r="O8936">
        <v>0.27588086176133503</v>
      </c>
      <c r="P8936">
        <v>0.26756071161425204</v>
      </c>
    </row>
    <row r="8937" spans="13:16">
      <c r="M8937">
        <v>0.29778890007044651</v>
      </c>
      <c r="N8937">
        <v>0.19360077016563412</v>
      </c>
      <c r="O8937">
        <v>0.24339807128530147</v>
      </c>
      <c r="P8937">
        <v>0.26521225847861779</v>
      </c>
    </row>
    <row r="8938" spans="13:16">
      <c r="M8938">
        <v>0.29735577696831339</v>
      </c>
      <c r="N8938">
        <v>0.18839203209710986</v>
      </c>
      <c r="O8938">
        <v>0.25712714554341204</v>
      </c>
      <c r="P8938">
        <v>0.25712504539116476</v>
      </c>
    </row>
    <row r="8939" spans="13:16">
      <c r="M8939">
        <v>0.28910589779181689</v>
      </c>
      <c r="N8939">
        <v>0.19786240966912141</v>
      </c>
      <c r="O8939">
        <v>0.24101299036552665</v>
      </c>
      <c r="P8939">
        <v>0.27201870217353508</v>
      </c>
    </row>
    <row r="8940" spans="13:16">
      <c r="M8940">
        <v>0.27545095299772526</v>
      </c>
      <c r="N8940">
        <v>0.1821113015289941</v>
      </c>
      <c r="O8940">
        <v>0.27098375063508651</v>
      </c>
      <c r="P8940">
        <v>0.27145399483819416</v>
      </c>
    </row>
    <row r="8941" spans="13:16">
      <c r="M8941">
        <v>0.26659986740186159</v>
      </c>
      <c r="N8941">
        <v>0.19379756781361526</v>
      </c>
      <c r="O8941">
        <v>0.26863373715562938</v>
      </c>
      <c r="P8941">
        <v>0.27096882762889363</v>
      </c>
    </row>
    <row r="8942" spans="13:16">
      <c r="M8942">
        <v>0.28226806340957361</v>
      </c>
      <c r="N8942">
        <v>0.19101030055514323</v>
      </c>
      <c r="O8942">
        <v>0.26794509819890594</v>
      </c>
      <c r="P8942">
        <v>0.25877653783637716</v>
      </c>
    </row>
    <row r="8943" spans="13:16">
      <c r="M8943">
        <v>0.27904499148380368</v>
      </c>
      <c r="N8943">
        <v>0.21370046632141046</v>
      </c>
      <c r="O8943">
        <v>0.23802691034166831</v>
      </c>
      <c r="P8943">
        <v>0.26922763185311754</v>
      </c>
    </row>
    <row r="8944" spans="13:16">
      <c r="M8944">
        <v>0.30303259086973422</v>
      </c>
      <c r="N8944">
        <v>0.19319715861825532</v>
      </c>
      <c r="O8944">
        <v>0.23227822955535099</v>
      </c>
      <c r="P8944">
        <v>0.27149202095665942</v>
      </c>
    </row>
    <row r="8945" spans="13:16">
      <c r="M8945">
        <v>0.28670976604076093</v>
      </c>
      <c r="N8945">
        <v>0.20397234495701597</v>
      </c>
      <c r="O8945">
        <v>0.24361105409229936</v>
      </c>
      <c r="P8945">
        <v>0.26570683490992386</v>
      </c>
    </row>
    <row r="8946" spans="13:16">
      <c r="M8946">
        <v>0.26668622650285023</v>
      </c>
      <c r="N8946">
        <v>0.19606682624596261</v>
      </c>
      <c r="O8946">
        <v>0.26832404978093011</v>
      </c>
      <c r="P8946">
        <v>0.26892289747025699</v>
      </c>
    </row>
    <row r="8947" spans="13:16">
      <c r="M8947">
        <v>0.2900900192123384</v>
      </c>
      <c r="N8947">
        <v>0.19115277972732769</v>
      </c>
      <c r="O8947">
        <v>0.25365413026042055</v>
      </c>
      <c r="P8947">
        <v>0.26510307079991319</v>
      </c>
    </row>
    <row r="8948" spans="13:16">
      <c r="M8948">
        <v>0.29088687738761071</v>
      </c>
      <c r="N8948">
        <v>0.16803847648696835</v>
      </c>
      <c r="O8948">
        <v>0.28981837226918972</v>
      </c>
      <c r="P8948">
        <v>0.25125627385623117</v>
      </c>
    </row>
    <row r="8949" spans="13:16">
      <c r="M8949">
        <v>0.31206822701610987</v>
      </c>
      <c r="N8949">
        <v>0.18849685136621727</v>
      </c>
      <c r="O8949">
        <v>0.24531518726155518</v>
      </c>
      <c r="P8949">
        <v>0.25411973435611779</v>
      </c>
    </row>
    <row r="8950" spans="13:16">
      <c r="M8950">
        <v>0.30982660109830779</v>
      </c>
      <c r="N8950">
        <v>0.1863657870266999</v>
      </c>
      <c r="O8950">
        <v>0.24088469035829121</v>
      </c>
      <c r="P8950">
        <v>0.26292292151670116</v>
      </c>
    </row>
    <row r="8951" spans="13:16">
      <c r="M8951">
        <v>0.30143328931452756</v>
      </c>
      <c r="N8951">
        <v>0.18030438382857261</v>
      </c>
      <c r="O8951">
        <v>0.26009344726398792</v>
      </c>
      <c r="P8951">
        <v>0.25816887959291185</v>
      </c>
    </row>
    <row r="8952" spans="13:16">
      <c r="M8952">
        <v>0.31660561293767708</v>
      </c>
      <c r="N8952">
        <v>0.17361284023652795</v>
      </c>
      <c r="O8952">
        <v>0.24521924962439998</v>
      </c>
      <c r="P8952">
        <v>0.26456229720139507</v>
      </c>
    </row>
    <row r="8953" spans="13:16">
      <c r="M8953">
        <v>0.31420520906954053</v>
      </c>
      <c r="N8953">
        <v>0.17105603362521843</v>
      </c>
      <c r="O8953">
        <v>0.26040608084758532</v>
      </c>
      <c r="P8953">
        <v>0.25433267645765584</v>
      </c>
    </row>
    <row r="8954" spans="13:16">
      <c r="M8954">
        <v>0.28180173149987786</v>
      </c>
      <c r="N8954">
        <v>0.20412220627496327</v>
      </c>
      <c r="O8954">
        <v>0.22113299780186232</v>
      </c>
      <c r="P8954">
        <v>0.29294306442329654</v>
      </c>
    </row>
    <row r="8955" spans="13:16">
      <c r="M8955">
        <v>0.29344629666068089</v>
      </c>
      <c r="N8955">
        <v>0.16506091610972412</v>
      </c>
      <c r="O8955">
        <v>0.28670211238700238</v>
      </c>
      <c r="P8955">
        <v>0.25479067484259255</v>
      </c>
    </row>
    <row r="8956" spans="13:16">
      <c r="M8956">
        <v>0.26634421883320447</v>
      </c>
      <c r="N8956">
        <v>0.19570603476009452</v>
      </c>
      <c r="O8956">
        <v>0.28302349366701057</v>
      </c>
      <c r="P8956">
        <v>0.25492625273969033</v>
      </c>
    </row>
    <row r="8957" spans="13:16">
      <c r="M8957">
        <v>0.28173692552070684</v>
      </c>
      <c r="N8957">
        <v>0.19518149948015215</v>
      </c>
      <c r="O8957">
        <v>0.24514329339616064</v>
      </c>
      <c r="P8957">
        <v>0.27793828160298034</v>
      </c>
    </row>
    <row r="8958" spans="13:16">
      <c r="M8958">
        <v>0.29075240344888531</v>
      </c>
      <c r="N8958">
        <v>0.1819237684809876</v>
      </c>
      <c r="O8958">
        <v>0.25215668179221262</v>
      </c>
      <c r="P8958">
        <v>0.27516714627791439</v>
      </c>
    </row>
    <row r="8959" spans="13:16">
      <c r="M8959">
        <v>0.3280345869187597</v>
      </c>
      <c r="N8959">
        <v>0.16933448929072639</v>
      </c>
      <c r="O8959">
        <v>0.2353012173950054</v>
      </c>
      <c r="P8959">
        <v>0.26732970639550835</v>
      </c>
    </row>
    <row r="8960" spans="13:16">
      <c r="M8960">
        <v>0.26622145211356418</v>
      </c>
      <c r="N8960">
        <v>0.19658518002029035</v>
      </c>
      <c r="O8960">
        <v>0.28442429949060999</v>
      </c>
      <c r="P8960">
        <v>0.25276906837553537</v>
      </c>
    </row>
    <row r="8961" spans="13:16">
      <c r="M8961">
        <v>0.28060882030777917</v>
      </c>
      <c r="N8961">
        <v>0.18432703215725471</v>
      </c>
      <c r="O8961">
        <v>0.25973547724075796</v>
      </c>
      <c r="P8961">
        <v>0.27532867029420816</v>
      </c>
    </row>
    <row r="8962" spans="13:16">
      <c r="M8962">
        <v>0.29839078618762166</v>
      </c>
      <c r="N8962">
        <v>0.1880670283295211</v>
      </c>
      <c r="O8962">
        <v>0.24096443319135927</v>
      </c>
      <c r="P8962">
        <v>0.27257775229149789</v>
      </c>
    </row>
    <row r="8963" spans="13:16">
      <c r="M8963">
        <v>0.28132563140274452</v>
      </c>
      <c r="N8963">
        <v>0.18744781452508297</v>
      </c>
      <c r="O8963">
        <v>0.25846385612088973</v>
      </c>
      <c r="P8963">
        <v>0.27276269795128283</v>
      </c>
    </row>
    <row r="8964" spans="13:16">
      <c r="M8964">
        <v>0.2800701676162386</v>
      </c>
      <c r="N8964">
        <v>0.18182795260469739</v>
      </c>
      <c r="O8964">
        <v>0.27372098827056723</v>
      </c>
      <c r="P8964">
        <v>0.26438089150849664</v>
      </c>
    </row>
    <row r="8965" spans="13:16">
      <c r="M8965">
        <v>0.27996730515789847</v>
      </c>
      <c r="N8965">
        <v>0.19136199868773973</v>
      </c>
      <c r="O8965">
        <v>0.26458979967751078</v>
      </c>
      <c r="P8965">
        <v>0.26408089647685096</v>
      </c>
    </row>
    <row r="8966" spans="13:16">
      <c r="M8966">
        <v>0.29748511027535302</v>
      </c>
      <c r="N8966">
        <v>0.19441644723301765</v>
      </c>
      <c r="O8966">
        <v>0.23984259981696049</v>
      </c>
      <c r="P8966">
        <v>0.26825584267466884</v>
      </c>
    </row>
    <row r="8967" spans="13:16">
      <c r="M8967">
        <v>0.28893721033859437</v>
      </c>
      <c r="N8967">
        <v>0.17654799281494207</v>
      </c>
      <c r="O8967">
        <v>0.2546510872213279</v>
      </c>
      <c r="P8967">
        <v>0.27986370962513568</v>
      </c>
    </row>
    <row r="8968" spans="13:16">
      <c r="M8968">
        <v>0.28390651002996131</v>
      </c>
      <c r="N8968">
        <v>0.17365586450647677</v>
      </c>
      <c r="O8968">
        <v>0.26464465946429416</v>
      </c>
      <c r="P8968">
        <v>0.27779296599926767</v>
      </c>
    </row>
    <row r="8969" spans="13:16">
      <c r="M8969">
        <v>0.29364774180163666</v>
      </c>
      <c r="N8969">
        <v>0.18947819106985986</v>
      </c>
      <c r="O8969">
        <v>0.25345593542614381</v>
      </c>
      <c r="P8969">
        <v>0.26341813170235978</v>
      </c>
    </row>
    <row r="8970" spans="13:16">
      <c r="M8970">
        <v>0.27825067656742453</v>
      </c>
      <c r="N8970">
        <v>0.19323278201939248</v>
      </c>
      <c r="O8970">
        <v>0.2482840162523319</v>
      </c>
      <c r="P8970">
        <v>0.28023252516085112</v>
      </c>
    </row>
    <row r="8971" spans="13:16">
      <c r="M8971">
        <v>0.31713399342329146</v>
      </c>
      <c r="N8971">
        <v>0.19075525890488876</v>
      </c>
      <c r="O8971">
        <v>0.2184791189328566</v>
      </c>
      <c r="P8971">
        <v>0.27363162873896313</v>
      </c>
    </row>
    <row r="8972" spans="13:16">
      <c r="M8972">
        <v>0.29388553817446206</v>
      </c>
      <c r="N8972">
        <v>0.19467609679675515</v>
      </c>
      <c r="O8972">
        <v>0.25098153800951795</v>
      </c>
      <c r="P8972">
        <v>0.26045682701926476</v>
      </c>
    </row>
    <row r="8973" spans="13:16">
      <c r="M8973">
        <v>0.29960033377136391</v>
      </c>
      <c r="N8973">
        <v>0.2032082235509706</v>
      </c>
      <c r="O8973">
        <v>0.23448386618741585</v>
      </c>
      <c r="P8973">
        <v>0.26270757649024967</v>
      </c>
    </row>
    <row r="8974" spans="13:16">
      <c r="M8974">
        <v>0.30546655470609396</v>
      </c>
      <c r="N8974">
        <v>0.17100301984608821</v>
      </c>
      <c r="O8974">
        <v>0.27717240915071356</v>
      </c>
      <c r="P8974">
        <v>0.24635801629710424</v>
      </c>
    </row>
    <row r="8975" spans="13:16">
      <c r="M8975">
        <v>0.30855334406686308</v>
      </c>
      <c r="N8975">
        <v>0.18953512921911553</v>
      </c>
      <c r="O8975">
        <v>0.23937255327619114</v>
      </c>
      <c r="P8975">
        <v>0.26253897343783011</v>
      </c>
    </row>
    <row r="8976" spans="13:16">
      <c r="M8976">
        <v>0.30339941641576462</v>
      </c>
      <c r="N8976">
        <v>0.18422366518877295</v>
      </c>
      <c r="O8976">
        <v>0.25017043057551375</v>
      </c>
      <c r="P8976">
        <v>0.2622064878199486</v>
      </c>
    </row>
    <row r="8977" spans="13:16">
      <c r="M8977">
        <v>0.2878695743477257</v>
      </c>
      <c r="N8977">
        <v>0.19487877064810905</v>
      </c>
      <c r="O8977">
        <v>0.24355541334637734</v>
      </c>
      <c r="P8977">
        <v>0.27369624165778783</v>
      </c>
    </row>
    <row r="8978" spans="13:16">
      <c r="M8978">
        <v>0.27058183786985313</v>
      </c>
      <c r="N8978">
        <v>0.17235538742108758</v>
      </c>
      <c r="O8978">
        <v>0.29843374818805934</v>
      </c>
      <c r="P8978">
        <v>0.25862902652100001</v>
      </c>
    </row>
    <row r="8979" spans="13:16">
      <c r="M8979">
        <v>0.27449533091229483</v>
      </c>
      <c r="N8979">
        <v>0.18736888694260426</v>
      </c>
      <c r="O8979">
        <v>0.28112389723737335</v>
      </c>
      <c r="P8979">
        <v>0.25701188490772758</v>
      </c>
    </row>
    <row r="8980" spans="13:16">
      <c r="M8980">
        <v>0.28718425239901574</v>
      </c>
      <c r="N8980">
        <v>0.19944434794148388</v>
      </c>
      <c r="O8980">
        <v>0.23308583294587923</v>
      </c>
      <c r="P8980">
        <v>0.28028556671362109</v>
      </c>
    </row>
    <row r="8981" spans="13:16">
      <c r="M8981">
        <v>0.31832342457857965</v>
      </c>
      <c r="N8981">
        <v>0.17097092224778657</v>
      </c>
      <c r="O8981">
        <v>0.24807505466555244</v>
      </c>
      <c r="P8981">
        <v>0.26263059850808135</v>
      </c>
    </row>
    <row r="8982" spans="13:16">
      <c r="M8982">
        <v>0.30225955901015156</v>
      </c>
      <c r="N8982">
        <v>0.17857164467333922</v>
      </c>
      <c r="O8982">
        <v>0.25787632389052145</v>
      </c>
      <c r="P8982">
        <v>0.26129247242598774</v>
      </c>
    </row>
    <row r="8983" spans="13:16">
      <c r="M8983">
        <v>0.27978459999336758</v>
      </c>
      <c r="N8983">
        <v>0.16751438090864285</v>
      </c>
      <c r="O8983">
        <v>0.29093541171289544</v>
      </c>
      <c r="P8983">
        <v>0.26176560738509425</v>
      </c>
    </row>
    <row r="8984" spans="13:16">
      <c r="M8984">
        <v>0.30952330500615854</v>
      </c>
      <c r="N8984">
        <v>0.18046970953882183</v>
      </c>
      <c r="O8984">
        <v>0.2602009589795119</v>
      </c>
      <c r="P8984">
        <v>0.24980602647550776</v>
      </c>
    </row>
    <row r="8985" spans="13:16">
      <c r="M8985">
        <v>0.28855432204098758</v>
      </c>
      <c r="N8985">
        <v>0.1800902781886157</v>
      </c>
      <c r="O8985">
        <v>0.26920436804331349</v>
      </c>
      <c r="P8985">
        <v>0.26215103172708326</v>
      </c>
    </row>
    <row r="8986" spans="13:16">
      <c r="M8986">
        <v>0.29004811755662629</v>
      </c>
      <c r="N8986">
        <v>0.18892330403188534</v>
      </c>
      <c r="O8986">
        <v>0.25439619041472861</v>
      </c>
      <c r="P8986">
        <v>0.26663238799675981</v>
      </c>
    </row>
    <row r="8987" spans="13:16">
      <c r="M8987">
        <v>0.29441887883983014</v>
      </c>
      <c r="N8987">
        <v>0.17153150599030795</v>
      </c>
      <c r="O8987">
        <v>0.2819559938423542</v>
      </c>
      <c r="P8987">
        <v>0.25209362132750762</v>
      </c>
    </row>
    <row r="8988" spans="13:16">
      <c r="M8988">
        <v>0.31372617288979932</v>
      </c>
      <c r="N8988">
        <v>0.1680096911306205</v>
      </c>
      <c r="O8988">
        <v>0.26628516558404808</v>
      </c>
      <c r="P8988">
        <v>0.25197897039553219</v>
      </c>
    </row>
    <row r="8989" spans="13:16">
      <c r="M8989">
        <v>0.27187925442727467</v>
      </c>
      <c r="N8989">
        <v>0.2168168815492369</v>
      </c>
      <c r="O8989">
        <v>0.2392865440676672</v>
      </c>
      <c r="P8989">
        <v>0.27201731995582124</v>
      </c>
    </row>
    <row r="8990" spans="13:16">
      <c r="M8990">
        <v>0.26935132563403763</v>
      </c>
      <c r="N8990">
        <v>0.18920254422655428</v>
      </c>
      <c r="O8990">
        <v>0.29816590089181227</v>
      </c>
      <c r="P8990">
        <v>0.2432802292475959</v>
      </c>
    </row>
    <row r="8991" spans="13:16">
      <c r="M8991">
        <v>0.27572647840409686</v>
      </c>
      <c r="N8991">
        <v>0.21038270340621373</v>
      </c>
      <c r="O8991">
        <v>0.24240929707010761</v>
      </c>
      <c r="P8991">
        <v>0.27148152111958168</v>
      </c>
    </row>
    <row r="8992" spans="13:16">
      <c r="M8992">
        <v>0.27722905950839671</v>
      </c>
      <c r="N8992">
        <v>0.1965802997803742</v>
      </c>
      <c r="O8992">
        <v>0.26067878873979133</v>
      </c>
      <c r="P8992">
        <v>0.26551185197143756</v>
      </c>
    </row>
    <row r="8993" spans="13:16">
      <c r="M8993">
        <v>0.27257359086773991</v>
      </c>
      <c r="N8993">
        <v>0.17179448782687476</v>
      </c>
      <c r="O8993">
        <v>0.29048994298334158</v>
      </c>
      <c r="P8993">
        <v>0.26514197832204384</v>
      </c>
    </row>
    <row r="8994" spans="13:16">
      <c r="M8994">
        <v>0.29294182394943535</v>
      </c>
      <c r="N8994">
        <v>0.17682666924723242</v>
      </c>
      <c r="O8994">
        <v>0.27740047324472944</v>
      </c>
      <c r="P8994">
        <v>0.25283103355860276</v>
      </c>
    </row>
    <row r="8995" spans="13:16">
      <c r="M8995">
        <v>0.30855960898616092</v>
      </c>
      <c r="N8995">
        <v>0.17288761798645147</v>
      </c>
      <c r="O8995">
        <v>0.26223563662357224</v>
      </c>
      <c r="P8995">
        <v>0.25631713640381532</v>
      </c>
    </row>
    <row r="8996" spans="13:16">
      <c r="M8996">
        <v>0.30643706292392076</v>
      </c>
      <c r="N8996">
        <v>0.18736509133540241</v>
      </c>
      <c r="O8996">
        <v>0.24982320195216473</v>
      </c>
      <c r="P8996">
        <v>0.25637464378851216</v>
      </c>
    </row>
    <row r="8997" spans="13:16">
      <c r="M8997">
        <v>0.32771163080164045</v>
      </c>
      <c r="N8997">
        <v>0.1581860803024242</v>
      </c>
      <c r="O8997">
        <v>0.27104755648219564</v>
      </c>
      <c r="P8997">
        <v>0.24305473241373965</v>
      </c>
    </row>
    <row r="8998" spans="13:16">
      <c r="M8998">
        <v>0.3091589493287123</v>
      </c>
      <c r="N8998">
        <v>0.18646956164493092</v>
      </c>
      <c r="O8998">
        <v>0.2496164321053729</v>
      </c>
      <c r="P8998">
        <v>0.25475505692098405</v>
      </c>
    </row>
    <row r="8999" spans="13:16">
      <c r="M8999">
        <v>0.29098753159902785</v>
      </c>
      <c r="N8999">
        <v>0.18248557113917896</v>
      </c>
      <c r="O8999">
        <v>0.25070521418995634</v>
      </c>
      <c r="P8999">
        <v>0.27582168307183696</v>
      </c>
    </row>
    <row r="9000" spans="13:16">
      <c r="M9000">
        <v>0.29332574375876874</v>
      </c>
      <c r="N9000">
        <v>0.18365812358904873</v>
      </c>
      <c r="O9000">
        <v>0.24921415408801717</v>
      </c>
      <c r="P9000">
        <v>0.27380197856416544</v>
      </c>
    </row>
    <row r="9001" spans="13:16">
      <c r="M9001">
        <v>0.30348707787144197</v>
      </c>
      <c r="N9001">
        <v>0.1705573044950639</v>
      </c>
      <c r="O9001">
        <v>0.27402407882187174</v>
      </c>
      <c r="P9001">
        <v>0.25193153881162245</v>
      </c>
    </row>
    <row r="9002" spans="13:16">
      <c r="M9002">
        <v>0.27178721196236738</v>
      </c>
      <c r="N9002">
        <v>0.19029595867104854</v>
      </c>
      <c r="O9002">
        <v>0.27350727868906138</v>
      </c>
      <c r="P9002">
        <v>0.26440955067752275</v>
      </c>
    </row>
    <row r="9003" spans="13:16">
      <c r="M9003">
        <v>0.31254556931344463</v>
      </c>
      <c r="N9003">
        <v>0.18523272336605021</v>
      </c>
      <c r="O9003">
        <v>0.24509731454708167</v>
      </c>
      <c r="P9003">
        <v>0.25712439277342342</v>
      </c>
    </row>
    <row r="9004" spans="13:16">
      <c r="M9004">
        <v>0.30150274617420314</v>
      </c>
      <c r="N9004">
        <v>0.17267925478295465</v>
      </c>
      <c r="O9004">
        <v>0.26981570152604262</v>
      </c>
      <c r="P9004">
        <v>0.25600229751679965</v>
      </c>
    </row>
    <row r="9005" spans="13:16">
      <c r="M9005">
        <v>0.28712138162050632</v>
      </c>
      <c r="N9005">
        <v>0.17944164548707428</v>
      </c>
      <c r="O9005">
        <v>0.26671816241816532</v>
      </c>
      <c r="P9005">
        <v>0.26671881047425411</v>
      </c>
    </row>
    <row r="9006" spans="13:16">
      <c r="M9006">
        <v>0.30171827362219328</v>
      </c>
      <c r="N9006">
        <v>0.18211380552569342</v>
      </c>
      <c r="O9006">
        <v>0.25621154074658647</v>
      </c>
      <c r="P9006">
        <v>0.25995638010552685</v>
      </c>
    </row>
    <row r="9007" spans="13:16">
      <c r="M9007">
        <v>0.27749707657948353</v>
      </c>
      <c r="N9007">
        <v>0.19373257282215614</v>
      </c>
      <c r="O9007">
        <v>0.25963501381965098</v>
      </c>
      <c r="P9007">
        <v>0.26913533677870938</v>
      </c>
    </row>
    <row r="9008" spans="13:16">
      <c r="M9008">
        <v>0.27803561455454762</v>
      </c>
      <c r="N9008">
        <v>0.16702273990967673</v>
      </c>
      <c r="O9008">
        <v>0.30122260868042738</v>
      </c>
      <c r="P9008">
        <v>0.25371903685534825</v>
      </c>
    </row>
    <row r="9009" spans="13:16">
      <c r="M9009">
        <v>0.27280175846157001</v>
      </c>
      <c r="N9009">
        <v>0.18020015017655741</v>
      </c>
      <c r="O9009">
        <v>0.29535311030366612</v>
      </c>
      <c r="P9009">
        <v>0.25164498105820643</v>
      </c>
    </row>
    <row r="9010" spans="13:16">
      <c r="M9010">
        <v>0.29080863254334294</v>
      </c>
      <c r="N9010">
        <v>0.20456262948586926</v>
      </c>
      <c r="O9010">
        <v>0.223603128525871</v>
      </c>
      <c r="P9010">
        <v>0.28102560944491684</v>
      </c>
    </row>
    <row r="9011" spans="13:16">
      <c r="M9011">
        <v>0.30609117592615992</v>
      </c>
      <c r="N9011">
        <v>0.19878862708178108</v>
      </c>
      <c r="O9011">
        <v>0.24064574807997113</v>
      </c>
      <c r="P9011">
        <v>0.25447444891208809</v>
      </c>
    </row>
    <row r="9012" spans="13:16">
      <c r="M9012">
        <v>0.28290836440466494</v>
      </c>
      <c r="N9012">
        <v>0.17386061833067293</v>
      </c>
      <c r="O9012">
        <v>0.28384742698829518</v>
      </c>
      <c r="P9012">
        <v>0.25938359027636682</v>
      </c>
    </row>
    <row r="9013" spans="13:16">
      <c r="M9013">
        <v>0.30223405346248833</v>
      </c>
      <c r="N9013">
        <v>0.1805711464977775</v>
      </c>
      <c r="O9013">
        <v>0.24982983689687438</v>
      </c>
      <c r="P9013">
        <v>0.26736496314285979</v>
      </c>
    </row>
    <row r="9014" spans="13:16">
      <c r="M9014">
        <v>0.27105782531062506</v>
      </c>
      <c r="N9014">
        <v>0.19724040792210895</v>
      </c>
      <c r="O9014">
        <v>0.26320407890714898</v>
      </c>
      <c r="P9014">
        <v>0.26849768786011707</v>
      </c>
    </row>
    <row r="9015" spans="13:16">
      <c r="M9015">
        <v>0.303280506407277</v>
      </c>
      <c r="N9015">
        <v>0.18369719708885168</v>
      </c>
      <c r="O9015">
        <v>0.24186085136930099</v>
      </c>
      <c r="P9015">
        <v>0.27116144513457024</v>
      </c>
    </row>
    <row r="9016" spans="13:16">
      <c r="M9016">
        <v>0.27684718172123846</v>
      </c>
      <c r="N9016">
        <v>0.18708120473507872</v>
      </c>
      <c r="O9016">
        <v>0.26428555326772529</v>
      </c>
      <c r="P9016">
        <v>0.27178606027595742</v>
      </c>
    </row>
    <row r="9017" spans="13:16">
      <c r="M9017">
        <v>0.29655459522971989</v>
      </c>
      <c r="N9017">
        <v>0.17363179472121174</v>
      </c>
      <c r="O9017">
        <v>0.25711653794035866</v>
      </c>
      <c r="P9017">
        <v>0.27269707210870969</v>
      </c>
    </row>
    <row r="9018" spans="13:16">
      <c r="M9018">
        <v>0.29150537247549063</v>
      </c>
      <c r="N9018">
        <v>0.17921934090184088</v>
      </c>
      <c r="O9018">
        <v>0.25681462946602857</v>
      </c>
      <c r="P9018">
        <v>0.27246065715663992</v>
      </c>
    </row>
    <row r="9019" spans="13:16">
      <c r="M9019">
        <v>0.29577003682094632</v>
      </c>
      <c r="N9019">
        <v>0.16004158821595438</v>
      </c>
      <c r="O9019">
        <v>0.30522073645208342</v>
      </c>
      <c r="P9019">
        <v>0.23896763851101588</v>
      </c>
    </row>
    <row r="9020" spans="13:16">
      <c r="M9020">
        <v>0.2949340878244352</v>
      </c>
      <c r="N9020">
        <v>0.18009460502479763</v>
      </c>
      <c r="O9020">
        <v>0.24359551825929118</v>
      </c>
      <c r="P9020">
        <v>0.28137578889147608</v>
      </c>
    </row>
    <row r="9021" spans="13:16">
      <c r="M9021">
        <v>0.30777814272422432</v>
      </c>
      <c r="N9021">
        <v>0.19035490753873485</v>
      </c>
      <c r="O9021">
        <v>0.24506159191034246</v>
      </c>
      <c r="P9021">
        <v>0.25680535782669839</v>
      </c>
    </row>
    <row r="9022" spans="13:16">
      <c r="M9022">
        <v>0.29287554207864913</v>
      </c>
      <c r="N9022">
        <v>0.19247370927561916</v>
      </c>
      <c r="O9022">
        <v>0.2531409031580909</v>
      </c>
      <c r="P9022">
        <v>0.26150984548764078</v>
      </c>
    </row>
    <row r="9023" spans="13:16">
      <c r="M9023">
        <v>0.29572419016157775</v>
      </c>
      <c r="N9023">
        <v>0.20125232218663264</v>
      </c>
      <c r="O9023">
        <v>0.24798443910386794</v>
      </c>
      <c r="P9023">
        <v>0.2550390485479217</v>
      </c>
    </row>
    <row r="9024" spans="13:16">
      <c r="M9024">
        <v>0.30505128591414987</v>
      </c>
      <c r="N9024">
        <v>0.18166094741749272</v>
      </c>
      <c r="O9024">
        <v>0.25098366409150324</v>
      </c>
      <c r="P9024">
        <v>0.26230410257685427</v>
      </c>
    </row>
    <row r="9025" spans="13:16">
      <c r="M9025">
        <v>0.27256492354709932</v>
      </c>
      <c r="N9025">
        <v>0.20587791627684474</v>
      </c>
      <c r="O9025">
        <v>0.25922591706160791</v>
      </c>
      <c r="P9025">
        <v>0.26233124311444789</v>
      </c>
    </row>
    <row r="9026" spans="13:16">
      <c r="M9026">
        <v>0.26763178421779171</v>
      </c>
      <c r="N9026">
        <v>0.19744635627658089</v>
      </c>
      <c r="O9026">
        <v>0.26349580744821294</v>
      </c>
      <c r="P9026">
        <v>0.27142605205741449</v>
      </c>
    </row>
    <row r="9027" spans="13:16">
      <c r="M9027">
        <v>0.30909298263055424</v>
      </c>
      <c r="N9027">
        <v>0.17960638205575075</v>
      </c>
      <c r="O9027">
        <v>0.23878602290153816</v>
      </c>
      <c r="P9027">
        <v>0.27251461241215674</v>
      </c>
    </row>
    <row r="9028" spans="13:16">
      <c r="M9028">
        <v>0.30330876512782412</v>
      </c>
      <c r="N9028">
        <v>0.18415581029244207</v>
      </c>
      <c r="O9028">
        <v>0.2695207237155467</v>
      </c>
      <c r="P9028">
        <v>0.24301470086418708</v>
      </c>
    </row>
    <row r="9029" spans="13:16">
      <c r="M9029">
        <v>0.28581123456411989</v>
      </c>
      <c r="N9029">
        <v>0.16883757958953338</v>
      </c>
      <c r="O9029">
        <v>0.29863728542571566</v>
      </c>
      <c r="P9029">
        <v>0.24671390042063099</v>
      </c>
    </row>
    <row r="9030" spans="13:16">
      <c r="M9030">
        <v>0.304618805403092</v>
      </c>
      <c r="N9030">
        <v>0.19415033804232515</v>
      </c>
      <c r="O9030">
        <v>0.23370741599232622</v>
      </c>
      <c r="P9030">
        <v>0.26752344056225663</v>
      </c>
    </row>
    <row r="9031" spans="13:16">
      <c r="M9031">
        <v>0.30648488321003747</v>
      </c>
      <c r="N9031">
        <v>0.18010803793038999</v>
      </c>
      <c r="O9031">
        <v>0.2502518454473156</v>
      </c>
      <c r="P9031">
        <v>0.26315523341225683</v>
      </c>
    </row>
    <row r="9032" spans="13:16">
      <c r="M9032">
        <v>0.29598315035299838</v>
      </c>
      <c r="N9032">
        <v>0.19315823132551038</v>
      </c>
      <c r="O9032">
        <v>0.23888732825391334</v>
      </c>
      <c r="P9032">
        <v>0.27197129006757786</v>
      </c>
    </row>
    <row r="9033" spans="13:16">
      <c r="M9033">
        <v>0.29196065351848</v>
      </c>
      <c r="N9033">
        <v>0.19769553871602294</v>
      </c>
      <c r="O9033">
        <v>0.25446675990586481</v>
      </c>
      <c r="P9033">
        <v>0.25587704785963228</v>
      </c>
    </row>
    <row r="9034" spans="13:16">
      <c r="M9034">
        <v>0.30413424236145115</v>
      </c>
      <c r="N9034">
        <v>0.18141581598521911</v>
      </c>
      <c r="O9034">
        <v>0.23535286367751704</v>
      </c>
      <c r="P9034">
        <v>0.27909707797581268</v>
      </c>
    </row>
    <row r="9035" spans="13:16">
      <c r="M9035">
        <v>0.28381589344081593</v>
      </c>
      <c r="N9035">
        <v>0.19321345864926745</v>
      </c>
      <c r="O9035">
        <v>0.25491900617270141</v>
      </c>
      <c r="P9035">
        <v>0.2680516417372153</v>
      </c>
    </row>
    <row r="9036" spans="13:16">
      <c r="M9036">
        <v>0.31391936064810444</v>
      </c>
      <c r="N9036">
        <v>0.16576954496569907</v>
      </c>
      <c r="O9036">
        <v>0.27178322184978554</v>
      </c>
      <c r="P9036">
        <v>0.24852787253641095</v>
      </c>
    </row>
    <row r="9037" spans="13:16">
      <c r="M9037">
        <v>0.29402253371445258</v>
      </c>
      <c r="N9037">
        <v>0.17365316774214615</v>
      </c>
      <c r="O9037">
        <v>0.27053255851109792</v>
      </c>
      <c r="P9037">
        <v>0.26179174003230338</v>
      </c>
    </row>
    <row r="9038" spans="13:16">
      <c r="M9038">
        <v>0.27732832882219077</v>
      </c>
      <c r="N9038">
        <v>0.18177133162505876</v>
      </c>
      <c r="O9038">
        <v>0.27089971635058674</v>
      </c>
      <c r="P9038">
        <v>0.27000062320216367</v>
      </c>
    </row>
    <row r="9039" spans="13:16">
      <c r="M9039">
        <v>0.28435081860709316</v>
      </c>
      <c r="N9039">
        <v>0.19110880033044514</v>
      </c>
      <c r="O9039">
        <v>0.27288245482008266</v>
      </c>
      <c r="P9039">
        <v>0.25165792624237909</v>
      </c>
    </row>
    <row r="9040" spans="13:16">
      <c r="M9040">
        <v>0.27823251956933276</v>
      </c>
      <c r="N9040">
        <v>0.18206929235103636</v>
      </c>
      <c r="O9040">
        <v>0.28122660252139903</v>
      </c>
      <c r="P9040">
        <v>0.25847158555823185</v>
      </c>
    </row>
    <row r="9041" spans="13:16">
      <c r="M9041">
        <v>0.28545410673083249</v>
      </c>
      <c r="N9041">
        <v>0.18774869614174969</v>
      </c>
      <c r="O9041">
        <v>0.26218779899178202</v>
      </c>
      <c r="P9041">
        <v>0.26460939813563583</v>
      </c>
    </row>
    <row r="9042" spans="13:16">
      <c r="M9042">
        <v>0.29603752462803573</v>
      </c>
      <c r="N9042">
        <v>0.19262453249848266</v>
      </c>
      <c r="O9042">
        <v>0.24154145685752948</v>
      </c>
      <c r="P9042">
        <v>0.26979648601595213</v>
      </c>
    </row>
    <row r="9043" spans="13:16">
      <c r="M9043">
        <v>0.28881610480822212</v>
      </c>
      <c r="N9043">
        <v>0.20135408232162211</v>
      </c>
      <c r="O9043">
        <v>0.2552143276996427</v>
      </c>
      <c r="P9043">
        <v>0.25461548517051291</v>
      </c>
    </row>
    <row r="9044" spans="13:16">
      <c r="M9044">
        <v>0.30191230902030036</v>
      </c>
      <c r="N9044">
        <v>0.18528561957030815</v>
      </c>
      <c r="O9044">
        <v>0.25870508890365573</v>
      </c>
      <c r="P9044">
        <v>0.25409698250573576</v>
      </c>
    </row>
    <row r="9045" spans="13:16">
      <c r="M9045">
        <v>0.3221582377491829</v>
      </c>
      <c r="N9045">
        <v>0.18615335677707107</v>
      </c>
      <c r="O9045">
        <v>0.22213863618982141</v>
      </c>
      <c r="P9045">
        <v>0.26954976928392455</v>
      </c>
    </row>
    <row r="9046" spans="13:16">
      <c r="M9046">
        <v>0.29159813727935008</v>
      </c>
      <c r="N9046">
        <v>0.19461397515966841</v>
      </c>
      <c r="O9046">
        <v>0.24120992671789521</v>
      </c>
      <c r="P9046">
        <v>0.27257796084308639</v>
      </c>
    </row>
    <row r="9047" spans="13:16">
      <c r="M9047">
        <v>0.28351638055805684</v>
      </c>
      <c r="N9047">
        <v>0.19045787186649654</v>
      </c>
      <c r="O9047">
        <v>0.25950346816939956</v>
      </c>
      <c r="P9047">
        <v>0.26652227940604695</v>
      </c>
    </row>
    <row r="9048" spans="13:16">
      <c r="M9048">
        <v>0.28855313366428981</v>
      </c>
      <c r="N9048">
        <v>0.1869054403798705</v>
      </c>
      <c r="O9048">
        <v>0.24526721515313429</v>
      </c>
      <c r="P9048">
        <v>0.27927421080270537</v>
      </c>
    </row>
    <row r="9049" spans="13:16">
      <c r="M9049">
        <v>0.27769696185588116</v>
      </c>
      <c r="N9049">
        <v>0.20022845997558622</v>
      </c>
      <c r="O9049">
        <v>0.24576394956534015</v>
      </c>
      <c r="P9049">
        <v>0.27631062860319255</v>
      </c>
    </row>
    <row r="9050" spans="13:16">
      <c r="M9050">
        <v>0.29576143353277629</v>
      </c>
      <c r="N9050">
        <v>0.20005086026991054</v>
      </c>
      <c r="O9050">
        <v>0.24059771098551649</v>
      </c>
      <c r="P9050">
        <v>0.26358999521179682</v>
      </c>
    </row>
    <row r="9051" spans="13:16">
      <c r="M9051">
        <v>0.27890547788652287</v>
      </c>
      <c r="N9051">
        <v>0.16903428847518218</v>
      </c>
      <c r="O9051">
        <v>0.29474646926535197</v>
      </c>
      <c r="P9051">
        <v>0.2573137643729429</v>
      </c>
    </row>
    <row r="9052" spans="13:16">
      <c r="M9052">
        <v>0.30808019917060425</v>
      </c>
      <c r="N9052">
        <v>0.17544427057620218</v>
      </c>
      <c r="O9052">
        <v>0.24895828152334956</v>
      </c>
      <c r="P9052">
        <v>0.26751724872984406</v>
      </c>
    </row>
    <row r="9053" spans="13:16">
      <c r="M9053">
        <v>0.28969354381436474</v>
      </c>
      <c r="N9053">
        <v>0.18706034779197056</v>
      </c>
      <c r="O9053">
        <v>0.26522607239583057</v>
      </c>
      <c r="P9053">
        <v>0.25802003599783435</v>
      </c>
    </row>
    <row r="9054" spans="13:16">
      <c r="M9054">
        <v>0.2946008641277818</v>
      </c>
      <c r="N9054">
        <v>0.17870532045669865</v>
      </c>
      <c r="O9054">
        <v>0.23917044157678219</v>
      </c>
      <c r="P9054">
        <v>0.28752337383873722</v>
      </c>
    </row>
    <row r="9055" spans="13:16">
      <c r="M9055">
        <v>0.27602653586944298</v>
      </c>
      <c r="N9055">
        <v>0.19526299826146687</v>
      </c>
      <c r="O9055">
        <v>0.26358795659198936</v>
      </c>
      <c r="P9055">
        <v>0.26512250927710079</v>
      </c>
    </row>
    <row r="9056" spans="13:16">
      <c r="M9056">
        <v>0.28477838615890649</v>
      </c>
      <c r="N9056">
        <v>0.19432938054636409</v>
      </c>
      <c r="O9056">
        <v>0.24658870246250433</v>
      </c>
      <c r="P9056">
        <v>0.27430353083222514</v>
      </c>
    </row>
    <row r="9057" spans="13:16">
      <c r="M9057">
        <v>0.31477680415562859</v>
      </c>
      <c r="N9057">
        <v>0.16722829426102664</v>
      </c>
      <c r="O9057">
        <v>0.26204015037912587</v>
      </c>
      <c r="P9057">
        <v>0.25595475120421879</v>
      </c>
    </row>
    <row r="9058" spans="13:16">
      <c r="M9058">
        <v>0.28771288710808962</v>
      </c>
      <c r="N9058">
        <v>0.19003170709183215</v>
      </c>
      <c r="O9058">
        <v>0.25415295437466462</v>
      </c>
      <c r="P9058">
        <v>0.26810245142541361</v>
      </c>
    </row>
    <row r="9059" spans="13:16">
      <c r="M9059">
        <v>0.2800693026170894</v>
      </c>
      <c r="N9059">
        <v>0.16923059252240627</v>
      </c>
      <c r="O9059">
        <v>0.29085672522023182</v>
      </c>
      <c r="P9059">
        <v>0.25984337964027243</v>
      </c>
    </row>
    <row r="9060" spans="13:16">
      <c r="M9060">
        <v>0.26653210553630308</v>
      </c>
      <c r="N9060">
        <v>0.19411298999270865</v>
      </c>
      <c r="O9060">
        <v>0.26521564660189301</v>
      </c>
      <c r="P9060">
        <v>0.27413925786909521</v>
      </c>
    </row>
    <row r="9061" spans="13:16">
      <c r="M9061">
        <v>0.290679921871208</v>
      </c>
      <c r="N9061">
        <v>0.1867106440934363</v>
      </c>
      <c r="O9061">
        <v>0.26403550821539978</v>
      </c>
      <c r="P9061">
        <v>0.25857392581995609</v>
      </c>
    </row>
    <row r="9062" spans="13:16">
      <c r="M9062">
        <v>0.26754089619514954</v>
      </c>
      <c r="N9062">
        <v>0.18909274290447203</v>
      </c>
      <c r="O9062">
        <v>0.28070777132639807</v>
      </c>
      <c r="P9062">
        <v>0.26265858957398047</v>
      </c>
    </row>
    <row r="9063" spans="13:16">
      <c r="M9063">
        <v>0.29573541708607598</v>
      </c>
      <c r="N9063">
        <v>0.17004728250996148</v>
      </c>
      <c r="O9063">
        <v>0.28493321648888847</v>
      </c>
      <c r="P9063">
        <v>0.24928408391507412</v>
      </c>
    </row>
    <row r="9064" spans="13:16">
      <c r="M9064">
        <v>0.31062892822244365</v>
      </c>
      <c r="N9064">
        <v>0.17863280616799421</v>
      </c>
      <c r="O9064">
        <v>0.24604193433814103</v>
      </c>
      <c r="P9064">
        <v>0.26469633127142111</v>
      </c>
    </row>
    <row r="9065" spans="13:16">
      <c r="M9065">
        <v>0.27608756237508209</v>
      </c>
      <c r="N9065">
        <v>0.20803115652081333</v>
      </c>
      <c r="O9065">
        <v>0.24031046453436997</v>
      </c>
      <c r="P9065">
        <v>0.27557081656973459</v>
      </c>
    </row>
    <row r="9066" spans="13:16">
      <c r="M9066">
        <v>0.28117548233421619</v>
      </c>
      <c r="N9066">
        <v>0.17375145218847893</v>
      </c>
      <c r="O9066">
        <v>0.27806033344606135</v>
      </c>
      <c r="P9066">
        <v>0.26701273203124337</v>
      </c>
    </row>
    <row r="9067" spans="13:16">
      <c r="M9067">
        <v>0.29039329043692486</v>
      </c>
      <c r="N9067">
        <v>0.17955134673000614</v>
      </c>
      <c r="O9067">
        <v>0.24915367334741104</v>
      </c>
      <c r="P9067">
        <v>0.28090168948565797</v>
      </c>
    </row>
    <row r="9068" spans="13:16">
      <c r="M9068">
        <v>0.27802071560148911</v>
      </c>
      <c r="N9068">
        <v>0.20122217989875962</v>
      </c>
      <c r="O9068">
        <v>0.24723236276907923</v>
      </c>
      <c r="P9068">
        <v>0.27352474173067198</v>
      </c>
    </row>
    <row r="9069" spans="13:16">
      <c r="M9069">
        <v>0.27166652098673061</v>
      </c>
      <c r="N9069">
        <v>0.20989634419851549</v>
      </c>
      <c r="O9069">
        <v>0.25080110016206519</v>
      </c>
      <c r="P9069">
        <v>0.26763603465268859</v>
      </c>
    </row>
    <row r="9070" spans="13:16">
      <c r="M9070">
        <v>0.2757283110562232</v>
      </c>
      <c r="N9070">
        <v>0.19547411004726165</v>
      </c>
      <c r="O9070">
        <v>0.26818271690105322</v>
      </c>
      <c r="P9070">
        <v>0.26061486199546191</v>
      </c>
    </row>
    <row r="9071" spans="13:16">
      <c r="M9071">
        <v>0.27845317740689229</v>
      </c>
      <c r="N9071">
        <v>0.18493716433098215</v>
      </c>
      <c r="O9071">
        <v>0.28318024260473329</v>
      </c>
      <c r="P9071">
        <v>0.25342941565739241</v>
      </c>
    </row>
    <row r="9072" spans="13:16">
      <c r="M9072">
        <v>0.29480133570185069</v>
      </c>
      <c r="N9072">
        <v>0.19141913153352516</v>
      </c>
      <c r="O9072">
        <v>0.21409673402118287</v>
      </c>
      <c r="P9072">
        <v>0.29968279874344145</v>
      </c>
    </row>
    <row r="9073" spans="13:16">
      <c r="M9073">
        <v>0.28662422981945657</v>
      </c>
      <c r="N9073">
        <v>0.19033160418069064</v>
      </c>
      <c r="O9073">
        <v>0.2597505972167522</v>
      </c>
      <c r="P9073">
        <v>0.26329356878310045</v>
      </c>
    </row>
    <row r="9074" spans="13:16">
      <c r="M9074">
        <v>0.28560131167748054</v>
      </c>
      <c r="N9074">
        <v>0.20687585436790995</v>
      </c>
      <c r="O9074">
        <v>0.24804622910086321</v>
      </c>
      <c r="P9074">
        <v>0.2594766048537463</v>
      </c>
    </row>
    <row r="9075" spans="13:16">
      <c r="M9075">
        <v>0.31417251914338823</v>
      </c>
      <c r="N9075">
        <v>0.18675810824871825</v>
      </c>
      <c r="O9075">
        <v>0.23807359923746588</v>
      </c>
      <c r="P9075">
        <v>0.26099577337042756</v>
      </c>
    </row>
    <row r="9076" spans="13:16">
      <c r="M9076">
        <v>0.26536200538734206</v>
      </c>
      <c r="N9076">
        <v>0.18802216302852487</v>
      </c>
      <c r="O9076">
        <v>0.27679127676318788</v>
      </c>
      <c r="P9076">
        <v>0.26982455482094514</v>
      </c>
    </row>
    <row r="9077" spans="13:16">
      <c r="M9077">
        <v>0.31476443033736207</v>
      </c>
      <c r="N9077">
        <v>0.19663370243019523</v>
      </c>
      <c r="O9077">
        <v>0.21795686081078078</v>
      </c>
      <c r="P9077">
        <v>0.27064500642166195</v>
      </c>
    </row>
    <row r="9078" spans="13:16">
      <c r="M9078">
        <v>0.30833850649265149</v>
      </c>
      <c r="N9078">
        <v>0.18320507953675347</v>
      </c>
      <c r="O9078">
        <v>0.25406410142467689</v>
      </c>
      <c r="P9078">
        <v>0.25439231254591804</v>
      </c>
    </row>
    <row r="9079" spans="13:16">
      <c r="M9079">
        <v>0.27862082578712682</v>
      </c>
      <c r="N9079">
        <v>0.20459883242372853</v>
      </c>
      <c r="O9079">
        <v>0.24277594249233855</v>
      </c>
      <c r="P9079">
        <v>0.27400439929680603</v>
      </c>
    </row>
    <row r="9080" spans="13:16">
      <c r="M9080">
        <v>0.27896337501419716</v>
      </c>
      <c r="N9080">
        <v>0.18080896760951751</v>
      </c>
      <c r="O9080">
        <v>0.28655826843611337</v>
      </c>
      <c r="P9080">
        <v>0.25366938894017199</v>
      </c>
    </row>
    <row r="9081" spans="13:16">
      <c r="M9081">
        <v>0.29684216019977983</v>
      </c>
      <c r="N9081">
        <v>0.18711893622802075</v>
      </c>
      <c r="O9081">
        <v>0.26218159213464887</v>
      </c>
      <c r="P9081">
        <v>0.25385731143755058</v>
      </c>
    </row>
    <row r="9082" spans="13:16">
      <c r="M9082">
        <v>0.31143515159280583</v>
      </c>
      <c r="N9082">
        <v>0.1812259811677305</v>
      </c>
      <c r="O9082">
        <v>0.23408675047716271</v>
      </c>
      <c r="P9082">
        <v>0.27325211676230082</v>
      </c>
    </row>
    <row r="9083" spans="13:16">
      <c r="M9083">
        <v>0.27139495851121759</v>
      </c>
      <c r="N9083">
        <v>0.20454328569795185</v>
      </c>
      <c r="O9083">
        <v>0.24756045520717582</v>
      </c>
      <c r="P9083">
        <v>0.2765013005836548</v>
      </c>
    </row>
    <row r="9084" spans="13:16">
      <c r="M9084">
        <v>0.28351652190788101</v>
      </c>
      <c r="N9084">
        <v>0.17203312018197139</v>
      </c>
      <c r="O9084">
        <v>0.28938321296182068</v>
      </c>
      <c r="P9084">
        <v>0.25506714494832694</v>
      </c>
    </row>
    <row r="9085" spans="13:16">
      <c r="M9085">
        <v>0.30693349206297604</v>
      </c>
      <c r="N9085">
        <v>0.18320698355280984</v>
      </c>
      <c r="O9085">
        <v>0.24703586356346402</v>
      </c>
      <c r="P9085">
        <v>0.26282366082074998</v>
      </c>
    </row>
    <row r="9086" spans="13:16">
      <c r="M9086">
        <v>0.28519468109141416</v>
      </c>
      <c r="N9086">
        <v>0.18593773826301754</v>
      </c>
      <c r="O9086">
        <v>0.26350867679909856</v>
      </c>
      <c r="P9086">
        <v>0.26535890384646954</v>
      </c>
    </row>
    <row r="9087" spans="13:16">
      <c r="M9087">
        <v>0.29428823213569499</v>
      </c>
      <c r="N9087">
        <v>0.17754545120972393</v>
      </c>
      <c r="O9087">
        <v>0.27578868604701268</v>
      </c>
      <c r="P9087">
        <v>0.2523776306075684</v>
      </c>
    </row>
    <row r="9088" spans="13:16">
      <c r="M9088">
        <v>0.2893238426620599</v>
      </c>
      <c r="N9088">
        <v>0.19140907967311679</v>
      </c>
      <c r="O9088">
        <v>0.27214412090282175</v>
      </c>
      <c r="P9088">
        <v>0.24712295676200163</v>
      </c>
    </row>
    <row r="9089" spans="13:16">
      <c r="M9089">
        <v>0.30389252546407691</v>
      </c>
      <c r="N9089">
        <v>0.18062301697582062</v>
      </c>
      <c r="O9089">
        <v>0.25512375025444461</v>
      </c>
      <c r="P9089">
        <v>0.2603607073056578</v>
      </c>
    </row>
    <row r="9090" spans="13:16">
      <c r="M9090">
        <v>0.28963608743723973</v>
      </c>
      <c r="N9090">
        <v>0.18272493918779711</v>
      </c>
      <c r="O9090">
        <v>0.26887652613448876</v>
      </c>
      <c r="P9090">
        <v>0.25876244724047442</v>
      </c>
    </row>
    <row r="9091" spans="13:16">
      <c r="M9091">
        <v>0.2945563144612704</v>
      </c>
      <c r="N9091">
        <v>0.19241850504470581</v>
      </c>
      <c r="O9091">
        <v>0.24364583215411761</v>
      </c>
      <c r="P9091">
        <v>0.26937934833990618</v>
      </c>
    </row>
    <row r="9092" spans="13:16">
      <c r="M9092">
        <v>0.29903109660802574</v>
      </c>
      <c r="N9092">
        <v>0.17288991707629364</v>
      </c>
      <c r="O9092">
        <v>0.25460937673412176</v>
      </c>
      <c r="P9092">
        <v>0.27346960958155891</v>
      </c>
    </row>
    <row r="9093" spans="13:16">
      <c r="M9093">
        <v>0.30150105304495883</v>
      </c>
      <c r="N9093">
        <v>0.18727210742442432</v>
      </c>
      <c r="O9093">
        <v>0.24516433642529506</v>
      </c>
      <c r="P9093">
        <v>0.26606250310532181</v>
      </c>
    </row>
    <row r="9094" spans="13:16">
      <c r="M9094">
        <v>0.26961285326932538</v>
      </c>
      <c r="N9094">
        <v>0.21425483904773129</v>
      </c>
      <c r="O9094">
        <v>0.24947986333396466</v>
      </c>
      <c r="P9094">
        <v>0.26665244434897867</v>
      </c>
    </row>
    <row r="9095" spans="13:16">
      <c r="M9095">
        <v>0.28018631147619222</v>
      </c>
      <c r="N9095">
        <v>0.18271759239671712</v>
      </c>
      <c r="O9095">
        <v>0.26763407182369564</v>
      </c>
      <c r="P9095">
        <v>0.269462024303395</v>
      </c>
    </row>
    <row r="9096" spans="13:16">
      <c r="M9096">
        <v>0.29702932696587786</v>
      </c>
      <c r="N9096">
        <v>0.19518130039943912</v>
      </c>
      <c r="O9096">
        <v>0.23344300074034116</v>
      </c>
      <c r="P9096">
        <v>0.27434637189434186</v>
      </c>
    </row>
    <row r="9097" spans="13:16">
      <c r="M9097">
        <v>0.29904387559365725</v>
      </c>
      <c r="N9097">
        <v>0.17378641310000686</v>
      </c>
      <c r="O9097">
        <v>0.26610174399397474</v>
      </c>
      <c r="P9097">
        <v>0.26106796731236115</v>
      </c>
    </row>
    <row r="9098" spans="13:16">
      <c r="M9098">
        <v>0.3019739155877188</v>
      </c>
      <c r="N9098">
        <v>0.1906876703325486</v>
      </c>
      <c r="O9098">
        <v>0.25714557685701206</v>
      </c>
      <c r="P9098">
        <v>0.25019283722272045</v>
      </c>
    </row>
    <row r="9099" spans="13:16">
      <c r="M9099">
        <v>0.27149819657627716</v>
      </c>
      <c r="N9099">
        <v>0.18669187708584725</v>
      </c>
      <c r="O9099">
        <v>0.27872362007840307</v>
      </c>
      <c r="P9099">
        <v>0.26308630625947255</v>
      </c>
    </row>
    <row r="9100" spans="13:16">
      <c r="M9100">
        <v>0.27966979597210773</v>
      </c>
      <c r="N9100">
        <v>0.19809191467346382</v>
      </c>
      <c r="O9100">
        <v>0.26331959875238581</v>
      </c>
      <c r="P9100">
        <v>0.25891869060204259</v>
      </c>
    </row>
    <row r="9101" spans="13:16">
      <c r="M9101">
        <v>0.30246323947636455</v>
      </c>
      <c r="N9101">
        <v>0.16376909335957457</v>
      </c>
      <c r="O9101">
        <v>0.28368714368727466</v>
      </c>
      <c r="P9101">
        <v>0.25008052347678628</v>
      </c>
    </row>
    <row r="9102" spans="13:16">
      <c r="M9102">
        <v>0.27615037601760245</v>
      </c>
      <c r="N9102">
        <v>0.19783520097745028</v>
      </c>
      <c r="O9102">
        <v>0.26531085784258096</v>
      </c>
      <c r="P9102">
        <v>0.26070356516236626</v>
      </c>
    </row>
    <row r="9103" spans="13:16">
      <c r="M9103">
        <v>0.30212113031840315</v>
      </c>
      <c r="N9103">
        <v>0.17780297149431373</v>
      </c>
      <c r="O9103">
        <v>0.28371865242282707</v>
      </c>
      <c r="P9103">
        <v>0.23635724576445605</v>
      </c>
    </row>
    <row r="9104" spans="13:16">
      <c r="M9104">
        <v>0.28962938504098285</v>
      </c>
      <c r="N9104">
        <v>0.19476892853752306</v>
      </c>
      <c r="O9104">
        <v>0.2687744853823778</v>
      </c>
      <c r="P9104">
        <v>0.24682720103911618</v>
      </c>
    </row>
    <row r="9105" spans="13:16">
      <c r="M9105">
        <v>0.27505053722166983</v>
      </c>
      <c r="N9105">
        <v>0.18392452976415535</v>
      </c>
      <c r="O9105">
        <v>0.270074402791732</v>
      </c>
      <c r="P9105">
        <v>0.27095053022244275</v>
      </c>
    </row>
    <row r="9106" spans="13:16">
      <c r="M9106">
        <v>0.27996113417871943</v>
      </c>
      <c r="N9106">
        <v>0.19042811311950314</v>
      </c>
      <c r="O9106">
        <v>0.25544498805467936</v>
      </c>
      <c r="P9106">
        <v>0.27416576464709813</v>
      </c>
    </row>
    <row r="9107" spans="13:16">
      <c r="M9107">
        <v>0.29018211010195194</v>
      </c>
      <c r="N9107">
        <v>0.19123525812146014</v>
      </c>
      <c r="O9107">
        <v>0.25332835040829194</v>
      </c>
      <c r="P9107">
        <v>0.26525428136829599</v>
      </c>
    </row>
    <row r="9108" spans="13:16">
      <c r="M9108">
        <v>0.31641736276294169</v>
      </c>
      <c r="N9108">
        <v>0.1703355789703459</v>
      </c>
      <c r="O9108">
        <v>0.25509319504797162</v>
      </c>
      <c r="P9108">
        <v>0.2581538632187409</v>
      </c>
    </row>
    <row r="9109" spans="13:16">
      <c r="M9109">
        <v>0.31734072079068815</v>
      </c>
      <c r="N9109">
        <v>0.18212710731728385</v>
      </c>
      <c r="O9109">
        <v>0.24625107995355633</v>
      </c>
      <c r="P9109">
        <v>0.25428109193847165</v>
      </c>
    </row>
    <row r="9110" spans="13:16">
      <c r="M9110">
        <v>0.27510678901174518</v>
      </c>
      <c r="N9110">
        <v>0.1919149041647385</v>
      </c>
      <c r="O9110">
        <v>0.27727219052670837</v>
      </c>
      <c r="P9110">
        <v>0.25570611629680801</v>
      </c>
    </row>
    <row r="9111" spans="13:16">
      <c r="M9111">
        <v>0.30581539085915355</v>
      </c>
      <c r="N9111">
        <v>0.17860073701163165</v>
      </c>
      <c r="O9111">
        <v>0.24297266864793199</v>
      </c>
      <c r="P9111">
        <v>0.27261120348128282</v>
      </c>
    </row>
    <row r="9112" spans="13:16">
      <c r="M9112">
        <v>0.27606600741766646</v>
      </c>
      <c r="N9112">
        <v>0.17767829028875146</v>
      </c>
      <c r="O9112">
        <v>0.29295820895263858</v>
      </c>
      <c r="P9112">
        <v>0.25329749334094354</v>
      </c>
    </row>
    <row r="9113" spans="13:16">
      <c r="M9113">
        <v>0.27323262640141627</v>
      </c>
      <c r="N9113">
        <v>0.18629747992985601</v>
      </c>
      <c r="O9113">
        <v>0.27468980824259343</v>
      </c>
      <c r="P9113">
        <v>0.26578008542613424</v>
      </c>
    </row>
    <row r="9114" spans="13:16">
      <c r="M9114">
        <v>0.28563691218096882</v>
      </c>
      <c r="N9114">
        <v>0.18410014887471604</v>
      </c>
      <c r="O9114">
        <v>0.2569523715115648</v>
      </c>
      <c r="P9114">
        <v>0.2733105674327504</v>
      </c>
    </row>
    <row r="9115" spans="13:16">
      <c r="M9115">
        <v>0.31064389206757659</v>
      </c>
      <c r="N9115">
        <v>0.17808224229300082</v>
      </c>
      <c r="O9115">
        <v>0.26009010746309014</v>
      </c>
      <c r="P9115">
        <v>0.25118375817633254</v>
      </c>
    </row>
    <row r="9116" spans="13:16">
      <c r="M9116">
        <v>0.26980108472476716</v>
      </c>
      <c r="N9116">
        <v>0.2184382602383336</v>
      </c>
      <c r="O9116">
        <v>0.23378962522167648</v>
      </c>
      <c r="P9116">
        <v>0.27797102981522287</v>
      </c>
    </row>
    <row r="9117" spans="13:16">
      <c r="M9117">
        <v>0.32374457314068023</v>
      </c>
      <c r="N9117">
        <v>0.17586163420983153</v>
      </c>
      <c r="O9117">
        <v>0.22992416356253456</v>
      </c>
      <c r="P9117">
        <v>0.27046962908695366</v>
      </c>
    </row>
    <row r="9118" spans="13:16">
      <c r="M9118">
        <v>0.29718698692836709</v>
      </c>
      <c r="N9118">
        <v>0.21024784340353486</v>
      </c>
      <c r="O9118">
        <v>0.21158151287509905</v>
      </c>
      <c r="P9118">
        <v>0.28098365679299897</v>
      </c>
    </row>
    <row r="9119" spans="13:16">
      <c r="M9119">
        <v>0.291856490721075</v>
      </c>
      <c r="N9119">
        <v>0.1693915508875003</v>
      </c>
      <c r="O9119">
        <v>0.27933585441153796</v>
      </c>
      <c r="P9119">
        <v>0.25941610397988668</v>
      </c>
    </row>
    <row r="9120" spans="13:16">
      <c r="M9120">
        <v>0.30039145230569908</v>
      </c>
      <c r="N9120">
        <v>0.16197398339285796</v>
      </c>
      <c r="O9120">
        <v>0.29539472293002195</v>
      </c>
      <c r="P9120">
        <v>0.24223984137142099</v>
      </c>
    </row>
    <row r="9121" spans="13:16">
      <c r="M9121">
        <v>0.32368924953716699</v>
      </c>
      <c r="N9121">
        <v>0.16292539074619186</v>
      </c>
      <c r="O9121">
        <v>0.26342511961503234</v>
      </c>
      <c r="P9121">
        <v>0.24996024010160889</v>
      </c>
    </row>
    <row r="9122" spans="13:16">
      <c r="M9122">
        <v>0.28777610930345265</v>
      </c>
      <c r="N9122">
        <v>0.18728991760331554</v>
      </c>
      <c r="O9122">
        <v>0.24602525410659598</v>
      </c>
      <c r="P9122">
        <v>0.27890871898663588</v>
      </c>
    </row>
    <row r="9123" spans="13:16">
      <c r="M9123">
        <v>0.26090724087946332</v>
      </c>
      <c r="N9123">
        <v>0.19688788785454889</v>
      </c>
      <c r="O9123">
        <v>0.27762085133437892</v>
      </c>
      <c r="P9123">
        <v>0.26458401993160879</v>
      </c>
    </row>
    <row r="9124" spans="13:16">
      <c r="M9124">
        <v>0.27799311905646307</v>
      </c>
      <c r="N9124">
        <v>0.17203174294028403</v>
      </c>
      <c r="O9124">
        <v>0.2994048381917544</v>
      </c>
      <c r="P9124">
        <v>0.25057029981149842</v>
      </c>
    </row>
    <row r="9125" spans="13:16">
      <c r="M9125">
        <v>0.32985877471747382</v>
      </c>
      <c r="N9125">
        <v>0.16384368180305448</v>
      </c>
      <c r="O9125">
        <v>0.2454955839724681</v>
      </c>
      <c r="P9125">
        <v>0.26080195950700352</v>
      </c>
    </row>
    <row r="9126" spans="13:16">
      <c r="M9126">
        <v>0.32825979968150909</v>
      </c>
      <c r="N9126">
        <v>0.17345910569770706</v>
      </c>
      <c r="O9126">
        <v>0.23337021374796174</v>
      </c>
      <c r="P9126">
        <v>0.26491088087282216</v>
      </c>
    </row>
    <row r="9127" spans="13:16">
      <c r="M9127">
        <v>0.30004951789254419</v>
      </c>
      <c r="N9127">
        <v>0.17472369230918988</v>
      </c>
      <c r="O9127">
        <v>0.28142925727665768</v>
      </c>
      <c r="P9127">
        <v>0.24379753252160813</v>
      </c>
    </row>
    <row r="9128" spans="13:16">
      <c r="M9128">
        <v>0.31266087308760959</v>
      </c>
      <c r="N9128">
        <v>0.17216004011599012</v>
      </c>
      <c r="O9128">
        <v>0.24297115992066748</v>
      </c>
      <c r="P9128">
        <v>0.27220792687573281</v>
      </c>
    </row>
    <row r="9129" spans="13:16">
      <c r="M9129">
        <v>0.28426159491759734</v>
      </c>
      <c r="N9129">
        <v>0.19673971300927559</v>
      </c>
      <c r="O9129">
        <v>0.25692221682011807</v>
      </c>
      <c r="P9129">
        <v>0.26207647525300898</v>
      </c>
    </row>
    <row r="9130" spans="13:16">
      <c r="M9130">
        <v>0.28589856445563178</v>
      </c>
      <c r="N9130">
        <v>0.19580225788742603</v>
      </c>
      <c r="O9130">
        <v>0.24559358392927527</v>
      </c>
      <c r="P9130">
        <v>0.27270559372766695</v>
      </c>
    </row>
    <row r="9131" spans="13:16">
      <c r="M9131">
        <v>0.28042809680709274</v>
      </c>
      <c r="N9131">
        <v>0.17068719669588914</v>
      </c>
      <c r="O9131">
        <v>0.29616583581372685</v>
      </c>
      <c r="P9131">
        <v>0.25271887068329124</v>
      </c>
    </row>
    <row r="9132" spans="13:16">
      <c r="M9132">
        <v>0.29778968033505848</v>
      </c>
      <c r="N9132">
        <v>0.19635522907584266</v>
      </c>
      <c r="O9132">
        <v>0.23369721794449261</v>
      </c>
      <c r="P9132">
        <v>0.27215787264460634</v>
      </c>
    </row>
    <row r="9133" spans="13:16">
      <c r="M9133">
        <v>0.2983466971274768</v>
      </c>
      <c r="N9133">
        <v>0.18322724340610544</v>
      </c>
      <c r="O9133">
        <v>0.26134519091486186</v>
      </c>
      <c r="P9133">
        <v>0.25708086855155576</v>
      </c>
    </row>
    <row r="9134" spans="13:16">
      <c r="M9134">
        <v>0.30005645127400993</v>
      </c>
      <c r="N9134">
        <v>0.17518547889379923</v>
      </c>
      <c r="O9134">
        <v>0.26004473816079121</v>
      </c>
      <c r="P9134">
        <v>0.2647133316713996</v>
      </c>
    </row>
    <row r="9135" spans="13:16">
      <c r="M9135">
        <v>0.28705990029309347</v>
      </c>
      <c r="N9135">
        <v>0.1725231906877949</v>
      </c>
      <c r="O9135">
        <v>0.28008236237866008</v>
      </c>
      <c r="P9135">
        <v>0.26033454664045164</v>
      </c>
    </row>
    <row r="9136" spans="13:16">
      <c r="M9136">
        <v>0.2975378611719276</v>
      </c>
      <c r="N9136">
        <v>0.18539488111387248</v>
      </c>
      <c r="O9136">
        <v>0.24615803608992667</v>
      </c>
      <c r="P9136">
        <v>0.27090922162427333</v>
      </c>
    </row>
    <row r="9137" spans="13:16">
      <c r="M9137">
        <v>0.29629194110235774</v>
      </c>
      <c r="N9137">
        <v>0.17998545881861769</v>
      </c>
      <c r="O9137">
        <v>0.25337386652929672</v>
      </c>
      <c r="P9137">
        <v>0.27034873354972783</v>
      </c>
    </row>
    <row r="9138" spans="13:16">
      <c r="M9138">
        <v>0.3231259568078455</v>
      </c>
      <c r="N9138">
        <v>0.16260747212466534</v>
      </c>
      <c r="O9138">
        <v>0.26746090043087878</v>
      </c>
      <c r="P9138">
        <v>0.24680567063661035</v>
      </c>
    </row>
    <row r="9139" spans="13:16">
      <c r="M9139">
        <v>0.28238441314170631</v>
      </c>
      <c r="N9139">
        <v>0.19200581535435549</v>
      </c>
      <c r="O9139">
        <v>0.26388661853821688</v>
      </c>
      <c r="P9139">
        <v>0.2617231529657213</v>
      </c>
    </row>
    <row r="9140" spans="13:16">
      <c r="M9140">
        <v>0.30107642782104521</v>
      </c>
      <c r="N9140">
        <v>0.18626030343136243</v>
      </c>
      <c r="O9140">
        <v>0.26544641899625049</v>
      </c>
      <c r="P9140">
        <v>0.24721684975134189</v>
      </c>
    </row>
    <row r="9141" spans="13:16">
      <c r="M9141">
        <v>0.29754635432548282</v>
      </c>
      <c r="N9141">
        <v>0.18041815230731567</v>
      </c>
      <c r="O9141">
        <v>0.2743388984057985</v>
      </c>
      <c r="P9141">
        <v>0.24769659496140309</v>
      </c>
    </row>
    <row r="9142" spans="13:16">
      <c r="M9142">
        <v>0.29264387687284599</v>
      </c>
      <c r="N9142">
        <v>0.19295311995492945</v>
      </c>
      <c r="O9142">
        <v>0.25238724034835969</v>
      </c>
      <c r="P9142">
        <v>0.26201576282386496</v>
      </c>
    </row>
    <row r="9143" spans="13:16">
      <c r="M9143">
        <v>0.28810567567725603</v>
      </c>
      <c r="N9143">
        <v>0.1812073421190106</v>
      </c>
      <c r="O9143">
        <v>0.25252435730481609</v>
      </c>
      <c r="P9143">
        <v>0.27816262489891724</v>
      </c>
    </row>
    <row r="9144" spans="13:16">
      <c r="M9144">
        <v>0.32684523382820629</v>
      </c>
      <c r="N9144">
        <v>0.1736454489127828</v>
      </c>
      <c r="O9144">
        <v>0.23114726581409695</v>
      </c>
      <c r="P9144">
        <v>0.26836205144491387</v>
      </c>
    </row>
    <row r="9145" spans="13:16">
      <c r="M9145">
        <v>0.28413191840728225</v>
      </c>
      <c r="N9145">
        <v>0.17082327365055314</v>
      </c>
      <c r="O9145">
        <v>0.30819685744744496</v>
      </c>
      <c r="P9145">
        <v>0.23684795049471954</v>
      </c>
    </row>
    <row r="9146" spans="13:16">
      <c r="M9146">
        <v>0.2853610726061368</v>
      </c>
      <c r="N9146">
        <v>0.18431847821103842</v>
      </c>
      <c r="O9146">
        <v>0.280879515866651</v>
      </c>
      <c r="P9146">
        <v>0.24944093331617381</v>
      </c>
    </row>
    <row r="9147" spans="13:16">
      <c r="M9147">
        <v>0.26558784486533571</v>
      </c>
      <c r="N9147">
        <v>0.19169150739444996</v>
      </c>
      <c r="O9147">
        <v>0.27820610545927343</v>
      </c>
      <c r="P9147">
        <v>0.26451454228094101</v>
      </c>
    </row>
    <row r="9148" spans="13:16">
      <c r="M9148">
        <v>0.26807875382106267</v>
      </c>
      <c r="N9148">
        <v>0.19205582123887036</v>
      </c>
      <c r="O9148">
        <v>0.27161892036909535</v>
      </c>
      <c r="P9148">
        <v>0.26824650457097166</v>
      </c>
    </row>
    <row r="9149" spans="13:16">
      <c r="M9149">
        <v>0.30832125037467478</v>
      </c>
      <c r="N9149">
        <v>0.18872254183463225</v>
      </c>
      <c r="O9149">
        <v>0.22910027719909565</v>
      </c>
      <c r="P9149">
        <v>0.27385593059159741</v>
      </c>
    </row>
    <row r="9150" spans="13:16">
      <c r="M9150">
        <v>0.29741964935974424</v>
      </c>
      <c r="N9150">
        <v>0.19311695498601161</v>
      </c>
      <c r="O9150">
        <v>0.23012299066347813</v>
      </c>
      <c r="P9150">
        <v>0.27934040499076596</v>
      </c>
    </row>
    <row r="9151" spans="13:16">
      <c r="M9151">
        <v>0.26935126030900591</v>
      </c>
      <c r="N9151">
        <v>0.19309274131768064</v>
      </c>
      <c r="O9151">
        <v>0.28005685910466227</v>
      </c>
      <c r="P9151">
        <v>0.25749913926865114</v>
      </c>
    </row>
    <row r="9152" spans="13:16">
      <c r="M9152">
        <v>0.30916485862935317</v>
      </c>
      <c r="N9152">
        <v>0.16218239044749</v>
      </c>
      <c r="O9152">
        <v>0.29421770937328517</v>
      </c>
      <c r="P9152">
        <v>0.23443504154987163</v>
      </c>
    </row>
    <row r="9153" spans="13:16">
      <c r="M9153">
        <v>0.30403755133590721</v>
      </c>
      <c r="N9153">
        <v>0.18970890766698864</v>
      </c>
      <c r="O9153">
        <v>0.21846127296787818</v>
      </c>
      <c r="P9153">
        <v>0.28779226802922597</v>
      </c>
    </row>
    <row r="9154" spans="13:16">
      <c r="M9154">
        <v>0.32758406826504111</v>
      </c>
      <c r="N9154">
        <v>0.17071801905362147</v>
      </c>
      <c r="O9154">
        <v>0.24893131545045424</v>
      </c>
      <c r="P9154">
        <v>0.25276659723088302</v>
      </c>
    </row>
    <row r="9155" spans="13:16">
      <c r="M9155">
        <v>0.30793373556834081</v>
      </c>
      <c r="N9155">
        <v>0.16717914866265271</v>
      </c>
      <c r="O9155">
        <v>0.27716316554616288</v>
      </c>
      <c r="P9155">
        <v>0.24772395022284352</v>
      </c>
    </row>
    <row r="9156" spans="13:16">
      <c r="M9156">
        <v>0.29758825180352827</v>
      </c>
      <c r="N9156">
        <v>0.18602423572441507</v>
      </c>
      <c r="O9156">
        <v>0.26764933435667265</v>
      </c>
      <c r="P9156">
        <v>0.24873817811538393</v>
      </c>
    </row>
    <row r="9157" spans="13:16">
      <c r="M9157">
        <v>0.28753173679483551</v>
      </c>
      <c r="N9157">
        <v>0.2086447845813906</v>
      </c>
      <c r="O9157">
        <v>0.23132656386887468</v>
      </c>
      <c r="P9157">
        <v>0.27249691475489912</v>
      </c>
    </row>
    <row r="9158" spans="13:16">
      <c r="M9158">
        <v>0.29530417637190665</v>
      </c>
      <c r="N9158">
        <v>0.18705384336090752</v>
      </c>
      <c r="O9158">
        <v>0.25844718769871</v>
      </c>
      <c r="P9158">
        <v>0.25919479256847577</v>
      </c>
    </row>
    <row r="9159" spans="13:16">
      <c r="M9159">
        <v>0.27708656010053856</v>
      </c>
      <c r="N9159">
        <v>0.19275408690421963</v>
      </c>
      <c r="O9159">
        <v>0.25837081192912825</v>
      </c>
      <c r="P9159">
        <v>0.27178854106611361</v>
      </c>
    </row>
    <row r="9160" spans="13:16">
      <c r="M9160">
        <v>0.30667259149910364</v>
      </c>
      <c r="N9160">
        <v>0.18479665446971391</v>
      </c>
      <c r="O9160">
        <v>0.25072571807668748</v>
      </c>
      <c r="P9160">
        <v>0.25780503595449505</v>
      </c>
    </row>
    <row r="9161" spans="13:16">
      <c r="M9161">
        <v>0.29822038310453614</v>
      </c>
      <c r="N9161">
        <v>0.16626664959297774</v>
      </c>
      <c r="O9161">
        <v>0.27429565730500927</v>
      </c>
      <c r="P9161">
        <v>0.26121730999747678</v>
      </c>
    </row>
    <row r="9162" spans="13:16">
      <c r="M9162">
        <v>0.26064271589075527</v>
      </c>
      <c r="N9162">
        <v>0.20560296636793171</v>
      </c>
      <c r="O9162">
        <v>0.26099827668606801</v>
      </c>
      <c r="P9162">
        <v>0.27275604105524504</v>
      </c>
    </row>
    <row r="9163" spans="13:16">
      <c r="M9163">
        <v>0.30316888493587768</v>
      </c>
      <c r="N9163">
        <v>0.17930356210774115</v>
      </c>
      <c r="O9163">
        <v>0.23800734272668372</v>
      </c>
      <c r="P9163">
        <v>0.27952021022969753</v>
      </c>
    </row>
    <row r="9164" spans="13:16">
      <c r="M9164">
        <v>0.30054149739439245</v>
      </c>
      <c r="N9164">
        <v>0.20530935363018352</v>
      </c>
      <c r="O9164">
        <v>0.22112816053753795</v>
      </c>
      <c r="P9164">
        <v>0.27302098843788608</v>
      </c>
    </row>
    <row r="9165" spans="13:16">
      <c r="M9165">
        <v>0.30990264350424318</v>
      </c>
      <c r="N9165">
        <v>0.18225567801356546</v>
      </c>
      <c r="O9165">
        <v>0.24983440790475431</v>
      </c>
      <c r="P9165">
        <v>0.25800727057743694</v>
      </c>
    </row>
    <row r="9166" spans="13:16">
      <c r="M9166">
        <v>0.28031024619798067</v>
      </c>
      <c r="N9166">
        <v>0.20695732638644337</v>
      </c>
      <c r="O9166">
        <v>0.23844347190951148</v>
      </c>
      <c r="P9166">
        <v>0.27428895550606447</v>
      </c>
    </row>
    <row r="9167" spans="13:16">
      <c r="M9167">
        <v>0.28047640708830396</v>
      </c>
      <c r="N9167">
        <v>0.17258535412436518</v>
      </c>
      <c r="O9167">
        <v>0.28510120072185569</v>
      </c>
      <c r="P9167">
        <v>0.26183703806547515</v>
      </c>
    </row>
    <row r="9168" spans="13:16">
      <c r="M9168">
        <v>0.28790965776243477</v>
      </c>
      <c r="N9168">
        <v>0.20352042400098216</v>
      </c>
      <c r="O9168">
        <v>0.23070991387240924</v>
      </c>
      <c r="P9168">
        <v>0.2778600043641738</v>
      </c>
    </row>
    <row r="9169" spans="13:16">
      <c r="M9169">
        <v>0.28211008307235785</v>
      </c>
      <c r="N9169">
        <v>0.1836402005727629</v>
      </c>
      <c r="O9169">
        <v>0.27239875237490502</v>
      </c>
      <c r="P9169">
        <v>0.26185096397997421</v>
      </c>
    </row>
    <row r="9170" spans="13:16">
      <c r="M9170">
        <v>0.28841111765616129</v>
      </c>
      <c r="N9170">
        <v>0.18349702723143033</v>
      </c>
      <c r="O9170">
        <v>0.25213921068553391</v>
      </c>
      <c r="P9170">
        <v>0.27595264442687456</v>
      </c>
    </row>
    <row r="9171" spans="13:16">
      <c r="M9171">
        <v>0.26933499239749564</v>
      </c>
      <c r="N9171">
        <v>0.19084064906549728</v>
      </c>
      <c r="O9171">
        <v>0.28585966829738213</v>
      </c>
      <c r="P9171">
        <v>0.25396469023962487</v>
      </c>
    </row>
    <row r="9172" spans="13:16">
      <c r="M9172">
        <v>0.30267019937453676</v>
      </c>
      <c r="N9172">
        <v>0.18902208236442986</v>
      </c>
      <c r="O9172">
        <v>0.24781425730561352</v>
      </c>
      <c r="P9172">
        <v>0.26049346095541992</v>
      </c>
    </row>
    <row r="9173" spans="13:16">
      <c r="M9173">
        <v>0.27458915619998608</v>
      </c>
      <c r="N9173">
        <v>0.1946240068032673</v>
      </c>
      <c r="O9173">
        <v>0.26050354500338863</v>
      </c>
      <c r="P9173">
        <v>0.27028329199335804</v>
      </c>
    </row>
    <row r="9174" spans="13:16">
      <c r="M9174">
        <v>0.26598844214270811</v>
      </c>
      <c r="N9174">
        <v>0.18435058209288316</v>
      </c>
      <c r="O9174">
        <v>0.28920512796114717</v>
      </c>
      <c r="P9174">
        <v>0.2604558478032617</v>
      </c>
    </row>
    <row r="9175" spans="13:16">
      <c r="M9175">
        <v>0.29082828694556817</v>
      </c>
      <c r="N9175">
        <v>0.18965139594438507</v>
      </c>
      <c r="O9175">
        <v>0.25500371390412313</v>
      </c>
      <c r="P9175">
        <v>0.26451660320592363</v>
      </c>
    </row>
    <row r="9176" spans="13:16">
      <c r="M9176">
        <v>0.27084609060675402</v>
      </c>
      <c r="N9176">
        <v>0.20023152350231471</v>
      </c>
      <c r="O9176">
        <v>0.25976342517061468</v>
      </c>
      <c r="P9176">
        <v>0.26915896072031664</v>
      </c>
    </row>
    <row r="9177" spans="13:16">
      <c r="M9177">
        <v>0.28189392799632013</v>
      </c>
      <c r="N9177">
        <v>0.18490062375466987</v>
      </c>
      <c r="O9177">
        <v>0.2633602184833268</v>
      </c>
      <c r="P9177">
        <v>0.2698452297656832</v>
      </c>
    </row>
    <row r="9178" spans="13:16">
      <c r="M9178">
        <v>0.28790663444942194</v>
      </c>
      <c r="N9178">
        <v>0.1875677469822023</v>
      </c>
      <c r="O9178">
        <v>0.26724863959894335</v>
      </c>
      <c r="P9178">
        <v>0.25727697896943247</v>
      </c>
    </row>
    <row r="9179" spans="13:16">
      <c r="M9179">
        <v>0.30395255495228191</v>
      </c>
      <c r="N9179">
        <v>0.18353240470092583</v>
      </c>
      <c r="O9179">
        <v>0.25315636082154441</v>
      </c>
      <c r="P9179">
        <v>0.25935867952524788</v>
      </c>
    </row>
    <row r="9180" spans="13:16">
      <c r="M9180">
        <v>0.3127119804122887</v>
      </c>
      <c r="N9180">
        <v>0.19037924405764894</v>
      </c>
      <c r="O9180">
        <v>0.23545826804003564</v>
      </c>
      <c r="P9180">
        <v>0.26145050749002674</v>
      </c>
    </row>
    <row r="9181" spans="13:16">
      <c r="M9181">
        <v>0.29622705776130048</v>
      </c>
      <c r="N9181">
        <v>0.19175599791892886</v>
      </c>
      <c r="O9181">
        <v>0.22884264728210804</v>
      </c>
      <c r="P9181">
        <v>0.28317429703766267</v>
      </c>
    </row>
    <row r="9182" spans="13:16">
      <c r="M9182">
        <v>0.28542602392573879</v>
      </c>
      <c r="N9182">
        <v>0.18222238791093376</v>
      </c>
      <c r="O9182">
        <v>0.25370400442846219</v>
      </c>
      <c r="P9182">
        <v>0.2786475837348652</v>
      </c>
    </row>
    <row r="9183" spans="13:16">
      <c r="M9183">
        <v>0.29148094972920907</v>
      </c>
      <c r="N9183">
        <v>0.19855758653887026</v>
      </c>
      <c r="O9183">
        <v>0.25410854458853027</v>
      </c>
      <c r="P9183">
        <v>0.25585291914339037</v>
      </c>
    </row>
    <row r="9184" spans="13:16">
      <c r="M9184">
        <v>0.29169826910324648</v>
      </c>
      <c r="N9184">
        <v>0.19948311979097644</v>
      </c>
      <c r="O9184">
        <v>0.25057308455353461</v>
      </c>
      <c r="P9184">
        <v>0.25824552655224248</v>
      </c>
    </row>
    <row r="9185" spans="13:16">
      <c r="M9185">
        <v>0.28976800143495918</v>
      </c>
      <c r="N9185">
        <v>0.18883950528108087</v>
      </c>
      <c r="O9185">
        <v>0.26616047753582034</v>
      </c>
      <c r="P9185">
        <v>0.25523201574813964</v>
      </c>
    </row>
    <row r="9186" spans="13:16">
      <c r="M9186">
        <v>0.26480723488553698</v>
      </c>
      <c r="N9186">
        <v>0.20084827697797999</v>
      </c>
      <c r="O9186">
        <v>0.26233105878774632</v>
      </c>
      <c r="P9186">
        <v>0.27201342934873673</v>
      </c>
    </row>
    <row r="9187" spans="13:16">
      <c r="M9187">
        <v>0.28986602187560162</v>
      </c>
      <c r="N9187">
        <v>0.18092019625418548</v>
      </c>
      <c r="O9187">
        <v>0.27777415762182123</v>
      </c>
      <c r="P9187">
        <v>0.25143962424839161</v>
      </c>
    </row>
    <row r="9188" spans="13:16">
      <c r="M9188">
        <v>0.30372345776949122</v>
      </c>
      <c r="N9188">
        <v>0.18907611073725489</v>
      </c>
      <c r="O9188">
        <v>0.24013243824772137</v>
      </c>
      <c r="P9188">
        <v>0.26706799324553238</v>
      </c>
    </row>
    <row r="9189" spans="13:16">
      <c r="M9189">
        <v>0.27433172873448153</v>
      </c>
      <c r="N9189">
        <v>0.18939230234627197</v>
      </c>
      <c r="O9189">
        <v>0.26337059161757359</v>
      </c>
      <c r="P9189">
        <v>0.27290537730167291</v>
      </c>
    </row>
    <row r="9190" spans="13:16">
      <c r="M9190">
        <v>0.27822920769649051</v>
      </c>
      <c r="N9190">
        <v>0.18510072753015047</v>
      </c>
      <c r="O9190">
        <v>0.26781888415624633</v>
      </c>
      <c r="P9190">
        <v>0.26885118061711266</v>
      </c>
    </row>
    <row r="9191" spans="13:16">
      <c r="M9191">
        <v>0.2928452800318711</v>
      </c>
      <c r="N9191">
        <v>0.19189009274266564</v>
      </c>
      <c r="O9191">
        <v>0.25074103949361631</v>
      </c>
      <c r="P9191">
        <v>0.26452358773184698</v>
      </c>
    </row>
    <row r="9192" spans="13:16">
      <c r="M9192">
        <v>0.29505238446316173</v>
      </c>
      <c r="N9192">
        <v>0.1822959495856955</v>
      </c>
      <c r="O9192">
        <v>0.26230924700883318</v>
      </c>
      <c r="P9192">
        <v>0.26034241894230958</v>
      </c>
    </row>
    <row r="9193" spans="13:16">
      <c r="M9193">
        <v>0.31784194255353687</v>
      </c>
      <c r="N9193">
        <v>0.19324831251587743</v>
      </c>
      <c r="O9193">
        <v>0.22422274021274388</v>
      </c>
      <c r="P9193">
        <v>0.2646870047178419</v>
      </c>
    </row>
    <row r="9194" spans="13:16">
      <c r="M9194">
        <v>0.30878052997385141</v>
      </c>
      <c r="N9194">
        <v>0.16927344734746694</v>
      </c>
      <c r="O9194">
        <v>0.24917110286512487</v>
      </c>
      <c r="P9194">
        <v>0.27277491981355678</v>
      </c>
    </row>
    <row r="9195" spans="13:16">
      <c r="M9195">
        <v>0.31634054951019891</v>
      </c>
      <c r="N9195">
        <v>0.16657558696807023</v>
      </c>
      <c r="O9195">
        <v>0.26902345783571452</v>
      </c>
      <c r="P9195">
        <v>0.24806040568601631</v>
      </c>
    </row>
    <row r="9196" spans="13:16">
      <c r="M9196">
        <v>0.28004751242101611</v>
      </c>
      <c r="N9196">
        <v>0.18529233923284294</v>
      </c>
      <c r="O9196">
        <v>0.27151721136506612</v>
      </c>
      <c r="P9196">
        <v>0.26314293698107494</v>
      </c>
    </row>
    <row r="9197" spans="13:16">
      <c r="M9197">
        <v>0.26832700017950134</v>
      </c>
      <c r="N9197">
        <v>0.1878033373849376</v>
      </c>
      <c r="O9197">
        <v>0.28050478565384246</v>
      </c>
      <c r="P9197">
        <v>0.26336487678171844</v>
      </c>
    </row>
    <row r="9198" spans="13:16">
      <c r="M9198">
        <v>0.30830946194335757</v>
      </c>
      <c r="N9198">
        <v>0.19407922532240451</v>
      </c>
      <c r="O9198">
        <v>0.22895884442982167</v>
      </c>
      <c r="P9198">
        <v>0.2686524683044163</v>
      </c>
    </row>
    <row r="9199" spans="13:16">
      <c r="M9199">
        <v>0.30240089647328328</v>
      </c>
      <c r="N9199">
        <v>0.1997363212312758</v>
      </c>
      <c r="O9199">
        <v>0.21996178654418147</v>
      </c>
      <c r="P9199">
        <v>0.27790099575125954</v>
      </c>
    </row>
    <row r="9200" spans="13:16">
      <c r="M9200">
        <v>0.31119847383510607</v>
      </c>
      <c r="N9200">
        <v>0.18720989996943693</v>
      </c>
      <c r="O9200">
        <v>0.24880180605020732</v>
      </c>
      <c r="P9200">
        <v>0.2527898201452497</v>
      </c>
    </row>
    <row r="9201" spans="13:16">
      <c r="M9201">
        <v>0.32456928234424876</v>
      </c>
      <c r="N9201">
        <v>0.17383622237287596</v>
      </c>
      <c r="O9201">
        <v>0.24056262604125167</v>
      </c>
      <c r="P9201">
        <v>0.26103186924162369</v>
      </c>
    </row>
    <row r="9202" spans="13:16">
      <c r="M9202">
        <v>0.32943788670233715</v>
      </c>
      <c r="N9202">
        <v>0.18322462098726131</v>
      </c>
      <c r="O9202">
        <v>0.21052998457919103</v>
      </c>
      <c r="P9202">
        <v>0.27680750773121054</v>
      </c>
    </row>
    <row r="9203" spans="13:16">
      <c r="M9203">
        <v>0.30664893928221515</v>
      </c>
      <c r="N9203">
        <v>0.19426464599612461</v>
      </c>
      <c r="O9203">
        <v>0.2290553219842093</v>
      </c>
      <c r="P9203">
        <v>0.27003109273745085</v>
      </c>
    </row>
    <row r="9204" spans="13:16">
      <c r="M9204">
        <v>0.32384115700743193</v>
      </c>
      <c r="N9204">
        <v>0.18021934465207476</v>
      </c>
      <c r="O9204">
        <v>0.24080493667479835</v>
      </c>
      <c r="P9204">
        <v>0.25513456166569487</v>
      </c>
    </row>
    <row r="9205" spans="13:16">
      <c r="M9205">
        <v>0.28531041624278847</v>
      </c>
      <c r="N9205">
        <v>0.17808313408645474</v>
      </c>
      <c r="O9205">
        <v>0.28428652909364838</v>
      </c>
      <c r="P9205">
        <v>0.25231992057710845</v>
      </c>
    </row>
    <row r="9206" spans="13:16">
      <c r="M9206">
        <v>0.30134320029445721</v>
      </c>
      <c r="N9206">
        <v>0.17212284383584942</v>
      </c>
      <c r="O9206">
        <v>0.2712062642266006</v>
      </c>
      <c r="P9206">
        <v>0.25532769164309266</v>
      </c>
    </row>
    <row r="9207" spans="13:16">
      <c r="M9207">
        <v>0.28611383255178752</v>
      </c>
      <c r="N9207">
        <v>0.18982173520394571</v>
      </c>
      <c r="O9207">
        <v>0.27792961433003022</v>
      </c>
      <c r="P9207">
        <v>0.2461348179142365</v>
      </c>
    </row>
    <row r="9208" spans="13:16">
      <c r="M9208">
        <v>0.32968945223730711</v>
      </c>
      <c r="N9208">
        <v>0.1807749207019908</v>
      </c>
      <c r="O9208">
        <v>0.2128109803737317</v>
      </c>
      <c r="P9208">
        <v>0.27672464668697055</v>
      </c>
    </row>
    <row r="9209" spans="13:16">
      <c r="M9209">
        <v>0.26098318058553116</v>
      </c>
      <c r="N9209">
        <v>0.17763206976131274</v>
      </c>
      <c r="O9209">
        <v>0.29648938639631972</v>
      </c>
      <c r="P9209">
        <v>0.26489536325683632</v>
      </c>
    </row>
    <row r="9210" spans="13:16">
      <c r="M9210">
        <v>0.29841108158907442</v>
      </c>
      <c r="N9210">
        <v>0.19068672461268524</v>
      </c>
      <c r="O9210">
        <v>0.21672339088313167</v>
      </c>
      <c r="P9210">
        <v>0.29417880291510873</v>
      </c>
    </row>
    <row r="9211" spans="13:16">
      <c r="M9211">
        <v>0.30974994613205792</v>
      </c>
      <c r="N9211">
        <v>0.17218753814750423</v>
      </c>
      <c r="O9211">
        <v>0.26657653382147661</v>
      </c>
      <c r="P9211">
        <v>0.25148598189896126</v>
      </c>
    </row>
    <row r="9212" spans="13:16">
      <c r="M9212">
        <v>0.27814414455966174</v>
      </c>
      <c r="N9212">
        <v>0.17625774015146903</v>
      </c>
      <c r="O9212">
        <v>0.27400094045096524</v>
      </c>
      <c r="P9212">
        <v>0.27159717483790391</v>
      </c>
    </row>
    <row r="9213" spans="13:16">
      <c r="M9213">
        <v>0.29320791642178634</v>
      </c>
      <c r="N9213">
        <v>0.17033083976013269</v>
      </c>
      <c r="O9213">
        <v>0.28264781904330494</v>
      </c>
      <c r="P9213">
        <v>0.25381342477477614</v>
      </c>
    </row>
    <row r="9214" spans="13:16">
      <c r="M9214">
        <v>0.28522301733940231</v>
      </c>
      <c r="N9214">
        <v>0.17159049607262331</v>
      </c>
      <c r="O9214">
        <v>0.28608736746408636</v>
      </c>
      <c r="P9214">
        <v>0.25709911912388816</v>
      </c>
    </row>
    <row r="9215" spans="13:16">
      <c r="M9215">
        <v>0.32020119763542432</v>
      </c>
      <c r="N9215">
        <v>0.18677533780933281</v>
      </c>
      <c r="O9215">
        <v>0.24138983555130383</v>
      </c>
      <c r="P9215">
        <v>0.25163362900393904</v>
      </c>
    </row>
    <row r="9216" spans="13:16">
      <c r="M9216">
        <v>0.30347268134666977</v>
      </c>
      <c r="N9216">
        <v>0.19319313337841573</v>
      </c>
      <c r="O9216">
        <v>0.23148131291538193</v>
      </c>
      <c r="P9216">
        <v>0.27185287235953254</v>
      </c>
    </row>
    <row r="9217" spans="13:16">
      <c r="M9217">
        <v>0.297417179958816</v>
      </c>
      <c r="N9217">
        <v>0.16986174780432733</v>
      </c>
      <c r="O9217">
        <v>0.27024053153293681</v>
      </c>
      <c r="P9217">
        <v>0.26248054070391991</v>
      </c>
    </row>
    <row r="9218" spans="13:16">
      <c r="M9218">
        <v>0.28402721636396816</v>
      </c>
      <c r="N9218">
        <v>0.19102088028042993</v>
      </c>
      <c r="O9218">
        <v>0.25428955893987842</v>
      </c>
      <c r="P9218">
        <v>0.27066234441572351</v>
      </c>
    </row>
    <row r="9219" spans="13:16">
      <c r="M9219">
        <v>0.27177213708962072</v>
      </c>
      <c r="N9219">
        <v>0.18747004199071191</v>
      </c>
      <c r="O9219">
        <v>0.26064115892265399</v>
      </c>
      <c r="P9219">
        <v>0.28011666199701341</v>
      </c>
    </row>
    <row r="9220" spans="13:16">
      <c r="M9220">
        <v>0.30067156526017746</v>
      </c>
      <c r="N9220">
        <v>0.16433048382993989</v>
      </c>
      <c r="O9220">
        <v>0.29014502392511277</v>
      </c>
      <c r="P9220">
        <v>0.24485292698476979</v>
      </c>
    </row>
    <row r="9221" spans="13:16">
      <c r="M9221">
        <v>0.29090555413676766</v>
      </c>
      <c r="N9221">
        <v>0.17915268348283961</v>
      </c>
      <c r="O9221">
        <v>0.25897181923894985</v>
      </c>
      <c r="P9221">
        <v>0.27096994314144285</v>
      </c>
    </row>
    <row r="9222" spans="13:16">
      <c r="M9222">
        <v>0.26718802319531715</v>
      </c>
      <c r="N9222">
        <v>0.18350904175294724</v>
      </c>
      <c r="O9222">
        <v>0.28702051569033687</v>
      </c>
      <c r="P9222">
        <v>0.26228241936139884</v>
      </c>
    </row>
    <row r="9223" spans="13:16">
      <c r="M9223">
        <v>0.27160056469321009</v>
      </c>
      <c r="N9223">
        <v>0.20488571178540854</v>
      </c>
      <c r="O9223">
        <v>0.23658332035285434</v>
      </c>
      <c r="P9223">
        <v>0.28693040316852686</v>
      </c>
    </row>
    <row r="9224" spans="13:16">
      <c r="M9224">
        <v>0.29764028929754888</v>
      </c>
      <c r="N9224">
        <v>0.17719317274439661</v>
      </c>
      <c r="O9224">
        <v>0.24318360339802067</v>
      </c>
      <c r="P9224">
        <v>0.28198293456003398</v>
      </c>
    </row>
    <row r="9225" spans="13:16">
      <c r="M9225">
        <v>0.32239094522126682</v>
      </c>
      <c r="N9225">
        <v>0.18542522985414675</v>
      </c>
      <c r="O9225">
        <v>0.22526354855727584</v>
      </c>
      <c r="P9225">
        <v>0.26692027636731075</v>
      </c>
    </row>
    <row r="9226" spans="13:16">
      <c r="M9226">
        <v>0.31197757876304094</v>
      </c>
      <c r="N9226">
        <v>0.16653061761602864</v>
      </c>
      <c r="O9226">
        <v>0.25944970478732399</v>
      </c>
      <c r="P9226">
        <v>0.26204209883360635</v>
      </c>
    </row>
    <row r="9227" spans="13:16">
      <c r="M9227">
        <v>0.27890832158082168</v>
      </c>
      <c r="N9227">
        <v>0.20048072225694105</v>
      </c>
      <c r="O9227">
        <v>0.26326275821054873</v>
      </c>
      <c r="P9227">
        <v>0.25734819795168845</v>
      </c>
    </row>
    <row r="9228" spans="13:16">
      <c r="M9228">
        <v>0.28273355098849395</v>
      </c>
      <c r="N9228">
        <v>0.17651602771254624</v>
      </c>
      <c r="O9228">
        <v>0.28163626604684366</v>
      </c>
      <c r="P9228">
        <v>0.25911415525211601</v>
      </c>
    </row>
    <row r="9229" spans="13:16">
      <c r="M9229">
        <v>0.2808764125016936</v>
      </c>
      <c r="N9229">
        <v>0.17403846685785679</v>
      </c>
      <c r="O9229">
        <v>0.27924116156527845</v>
      </c>
      <c r="P9229">
        <v>0.26584395907517122</v>
      </c>
    </row>
    <row r="9230" spans="13:16">
      <c r="M9230">
        <v>0.30268074982498261</v>
      </c>
      <c r="N9230">
        <v>0.17821578756602377</v>
      </c>
      <c r="O9230">
        <v>0.25552497875376501</v>
      </c>
      <c r="P9230">
        <v>0.2635784838552287</v>
      </c>
    </row>
    <row r="9231" spans="13:16">
      <c r="M9231">
        <v>0.28917106493671457</v>
      </c>
      <c r="N9231">
        <v>0.19904490687175128</v>
      </c>
      <c r="O9231">
        <v>0.26034830040203455</v>
      </c>
      <c r="P9231">
        <v>0.25143572778949952</v>
      </c>
    </row>
    <row r="9232" spans="13:16">
      <c r="M9232">
        <v>0.2881233916387847</v>
      </c>
      <c r="N9232">
        <v>0.176273119877943</v>
      </c>
      <c r="O9232">
        <v>0.26433617194777304</v>
      </c>
      <c r="P9232">
        <v>0.27126731653549929</v>
      </c>
    </row>
    <row r="9233" spans="13:16">
      <c r="M9233">
        <v>0.28663165093073339</v>
      </c>
      <c r="N9233">
        <v>0.18381615004103741</v>
      </c>
      <c r="O9233">
        <v>0.27346943155714332</v>
      </c>
      <c r="P9233">
        <v>0.25608276747108583</v>
      </c>
    </row>
    <row r="9234" spans="13:16">
      <c r="M9234">
        <v>0.30516769644716019</v>
      </c>
      <c r="N9234">
        <v>0.18913556214879293</v>
      </c>
      <c r="O9234">
        <v>0.23965449246400944</v>
      </c>
      <c r="P9234">
        <v>0.26604224894003742</v>
      </c>
    </row>
    <row r="9235" spans="13:16">
      <c r="M9235">
        <v>0.29559932372431835</v>
      </c>
      <c r="N9235">
        <v>0.19767290858720599</v>
      </c>
      <c r="O9235">
        <v>0.24217651010826236</v>
      </c>
      <c r="P9235">
        <v>0.26455125758021336</v>
      </c>
    </row>
    <row r="9236" spans="13:16">
      <c r="M9236">
        <v>0.26699761368000913</v>
      </c>
      <c r="N9236">
        <v>0.21538590382824679</v>
      </c>
      <c r="O9236">
        <v>0.246569931726702</v>
      </c>
      <c r="P9236">
        <v>0.27104655076504203</v>
      </c>
    </row>
    <row r="9237" spans="13:16">
      <c r="M9237">
        <v>0.31815656113222168</v>
      </c>
      <c r="N9237">
        <v>0.17081635864748979</v>
      </c>
      <c r="O9237">
        <v>0.25585180826706067</v>
      </c>
      <c r="P9237">
        <v>0.25517527195322787</v>
      </c>
    </row>
    <row r="9238" spans="13:16">
      <c r="M9238">
        <v>0.28979170643949065</v>
      </c>
      <c r="N9238">
        <v>0.20468794380877608</v>
      </c>
      <c r="O9238">
        <v>0.23629637002197865</v>
      </c>
      <c r="P9238">
        <v>0.26922397972975459</v>
      </c>
    </row>
    <row r="9239" spans="13:16">
      <c r="M9239">
        <v>0.29191675337721706</v>
      </c>
      <c r="N9239">
        <v>0.17897068111370756</v>
      </c>
      <c r="O9239">
        <v>0.24333694975353001</v>
      </c>
      <c r="P9239">
        <v>0.28577561575554528</v>
      </c>
    </row>
    <row r="9240" spans="13:16">
      <c r="M9240">
        <v>0.28573824369395245</v>
      </c>
      <c r="N9240">
        <v>0.18746160010374352</v>
      </c>
      <c r="O9240">
        <v>0.2680289317386344</v>
      </c>
      <c r="P9240">
        <v>0.25877122446366957</v>
      </c>
    </row>
    <row r="9241" spans="13:16">
      <c r="M9241">
        <v>0.27470373792453917</v>
      </c>
      <c r="N9241">
        <v>0.19230597980436781</v>
      </c>
      <c r="O9241">
        <v>0.2536905545848705</v>
      </c>
      <c r="P9241">
        <v>0.27929972768622252</v>
      </c>
    </row>
    <row r="9242" spans="13:16">
      <c r="M9242">
        <v>0.31685363855180704</v>
      </c>
      <c r="N9242">
        <v>0.18729629307020229</v>
      </c>
      <c r="O9242">
        <v>0.22171886280246272</v>
      </c>
      <c r="P9242">
        <v>0.274131205575528</v>
      </c>
    </row>
    <row r="9243" spans="13:16">
      <c r="M9243">
        <v>0.28162223439555872</v>
      </c>
      <c r="N9243">
        <v>0.18365270000167272</v>
      </c>
      <c r="O9243">
        <v>0.28853984252167242</v>
      </c>
      <c r="P9243">
        <v>0.24618522308109625</v>
      </c>
    </row>
    <row r="9244" spans="13:16">
      <c r="M9244">
        <v>0.29229587025743287</v>
      </c>
      <c r="N9244">
        <v>0.19651474387479892</v>
      </c>
      <c r="O9244">
        <v>0.24861744704959429</v>
      </c>
      <c r="P9244">
        <v>0.26257193881817387</v>
      </c>
    </row>
    <row r="9245" spans="13:16">
      <c r="M9245">
        <v>0.29099918254160279</v>
      </c>
      <c r="N9245">
        <v>0.19658369438642057</v>
      </c>
      <c r="O9245">
        <v>0.25279163479897787</v>
      </c>
      <c r="P9245">
        <v>0.25962548827299875</v>
      </c>
    </row>
    <row r="9246" spans="13:16">
      <c r="M9246">
        <v>0.32046752852842958</v>
      </c>
      <c r="N9246">
        <v>0.18227833225305512</v>
      </c>
      <c r="O9246">
        <v>0.25454780195802951</v>
      </c>
      <c r="P9246">
        <v>0.24270633726048579</v>
      </c>
    </row>
    <row r="9247" spans="13:16">
      <c r="M9247">
        <v>0.31676207965142755</v>
      </c>
      <c r="N9247">
        <v>0.16199190161733634</v>
      </c>
      <c r="O9247">
        <v>0.26852051160715695</v>
      </c>
      <c r="P9247">
        <v>0.25272550712407921</v>
      </c>
    </row>
    <row r="9248" spans="13:16">
      <c r="M9248">
        <v>0.27780304100205433</v>
      </c>
      <c r="N9248">
        <v>0.1765748032856817</v>
      </c>
      <c r="O9248">
        <v>0.27038892286819549</v>
      </c>
      <c r="P9248">
        <v>0.27523323284406859</v>
      </c>
    </row>
    <row r="9249" spans="13:16">
      <c r="M9249">
        <v>0.30575307803785645</v>
      </c>
      <c r="N9249">
        <v>0.17491327587042826</v>
      </c>
      <c r="O9249">
        <v>0.2541567887403744</v>
      </c>
      <c r="P9249">
        <v>0.26517685735134094</v>
      </c>
    </row>
    <row r="9250" spans="13:16">
      <c r="M9250">
        <v>0.2813555290453339</v>
      </c>
      <c r="N9250">
        <v>0.16999993921516052</v>
      </c>
      <c r="O9250">
        <v>0.28998105315415917</v>
      </c>
      <c r="P9250">
        <v>0.25866347858534638</v>
      </c>
    </row>
    <row r="9251" spans="13:16">
      <c r="M9251">
        <v>0.29469493715680517</v>
      </c>
      <c r="N9251">
        <v>0.19957662683603961</v>
      </c>
      <c r="O9251">
        <v>0.23911409203863804</v>
      </c>
      <c r="P9251">
        <v>0.26661434396851735</v>
      </c>
    </row>
    <row r="9252" spans="13:16">
      <c r="M9252">
        <v>0.29685292646090722</v>
      </c>
      <c r="N9252">
        <v>0.17254452059721329</v>
      </c>
      <c r="O9252">
        <v>0.27489843780702722</v>
      </c>
      <c r="P9252">
        <v>0.25570411513485219</v>
      </c>
    </row>
    <row r="9253" spans="13:16">
      <c r="M9253">
        <v>0.28190377758215995</v>
      </c>
      <c r="N9253">
        <v>0.18864815566441395</v>
      </c>
      <c r="O9253">
        <v>0.2619189715994702</v>
      </c>
      <c r="P9253">
        <v>0.26752909515395579</v>
      </c>
    </row>
    <row r="9254" spans="13:16">
      <c r="M9254">
        <v>0.26599114974105931</v>
      </c>
      <c r="N9254">
        <v>0.18708062749751417</v>
      </c>
      <c r="O9254">
        <v>0.27787643066608719</v>
      </c>
      <c r="P9254">
        <v>0.26905179209533936</v>
      </c>
    </row>
    <row r="9255" spans="13:16">
      <c r="M9255">
        <v>0.31815577802199158</v>
      </c>
      <c r="N9255">
        <v>0.19486589795339546</v>
      </c>
      <c r="O9255">
        <v>0.23287711686628665</v>
      </c>
      <c r="P9255">
        <v>0.25410120715832629</v>
      </c>
    </row>
    <row r="9256" spans="13:16">
      <c r="M9256">
        <v>0.28608326537560108</v>
      </c>
      <c r="N9256">
        <v>0.19996095881509016</v>
      </c>
      <c r="O9256">
        <v>0.25911402391548022</v>
      </c>
      <c r="P9256">
        <v>0.25484175189382846</v>
      </c>
    </row>
    <row r="9257" spans="13:16">
      <c r="M9257">
        <v>0.30109777106788055</v>
      </c>
      <c r="N9257">
        <v>0.20084881131922869</v>
      </c>
      <c r="O9257">
        <v>0.23281217438594892</v>
      </c>
      <c r="P9257">
        <v>0.26524124322694181</v>
      </c>
    </row>
    <row r="9258" spans="13:16">
      <c r="M9258">
        <v>0.29872266474780207</v>
      </c>
      <c r="N9258">
        <v>0.17469804328150956</v>
      </c>
      <c r="O9258">
        <v>0.25667982422292407</v>
      </c>
      <c r="P9258">
        <v>0.2698994677477643</v>
      </c>
    </row>
    <row r="9259" spans="13:16">
      <c r="M9259">
        <v>0.2983825782049831</v>
      </c>
      <c r="N9259">
        <v>0.18540718624531807</v>
      </c>
      <c r="O9259">
        <v>0.25342518633414046</v>
      </c>
      <c r="P9259">
        <v>0.26278504921555834</v>
      </c>
    </row>
    <row r="9260" spans="13:16">
      <c r="M9260">
        <v>0.28999625585589728</v>
      </c>
      <c r="N9260">
        <v>0.18061556964987635</v>
      </c>
      <c r="O9260">
        <v>0.24848225685306632</v>
      </c>
      <c r="P9260">
        <v>0.28090591764116007</v>
      </c>
    </row>
    <row r="9261" spans="13:16">
      <c r="M9261">
        <v>0.27636872992706146</v>
      </c>
      <c r="N9261">
        <v>0.19818492708929697</v>
      </c>
      <c r="O9261">
        <v>0.252428010718178</v>
      </c>
      <c r="P9261">
        <v>0.27301833226546346</v>
      </c>
    </row>
    <row r="9262" spans="13:16">
      <c r="M9262">
        <v>0.2979779322662679</v>
      </c>
      <c r="N9262">
        <v>0.18575886999257724</v>
      </c>
      <c r="O9262">
        <v>0.25509781880044774</v>
      </c>
      <c r="P9262">
        <v>0.26116537894070702</v>
      </c>
    </row>
    <row r="9263" spans="13:16">
      <c r="M9263">
        <v>0.30401571720690446</v>
      </c>
      <c r="N9263">
        <v>0.18087125636860812</v>
      </c>
      <c r="O9263">
        <v>0.24811328196958712</v>
      </c>
      <c r="P9263">
        <v>0.26699974445490027</v>
      </c>
    </row>
    <row r="9264" spans="13:16">
      <c r="M9264">
        <v>0.27114734255474149</v>
      </c>
      <c r="N9264">
        <v>0.19885410815698984</v>
      </c>
      <c r="O9264">
        <v>0.27884895321778258</v>
      </c>
      <c r="P9264">
        <v>0.25114959607048609</v>
      </c>
    </row>
    <row r="9265" spans="13:16">
      <c r="M9265">
        <v>0.30719639777057189</v>
      </c>
      <c r="N9265">
        <v>0.18505528315453201</v>
      </c>
      <c r="O9265">
        <v>0.243411509911478</v>
      </c>
      <c r="P9265">
        <v>0.26433680916341812</v>
      </c>
    </row>
    <row r="9266" spans="13:16">
      <c r="M9266">
        <v>0.29487838812954464</v>
      </c>
      <c r="N9266">
        <v>0.19321132055741233</v>
      </c>
      <c r="O9266">
        <v>0.25074822698820393</v>
      </c>
      <c r="P9266">
        <v>0.26116206432483907</v>
      </c>
    </row>
    <row r="9267" spans="13:16">
      <c r="M9267">
        <v>0.32404843623757623</v>
      </c>
      <c r="N9267">
        <v>0.16994503375764466</v>
      </c>
      <c r="O9267">
        <v>0.2524717796526334</v>
      </c>
      <c r="P9267">
        <v>0.25353475035214579</v>
      </c>
    </row>
    <row r="9268" spans="13:16">
      <c r="M9268">
        <v>0.30800783111788871</v>
      </c>
      <c r="N9268">
        <v>0.19325858605771529</v>
      </c>
      <c r="O9268">
        <v>0.23084274901242319</v>
      </c>
      <c r="P9268">
        <v>0.26789083381197271</v>
      </c>
    </row>
    <row r="9269" spans="13:16">
      <c r="M9269">
        <v>0.25958259060204592</v>
      </c>
      <c r="N9269">
        <v>0.19955976754222288</v>
      </c>
      <c r="O9269">
        <v>0.26523352648288762</v>
      </c>
      <c r="P9269">
        <v>0.27562411537284359</v>
      </c>
    </row>
    <row r="9270" spans="13:16">
      <c r="M9270">
        <v>0.28752404546221633</v>
      </c>
      <c r="N9270">
        <v>0.1976798243820953</v>
      </c>
      <c r="O9270">
        <v>0.25322489615908972</v>
      </c>
      <c r="P9270">
        <v>0.26157123399659871</v>
      </c>
    </row>
    <row r="9271" spans="13:16">
      <c r="M9271">
        <v>0.28383207120062687</v>
      </c>
      <c r="N9271">
        <v>0.20401779922503441</v>
      </c>
      <c r="O9271">
        <v>0.24964255120868845</v>
      </c>
      <c r="P9271">
        <v>0.26250757836565031</v>
      </c>
    </row>
    <row r="9272" spans="13:16">
      <c r="M9272">
        <v>0.28064277726301073</v>
      </c>
      <c r="N9272">
        <v>0.18009498014708142</v>
      </c>
      <c r="O9272">
        <v>0.29110881118777449</v>
      </c>
      <c r="P9272">
        <v>0.24815343140213342</v>
      </c>
    </row>
    <row r="9273" spans="13:16">
      <c r="M9273">
        <v>0.2717776530763964</v>
      </c>
      <c r="N9273">
        <v>0.17384766204907565</v>
      </c>
      <c r="O9273">
        <v>0.2995077395936741</v>
      </c>
      <c r="P9273">
        <v>0.25486694528085402</v>
      </c>
    </row>
    <row r="9274" spans="13:16">
      <c r="M9274">
        <v>0.32637140241588813</v>
      </c>
      <c r="N9274">
        <v>0.17162208827918915</v>
      </c>
      <c r="O9274">
        <v>0.24646374363185836</v>
      </c>
      <c r="P9274">
        <v>0.25554276567306433</v>
      </c>
    </row>
    <row r="9275" spans="13:16">
      <c r="M9275">
        <v>0.27197052045678866</v>
      </c>
      <c r="N9275">
        <v>0.18320063259421518</v>
      </c>
      <c r="O9275">
        <v>0.27748263886286229</v>
      </c>
      <c r="P9275">
        <v>0.26734620808613391</v>
      </c>
    </row>
    <row r="9276" spans="13:16">
      <c r="M9276">
        <v>0.29627008746977262</v>
      </c>
      <c r="N9276">
        <v>0.20512931958991418</v>
      </c>
      <c r="O9276">
        <v>0.23180121464692388</v>
      </c>
      <c r="P9276">
        <v>0.26679937829338929</v>
      </c>
    </row>
    <row r="9277" spans="13:16">
      <c r="M9277">
        <v>0.26871795813074861</v>
      </c>
      <c r="N9277">
        <v>0.19390009760265015</v>
      </c>
      <c r="O9277">
        <v>0.26716392356940527</v>
      </c>
      <c r="P9277">
        <v>0.27021802069719597</v>
      </c>
    </row>
    <row r="9278" spans="13:16">
      <c r="M9278">
        <v>0.28819366121325279</v>
      </c>
      <c r="N9278">
        <v>0.17815871265648095</v>
      </c>
      <c r="O9278">
        <v>0.25791452945983567</v>
      </c>
      <c r="P9278">
        <v>0.27573309667043044</v>
      </c>
    </row>
    <row r="9279" spans="13:16">
      <c r="M9279">
        <v>0.29310264488462001</v>
      </c>
      <c r="N9279">
        <v>0.1923645961986607</v>
      </c>
      <c r="O9279">
        <v>0.26099327307901898</v>
      </c>
      <c r="P9279">
        <v>0.25353948583770025</v>
      </c>
    </row>
    <row r="9280" spans="13:16">
      <c r="M9280">
        <v>0.27801283644496499</v>
      </c>
      <c r="N9280">
        <v>0.20488905837038343</v>
      </c>
      <c r="O9280">
        <v>0.25213561347739877</v>
      </c>
      <c r="P9280">
        <v>0.26496249170725278</v>
      </c>
    </row>
    <row r="9281" spans="13:16">
      <c r="M9281">
        <v>0.29838865574871337</v>
      </c>
      <c r="N9281">
        <v>0.19457999727507169</v>
      </c>
      <c r="O9281">
        <v>0.25033684866304506</v>
      </c>
      <c r="P9281">
        <v>0.25669449831316982</v>
      </c>
    </row>
    <row r="9282" spans="13:16">
      <c r="M9282">
        <v>0.2843967608709575</v>
      </c>
      <c r="N9282">
        <v>0.19899056170017054</v>
      </c>
      <c r="O9282">
        <v>0.26596176627354295</v>
      </c>
      <c r="P9282">
        <v>0.250650911155329</v>
      </c>
    </row>
    <row r="9283" spans="13:16">
      <c r="M9283">
        <v>0.28462250220059632</v>
      </c>
      <c r="N9283">
        <v>0.19083603546200492</v>
      </c>
      <c r="O9283">
        <v>0.26856743833648333</v>
      </c>
      <c r="P9283">
        <v>0.25597402400091551</v>
      </c>
    </row>
    <row r="9284" spans="13:16">
      <c r="M9284">
        <v>0.32622587900418049</v>
      </c>
      <c r="N9284">
        <v>0.17593754064301076</v>
      </c>
      <c r="O9284">
        <v>0.24143404121637713</v>
      </c>
      <c r="P9284">
        <v>0.25640253913643168</v>
      </c>
    </row>
    <row r="9285" spans="13:16">
      <c r="M9285">
        <v>0.29463337782110099</v>
      </c>
      <c r="N9285">
        <v>0.17810334440493239</v>
      </c>
      <c r="O9285">
        <v>0.27037239224325077</v>
      </c>
      <c r="P9285">
        <v>0.25689088553071582</v>
      </c>
    </row>
    <row r="9286" spans="13:16">
      <c r="M9286">
        <v>0.28132755551037741</v>
      </c>
      <c r="N9286">
        <v>0.19249698198270968</v>
      </c>
      <c r="O9286">
        <v>0.23823805723583982</v>
      </c>
      <c r="P9286">
        <v>0.28793740527107309</v>
      </c>
    </row>
    <row r="9287" spans="13:16">
      <c r="M9287">
        <v>0.27204572832448115</v>
      </c>
      <c r="N9287">
        <v>0.18894486913957512</v>
      </c>
      <c r="O9287">
        <v>0.25733330126019222</v>
      </c>
      <c r="P9287">
        <v>0.28167610127575149</v>
      </c>
    </row>
    <row r="9288" spans="13:16">
      <c r="M9288">
        <v>0.28952764772582829</v>
      </c>
      <c r="N9288">
        <v>0.20167734011478317</v>
      </c>
      <c r="O9288">
        <v>0.25576014988679852</v>
      </c>
      <c r="P9288">
        <v>0.25303486227258992</v>
      </c>
    </row>
    <row r="9289" spans="13:16">
      <c r="M9289">
        <v>0.27153527479159129</v>
      </c>
      <c r="N9289">
        <v>0.2077886124099772</v>
      </c>
      <c r="O9289">
        <v>0.24637672681505604</v>
      </c>
      <c r="P9289">
        <v>0.27429938598337555</v>
      </c>
    </row>
    <row r="9290" spans="13:16">
      <c r="M9290">
        <v>0.26446120254844729</v>
      </c>
      <c r="N9290">
        <v>0.20414357146527448</v>
      </c>
      <c r="O9290">
        <v>0.26542944370782667</v>
      </c>
      <c r="P9290">
        <v>0.26596578227845147</v>
      </c>
    </row>
    <row r="9291" spans="13:16">
      <c r="M9291">
        <v>0.29388724499967667</v>
      </c>
      <c r="N9291">
        <v>0.19152287193602072</v>
      </c>
      <c r="O9291">
        <v>0.25171703888142721</v>
      </c>
      <c r="P9291">
        <v>0.26287284418287538</v>
      </c>
    </row>
    <row r="9292" spans="13:16">
      <c r="M9292">
        <v>0.28942584427357126</v>
      </c>
      <c r="N9292">
        <v>0.18758004893887031</v>
      </c>
      <c r="O9292">
        <v>0.23204305073815087</v>
      </c>
      <c r="P9292">
        <v>0.29095105604940757</v>
      </c>
    </row>
    <row r="9293" spans="13:16">
      <c r="M9293">
        <v>0.2779195601953709</v>
      </c>
      <c r="N9293">
        <v>0.17264914765504899</v>
      </c>
      <c r="O9293">
        <v>0.28943308910066712</v>
      </c>
      <c r="P9293">
        <v>0.25999820304891302</v>
      </c>
    </row>
    <row r="9294" spans="13:16">
      <c r="M9294">
        <v>0.27183121523370846</v>
      </c>
      <c r="N9294">
        <v>0.18293203286987039</v>
      </c>
      <c r="O9294">
        <v>0.28175691176008333</v>
      </c>
      <c r="P9294">
        <v>0.2634798401363378</v>
      </c>
    </row>
    <row r="9295" spans="13:16">
      <c r="M9295">
        <v>0.28012533475277235</v>
      </c>
      <c r="N9295">
        <v>0.19562292283534935</v>
      </c>
      <c r="O9295">
        <v>0.27486834565110868</v>
      </c>
      <c r="P9295">
        <v>0.24938339676076968</v>
      </c>
    </row>
    <row r="9296" spans="13:16">
      <c r="M9296">
        <v>0.30068784558428585</v>
      </c>
      <c r="N9296">
        <v>0.1899993846175444</v>
      </c>
      <c r="O9296">
        <v>0.24819349848557862</v>
      </c>
      <c r="P9296">
        <v>0.26111927131259122</v>
      </c>
    </row>
    <row r="9297" spans="13:16">
      <c r="M9297">
        <v>0.30441641847474671</v>
      </c>
      <c r="N9297">
        <v>0.18171670446962146</v>
      </c>
      <c r="O9297">
        <v>0.25142342171499898</v>
      </c>
      <c r="P9297">
        <v>0.26244345534063279</v>
      </c>
    </row>
    <row r="9298" spans="13:16">
      <c r="M9298">
        <v>0.28185543820711761</v>
      </c>
      <c r="N9298">
        <v>0.17682959316500441</v>
      </c>
      <c r="O9298">
        <v>0.27441449543797708</v>
      </c>
      <c r="P9298">
        <v>0.2669004731899009</v>
      </c>
    </row>
    <row r="9299" spans="13:16">
      <c r="M9299">
        <v>0.30577177500316988</v>
      </c>
      <c r="N9299">
        <v>0.16904335050077854</v>
      </c>
      <c r="O9299">
        <v>0.27520353966403821</v>
      </c>
      <c r="P9299">
        <v>0.24998133483201343</v>
      </c>
    </row>
    <row r="9300" spans="13:16">
      <c r="M9300">
        <v>0.29060432730255992</v>
      </c>
      <c r="N9300">
        <v>0.18727753451921919</v>
      </c>
      <c r="O9300">
        <v>0.2602445398882588</v>
      </c>
      <c r="P9300">
        <v>0.26187359828996221</v>
      </c>
    </row>
    <row r="9301" spans="13:16">
      <c r="M9301">
        <v>0.29081572063731154</v>
      </c>
      <c r="N9301">
        <v>0.18480269618638365</v>
      </c>
      <c r="O9301">
        <v>0.2796877078032991</v>
      </c>
      <c r="P9301">
        <v>0.24469387537300569</v>
      </c>
    </row>
    <row r="9302" spans="13:16">
      <c r="M9302">
        <v>0.27608255267726367</v>
      </c>
      <c r="N9302">
        <v>0.18820132065530931</v>
      </c>
      <c r="O9302">
        <v>0.26693199876545193</v>
      </c>
      <c r="P9302">
        <v>0.26878412790197509</v>
      </c>
    </row>
    <row r="9303" spans="13:16">
      <c r="M9303">
        <v>0.26773203256168232</v>
      </c>
      <c r="N9303">
        <v>0.16984568969153213</v>
      </c>
      <c r="O9303">
        <v>0.30631373216958602</v>
      </c>
      <c r="P9303">
        <v>0.2561085455771997</v>
      </c>
    </row>
    <row r="9304" spans="13:16">
      <c r="M9304">
        <v>0.30980066141184909</v>
      </c>
      <c r="N9304">
        <v>0.17648020689084773</v>
      </c>
      <c r="O9304">
        <v>0.25550777489862592</v>
      </c>
      <c r="P9304">
        <v>0.25821135679867735</v>
      </c>
    </row>
    <row r="9305" spans="13:16">
      <c r="M9305">
        <v>0.29231122852285646</v>
      </c>
      <c r="N9305">
        <v>0.19903924369289522</v>
      </c>
      <c r="O9305">
        <v>0.23771215021417841</v>
      </c>
      <c r="P9305">
        <v>0.27093737757007003</v>
      </c>
    </row>
    <row r="9306" spans="13:16">
      <c r="M9306">
        <v>0.28216544672770971</v>
      </c>
      <c r="N9306">
        <v>0.19344259555987617</v>
      </c>
      <c r="O9306">
        <v>0.25446952890181118</v>
      </c>
      <c r="P9306">
        <v>0.26992242881060291</v>
      </c>
    </row>
    <row r="9307" spans="13:16">
      <c r="M9307">
        <v>0.29192490169808982</v>
      </c>
      <c r="N9307">
        <v>0.20225179576694452</v>
      </c>
      <c r="O9307">
        <v>0.23400160974461445</v>
      </c>
      <c r="P9307">
        <v>0.27182169279035123</v>
      </c>
    </row>
    <row r="9308" spans="13:16">
      <c r="M9308">
        <v>0.31021992452518748</v>
      </c>
      <c r="N9308">
        <v>0.17795313544164568</v>
      </c>
      <c r="O9308">
        <v>0.26367892268883875</v>
      </c>
      <c r="P9308">
        <v>0.24814801734432818</v>
      </c>
    </row>
    <row r="9309" spans="13:16">
      <c r="M9309">
        <v>0.26994225992253373</v>
      </c>
      <c r="N9309">
        <v>0.17337050475541266</v>
      </c>
      <c r="O9309">
        <v>0.29350254576640433</v>
      </c>
      <c r="P9309">
        <v>0.26318468955564928</v>
      </c>
    </row>
    <row r="9310" spans="13:16">
      <c r="M9310">
        <v>0.28869666920202552</v>
      </c>
      <c r="N9310">
        <v>0.20364449394310785</v>
      </c>
      <c r="O9310">
        <v>0.25527026075007753</v>
      </c>
      <c r="P9310">
        <v>0.25238857610478899</v>
      </c>
    </row>
    <row r="9311" spans="13:16">
      <c r="M9311">
        <v>0.27926464122362293</v>
      </c>
      <c r="N9311">
        <v>0.18994198098553375</v>
      </c>
      <c r="O9311">
        <v>0.25042135412254868</v>
      </c>
      <c r="P9311">
        <v>0.28037202366829467</v>
      </c>
    </row>
    <row r="9312" spans="13:16">
      <c r="M9312">
        <v>0.29178733963224179</v>
      </c>
      <c r="N9312">
        <v>0.19460522890820167</v>
      </c>
      <c r="O9312">
        <v>0.25223475811027457</v>
      </c>
      <c r="P9312">
        <v>0.26137267334928194</v>
      </c>
    </row>
    <row r="9313" spans="13:16">
      <c r="M9313">
        <v>0.29012904769876618</v>
      </c>
      <c r="N9313">
        <v>0.20349329864806329</v>
      </c>
      <c r="O9313">
        <v>0.23058823334365361</v>
      </c>
      <c r="P9313">
        <v>0.27578942030951686</v>
      </c>
    </row>
    <row r="9314" spans="13:16">
      <c r="M9314">
        <v>0.30249020963180429</v>
      </c>
      <c r="N9314">
        <v>0.16409214256787841</v>
      </c>
      <c r="O9314">
        <v>0.28774150438215923</v>
      </c>
      <c r="P9314">
        <v>0.24567614341815802</v>
      </c>
    </row>
    <row r="9315" spans="13:16">
      <c r="M9315">
        <v>0.27471401825314001</v>
      </c>
      <c r="N9315">
        <v>0.19286715237956698</v>
      </c>
      <c r="O9315">
        <v>0.24783018447172153</v>
      </c>
      <c r="P9315">
        <v>0.28458864489557145</v>
      </c>
    </row>
    <row r="9316" spans="13:16">
      <c r="M9316">
        <v>0.29684035600267739</v>
      </c>
      <c r="N9316">
        <v>0.19374147853645565</v>
      </c>
      <c r="O9316">
        <v>0.24222806950325532</v>
      </c>
      <c r="P9316">
        <v>0.26719009595761173</v>
      </c>
    </row>
    <row r="9317" spans="13:16">
      <c r="M9317">
        <v>0.25528263860145484</v>
      </c>
      <c r="N9317">
        <v>0.19495736923381174</v>
      </c>
      <c r="O9317">
        <v>0.2883007569167218</v>
      </c>
      <c r="P9317">
        <v>0.26145923524801157</v>
      </c>
    </row>
    <row r="9318" spans="13:16">
      <c r="M9318">
        <v>0.29496133240288414</v>
      </c>
      <c r="N9318">
        <v>0.16915252095641642</v>
      </c>
      <c r="O9318">
        <v>0.26781807907503657</v>
      </c>
      <c r="P9318">
        <v>0.26806806756566287</v>
      </c>
    </row>
    <row r="9319" spans="13:16">
      <c r="M9319">
        <v>0.30159635248462158</v>
      </c>
      <c r="N9319">
        <v>0.18141257721925039</v>
      </c>
      <c r="O9319">
        <v>0.25492125768360857</v>
      </c>
      <c r="P9319">
        <v>0.26206981261251949</v>
      </c>
    </row>
    <row r="9320" spans="13:16">
      <c r="M9320">
        <v>0.27341818682178615</v>
      </c>
      <c r="N9320">
        <v>0.19303427378473031</v>
      </c>
      <c r="O9320">
        <v>0.27243685921843325</v>
      </c>
      <c r="P9320">
        <v>0.26111068017505024</v>
      </c>
    </row>
    <row r="9321" spans="13:16">
      <c r="M9321">
        <v>0.29240923427018017</v>
      </c>
      <c r="N9321">
        <v>0.18212967525038998</v>
      </c>
      <c r="O9321">
        <v>0.24777370626659298</v>
      </c>
      <c r="P9321">
        <v>0.27768738421283684</v>
      </c>
    </row>
    <row r="9322" spans="13:16">
      <c r="M9322">
        <v>0.30394638839232413</v>
      </c>
      <c r="N9322">
        <v>0.1728675118402595</v>
      </c>
      <c r="O9322">
        <v>0.25727804476218441</v>
      </c>
      <c r="P9322">
        <v>0.2659080550052319</v>
      </c>
    </row>
    <row r="9323" spans="13:16">
      <c r="M9323">
        <v>0.31268718297403902</v>
      </c>
      <c r="N9323">
        <v>0.19386267423574297</v>
      </c>
      <c r="O9323">
        <v>0.22650846741869607</v>
      </c>
      <c r="P9323">
        <v>0.26694167537152208</v>
      </c>
    </row>
    <row r="9324" spans="13:16">
      <c r="M9324">
        <v>0.29590904091007653</v>
      </c>
      <c r="N9324">
        <v>0.18126396810594958</v>
      </c>
      <c r="O9324">
        <v>0.25452568395610359</v>
      </c>
      <c r="P9324">
        <v>0.26830130702787042</v>
      </c>
    </row>
    <row r="9325" spans="13:16">
      <c r="M9325">
        <v>0.29620957477879106</v>
      </c>
      <c r="N9325">
        <v>0.17027055303656377</v>
      </c>
      <c r="O9325">
        <v>0.27505745263372905</v>
      </c>
      <c r="P9325">
        <v>0.25846241955091609</v>
      </c>
    </row>
    <row r="9326" spans="13:16">
      <c r="M9326">
        <v>0.29680417473456905</v>
      </c>
      <c r="N9326">
        <v>0.18167956154287437</v>
      </c>
      <c r="O9326">
        <v>0.26318748322741764</v>
      </c>
      <c r="P9326">
        <v>0.25832878049513897</v>
      </c>
    </row>
    <row r="9327" spans="13:16">
      <c r="M9327">
        <v>0.27286238281066422</v>
      </c>
      <c r="N9327">
        <v>0.19831097015000054</v>
      </c>
      <c r="O9327">
        <v>0.25256980220784164</v>
      </c>
      <c r="P9327">
        <v>0.2762568448314936</v>
      </c>
    </row>
    <row r="9328" spans="13:16">
      <c r="M9328">
        <v>0.32735833424655097</v>
      </c>
      <c r="N9328">
        <v>0.17236706202138588</v>
      </c>
      <c r="O9328">
        <v>0.22766941504553095</v>
      </c>
      <c r="P9328">
        <v>0.27260518868653227</v>
      </c>
    </row>
    <row r="9329" spans="13:16">
      <c r="M9329">
        <v>0.28512988190042027</v>
      </c>
      <c r="N9329">
        <v>0.18782481435597945</v>
      </c>
      <c r="O9329">
        <v>0.28426080750106242</v>
      </c>
      <c r="P9329">
        <v>0.24278449624253795</v>
      </c>
    </row>
    <row r="9330" spans="13:16">
      <c r="M9330">
        <v>0.29186142389092995</v>
      </c>
      <c r="N9330">
        <v>0.18323316346167187</v>
      </c>
      <c r="O9330">
        <v>0.24635315863257382</v>
      </c>
      <c r="P9330">
        <v>0.27855225401482447</v>
      </c>
    </row>
    <row r="9331" spans="13:16">
      <c r="M9331">
        <v>0.28477348911322586</v>
      </c>
      <c r="N9331">
        <v>0.20009879301444672</v>
      </c>
      <c r="O9331">
        <v>0.24071467977397204</v>
      </c>
      <c r="P9331">
        <v>0.27441303809835527</v>
      </c>
    </row>
    <row r="9332" spans="13:16">
      <c r="M9332">
        <v>0.31876370175173868</v>
      </c>
      <c r="N9332">
        <v>0.16555372787848513</v>
      </c>
      <c r="O9332">
        <v>0.2513196235537164</v>
      </c>
      <c r="P9332">
        <v>0.26436294681605976</v>
      </c>
    </row>
    <row r="9333" spans="13:16">
      <c r="M9333">
        <v>0.27797704208708351</v>
      </c>
      <c r="N9333">
        <v>0.21366109487876747</v>
      </c>
      <c r="O9333">
        <v>0.2345564962232381</v>
      </c>
      <c r="P9333">
        <v>0.27380536681091105</v>
      </c>
    </row>
    <row r="9334" spans="13:16">
      <c r="M9334">
        <v>0.26924171367446476</v>
      </c>
      <c r="N9334">
        <v>0.19560866612665306</v>
      </c>
      <c r="O9334">
        <v>0.27795486502936723</v>
      </c>
      <c r="P9334">
        <v>0.2571947551695149</v>
      </c>
    </row>
    <row r="9335" spans="13:16">
      <c r="M9335">
        <v>0.28229087454650104</v>
      </c>
      <c r="N9335">
        <v>0.1773372174950737</v>
      </c>
      <c r="O9335">
        <v>0.26223860004831778</v>
      </c>
      <c r="P9335">
        <v>0.27813330791010754</v>
      </c>
    </row>
    <row r="9336" spans="13:16">
      <c r="M9336">
        <v>0.27982357146381248</v>
      </c>
      <c r="N9336">
        <v>0.18484331421074821</v>
      </c>
      <c r="O9336">
        <v>0.27065145077223574</v>
      </c>
      <c r="P9336">
        <v>0.26468166355320349</v>
      </c>
    </row>
    <row r="9337" spans="13:16">
      <c r="M9337">
        <v>0.29285749663969024</v>
      </c>
      <c r="N9337">
        <v>0.1703059919441953</v>
      </c>
      <c r="O9337">
        <v>0.2758670481442913</v>
      </c>
      <c r="P9337">
        <v>0.26096946327182319</v>
      </c>
    </row>
    <row r="9338" spans="13:16">
      <c r="M9338">
        <v>0.30144731846908757</v>
      </c>
      <c r="N9338">
        <v>0.20047079780928206</v>
      </c>
      <c r="O9338">
        <v>0.22425810396257839</v>
      </c>
      <c r="P9338">
        <v>0.27382377975905198</v>
      </c>
    </row>
    <row r="9339" spans="13:16">
      <c r="M9339">
        <v>0.28307299527415131</v>
      </c>
      <c r="N9339">
        <v>0.18709010009034707</v>
      </c>
      <c r="O9339">
        <v>0.26603441883328832</v>
      </c>
      <c r="P9339">
        <v>0.26380248580221322</v>
      </c>
    </row>
    <row r="9340" spans="13:16">
      <c r="M9340">
        <v>0.30085413971721475</v>
      </c>
      <c r="N9340">
        <v>0.17619243894886588</v>
      </c>
      <c r="O9340">
        <v>0.27033667332803973</v>
      </c>
      <c r="P9340">
        <v>0.25261674800587963</v>
      </c>
    </row>
    <row r="9341" spans="13:16">
      <c r="M9341">
        <v>0.30644895539757216</v>
      </c>
      <c r="N9341">
        <v>0.17712762727664208</v>
      </c>
      <c r="O9341">
        <v>0.25029971706223597</v>
      </c>
      <c r="P9341">
        <v>0.26612370026354976</v>
      </c>
    </row>
    <row r="9342" spans="13:16">
      <c r="M9342">
        <v>0.26636082881480622</v>
      </c>
      <c r="N9342">
        <v>0.20824704228645552</v>
      </c>
      <c r="O9342">
        <v>0.24737174980275003</v>
      </c>
      <c r="P9342">
        <v>0.27802037909598815</v>
      </c>
    </row>
    <row r="9343" spans="13:16">
      <c r="M9343">
        <v>0.27681561863678916</v>
      </c>
      <c r="N9343">
        <v>0.19036251759026027</v>
      </c>
      <c r="O9343">
        <v>0.26248927387697807</v>
      </c>
      <c r="P9343">
        <v>0.27033258989597247</v>
      </c>
    </row>
    <row r="9344" spans="13:16">
      <c r="M9344">
        <v>0.28913464193782207</v>
      </c>
      <c r="N9344">
        <v>0.17795589745099324</v>
      </c>
      <c r="O9344">
        <v>0.25543948118121546</v>
      </c>
      <c r="P9344">
        <v>0.2774699794299692</v>
      </c>
    </row>
    <row r="9345" spans="13:16">
      <c r="M9345">
        <v>0.28549737401695313</v>
      </c>
      <c r="N9345">
        <v>0.16976685036776656</v>
      </c>
      <c r="O9345">
        <v>0.30418342580937358</v>
      </c>
      <c r="P9345">
        <v>0.24055234980590684</v>
      </c>
    </row>
    <row r="9346" spans="13:16">
      <c r="M9346">
        <v>0.30397160612320129</v>
      </c>
      <c r="N9346">
        <v>0.18968395028879714</v>
      </c>
      <c r="O9346">
        <v>0.24634532380689941</v>
      </c>
      <c r="P9346">
        <v>0.25999911978110207</v>
      </c>
    </row>
    <row r="9347" spans="13:16">
      <c r="M9347">
        <v>0.2970030744694882</v>
      </c>
      <c r="N9347">
        <v>0.18104989917043982</v>
      </c>
      <c r="O9347">
        <v>0.26306473948990783</v>
      </c>
      <c r="P9347">
        <v>0.25888228687016418</v>
      </c>
    </row>
    <row r="9348" spans="13:16">
      <c r="M9348">
        <v>0.29051269339947461</v>
      </c>
      <c r="N9348">
        <v>0.17804782268739169</v>
      </c>
      <c r="O9348">
        <v>0.2674372864837789</v>
      </c>
      <c r="P9348">
        <v>0.26400219742935482</v>
      </c>
    </row>
    <row r="9349" spans="13:16">
      <c r="M9349">
        <v>0.32712375554724155</v>
      </c>
      <c r="N9349">
        <v>0.16872548530042789</v>
      </c>
      <c r="O9349">
        <v>0.24521730847525505</v>
      </c>
      <c r="P9349">
        <v>0.25893345067707552</v>
      </c>
    </row>
    <row r="9350" spans="13:16">
      <c r="M9350">
        <v>0.28275133965996835</v>
      </c>
      <c r="N9350">
        <v>0.18405262898498834</v>
      </c>
      <c r="O9350">
        <v>0.28519393397461634</v>
      </c>
      <c r="P9350">
        <v>0.24800209738042692</v>
      </c>
    </row>
    <row r="9351" spans="13:16">
      <c r="M9351">
        <v>0.30732862145377521</v>
      </c>
      <c r="N9351">
        <v>0.19409670568095386</v>
      </c>
      <c r="O9351">
        <v>0.22501066041254728</v>
      </c>
      <c r="P9351">
        <v>0.27356401245272366</v>
      </c>
    </row>
    <row r="9352" spans="13:16">
      <c r="M9352">
        <v>0.28475302431877925</v>
      </c>
      <c r="N9352">
        <v>0.20025264597547079</v>
      </c>
      <c r="O9352">
        <v>0.24877663147815268</v>
      </c>
      <c r="P9352">
        <v>0.26621769822759728</v>
      </c>
    </row>
    <row r="9353" spans="13:16">
      <c r="M9353">
        <v>0.29786703914114054</v>
      </c>
      <c r="N9353">
        <v>0.19654573156045907</v>
      </c>
      <c r="O9353">
        <v>0.23956200701292529</v>
      </c>
      <c r="P9353">
        <v>0.26602522228547509</v>
      </c>
    </row>
    <row r="9354" spans="13:16">
      <c r="M9354">
        <v>0.2876990976928242</v>
      </c>
      <c r="N9354">
        <v>0.1737525033256109</v>
      </c>
      <c r="O9354">
        <v>0.27847394884569504</v>
      </c>
      <c r="P9354">
        <v>0.26007445013586988</v>
      </c>
    </row>
    <row r="9355" spans="13:16">
      <c r="M9355">
        <v>0.30254665995194824</v>
      </c>
      <c r="N9355">
        <v>0.18181144486647013</v>
      </c>
      <c r="O9355">
        <v>0.24582555258552011</v>
      </c>
      <c r="P9355">
        <v>0.26981634259606152</v>
      </c>
    </row>
    <row r="9356" spans="13:16">
      <c r="M9356">
        <v>0.28919977860714496</v>
      </c>
      <c r="N9356">
        <v>0.18893804030247516</v>
      </c>
      <c r="O9356">
        <v>0.25311231859823291</v>
      </c>
      <c r="P9356">
        <v>0.26874986249214694</v>
      </c>
    </row>
    <row r="9357" spans="13:16">
      <c r="M9357">
        <v>0.28525452975237392</v>
      </c>
      <c r="N9357">
        <v>0.21336040018174238</v>
      </c>
      <c r="O9357">
        <v>0.21949463797000635</v>
      </c>
      <c r="P9357">
        <v>0.28189043209587739</v>
      </c>
    </row>
    <row r="9358" spans="13:16">
      <c r="M9358">
        <v>0.30502857126098215</v>
      </c>
      <c r="N9358">
        <v>0.17840521420617414</v>
      </c>
      <c r="O9358">
        <v>0.2510034574876836</v>
      </c>
      <c r="P9358">
        <v>0.26556275704516014</v>
      </c>
    </row>
    <row r="9359" spans="13:16">
      <c r="M9359">
        <v>0.28127238085005679</v>
      </c>
      <c r="N9359">
        <v>0.16228989339369151</v>
      </c>
      <c r="O9359">
        <v>0.30859172092291587</v>
      </c>
      <c r="P9359">
        <v>0.2478460048333358</v>
      </c>
    </row>
    <row r="9360" spans="13:16">
      <c r="M9360">
        <v>0.29645374088757381</v>
      </c>
      <c r="N9360">
        <v>0.19883759986973729</v>
      </c>
      <c r="O9360">
        <v>0.23618924663946275</v>
      </c>
      <c r="P9360">
        <v>0.26851941260322615</v>
      </c>
    </row>
    <row r="9361" spans="13:16">
      <c r="M9361">
        <v>0.30985004037391073</v>
      </c>
      <c r="N9361">
        <v>0.18081280279418302</v>
      </c>
      <c r="O9361">
        <v>0.24072485068835203</v>
      </c>
      <c r="P9361">
        <v>0.26861230614355419</v>
      </c>
    </row>
    <row r="9362" spans="13:16">
      <c r="M9362">
        <v>0.31346571632152365</v>
      </c>
      <c r="N9362">
        <v>0.17756706521636104</v>
      </c>
      <c r="O9362">
        <v>0.24784910937673801</v>
      </c>
      <c r="P9362">
        <v>0.26111810908537719</v>
      </c>
    </row>
    <row r="9363" spans="13:16">
      <c r="M9363">
        <v>0.28931020487595699</v>
      </c>
      <c r="N9363">
        <v>0.19800180982642504</v>
      </c>
      <c r="O9363">
        <v>0.23894164565662993</v>
      </c>
      <c r="P9363">
        <v>0.27374633964098805</v>
      </c>
    </row>
    <row r="9364" spans="13:16">
      <c r="M9364">
        <v>0.28282421911782174</v>
      </c>
      <c r="N9364">
        <v>0.18048433634178798</v>
      </c>
      <c r="O9364">
        <v>0.27735631817853174</v>
      </c>
      <c r="P9364">
        <v>0.25933512636185846</v>
      </c>
    </row>
    <row r="9365" spans="13:16">
      <c r="M9365">
        <v>0.27565605505687263</v>
      </c>
      <c r="N9365">
        <v>0.18880163102790642</v>
      </c>
      <c r="O9365">
        <v>0.27217828710026482</v>
      </c>
      <c r="P9365">
        <v>0.26336402681495613</v>
      </c>
    </row>
    <row r="9366" spans="13:16">
      <c r="M9366">
        <v>0.30983911515413221</v>
      </c>
      <c r="N9366">
        <v>0.16807063822744736</v>
      </c>
      <c r="O9366">
        <v>0.26423849656527154</v>
      </c>
      <c r="P9366">
        <v>0.25785175005314898</v>
      </c>
    </row>
    <row r="9367" spans="13:16">
      <c r="M9367">
        <v>0.28536092576425826</v>
      </c>
      <c r="N9367">
        <v>0.20403670613184655</v>
      </c>
      <c r="O9367">
        <v>0.24884350787060242</v>
      </c>
      <c r="P9367">
        <v>0.26175886023329281</v>
      </c>
    </row>
    <row r="9368" spans="13:16">
      <c r="M9368">
        <v>0.29935088599294313</v>
      </c>
      <c r="N9368">
        <v>0.18412805002784133</v>
      </c>
      <c r="O9368">
        <v>0.24108898497831069</v>
      </c>
      <c r="P9368">
        <v>0.27543207900090488</v>
      </c>
    </row>
    <row r="9369" spans="13:16">
      <c r="M9369">
        <v>0.30798487381997602</v>
      </c>
      <c r="N9369">
        <v>0.18277509207900211</v>
      </c>
      <c r="O9369">
        <v>0.25033760372224229</v>
      </c>
      <c r="P9369">
        <v>0.25890243037877952</v>
      </c>
    </row>
    <row r="9370" spans="13:16">
      <c r="M9370">
        <v>0.2950839773291144</v>
      </c>
      <c r="N9370">
        <v>0.16919046436546989</v>
      </c>
      <c r="O9370">
        <v>0.28887493802223185</v>
      </c>
      <c r="P9370">
        <v>0.24685062028318375</v>
      </c>
    </row>
    <row r="9371" spans="13:16">
      <c r="M9371">
        <v>0.30672100738430397</v>
      </c>
      <c r="N9371">
        <v>0.19219938903113434</v>
      </c>
      <c r="O9371">
        <v>0.22835023236881619</v>
      </c>
      <c r="P9371">
        <v>0.27272937121574548</v>
      </c>
    </row>
    <row r="9372" spans="13:16">
      <c r="M9372">
        <v>0.2693514818882346</v>
      </c>
      <c r="N9372">
        <v>0.20554408075214919</v>
      </c>
      <c r="O9372">
        <v>0.2504966258090871</v>
      </c>
      <c r="P9372">
        <v>0.27460781155052921</v>
      </c>
    </row>
    <row r="9373" spans="13:16">
      <c r="M9373">
        <v>0.28661572359298282</v>
      </c>
      <c r="N9373">
        <v>0.17552038109729021</v>
      </c>
      <c r="O9373">
        <v>0.28022274876484715</v>
      </c>
      <c r="P9373">
        <v>0.25764114654487985</v>
      </c>
    </row>
    <row r="9374" spans="13:16">
      <c r="M9374">
        <v>0.30828190106385533</v>
      </c>
      <c r="N9374">
        <v>0.18373271932006782</v>
      </c>
      <c r="O9374">
        <v>0.22857885981748066</v>
      </c>
      <c r="P9374">
        <v>0.2794065197985961</v>
      </c>
    </row>
    <row r="9375" spans="13:16">
      <c r="M9375">
        <v>0.298546891300499</v>
      </c>
      <c r="N9375">
        <v>0.18488062929511775</v>
      </c>
      <c r="O9375">
        <v>0.23352061429272375</v>
      </c>
      <c r="P9375">
        <v>0.28305186511165958</v>
      </c>
    </row>
    <row r="9376" spans="13:16">
      <c r="M9376">
        <v>0.27625122300369187</v>
      </c>
      <c r="N9376">
        <v>0.18257084894956607</v>
      </c>
      <c r="O9376">
        <v>0.26629196996436566</v>
      </c>
      <c r="P9376">
        <v>0.27488595808237637</v>
      </c>
    </row>
    <row r="9377" spans="13:16">
      <c r="M9377">
        <v>0.3119832337670464</v>
      </c>
      <c r="N9377">
        <v>0.17181699258039404</v>
      </c>
      <c r="O9377">
        <v>0.26213371521882378</v>
      </c>
      <c r="P9377">
        <v>0.2540660584337357</v>
      </c>
    </row>
    <row r="9378" spans="13:16">
      <c r="M9378">
        <v>0.31234438382596519</v>
      </c>
      <c r="N9378">
        <v>0.16736842885906528</v>
      </c>
      <c r="O9378">
        <v>0.27927858311564691</v>
      </c>
      <c r="P9378">
        <v>0.24100860419932257</v>
      </c>
    </row>
    <row r="9379" spans="13:16">
      <c r="M9379">
        <v>0.272166862069677</v>
      </c>
      <c r="N9379">
        <v>0.1934344032199013</v>
      </c>
      <c r="O9379">
        <v>0.26863965635724718</v>
      </c>
      <c r="P9379">
        <v>0.26575907835317464</v>
      </c>
    </row>
    <row r="9380" spans="13:16">
      <c r="M9380">
        <v>0.30404564877031642</v>
      </c>
      <c r="N9380">
        <v>0.17407455673335065</v>
      </c>
      <c r="O9380">
        <v>0.27012645147823483</v>
      </c>
      <c r="P9380">
        <v>0.25175334301809821</v>
      </c>
    </row>
    <row r="9381" spans="13:16">
      <c r="M9381">
        <v>0.27620311502528117</v>
      </c>
      <c r="N9381">
        <v>0.19019639633719124</v>
      </c>
      <c r="O9381">
        <v>0.25343532205993552</v>
      </c>
      <c r="P9381">
        <v>0.28016516657759205</v>
      </c>
    </row>
    <row r="9382" spans="13:16">
      <c r="M9382">
        <v>0.28937216967522517</v>
      </c>
      <c r="N9382">
        <v>0.19182972212887822</v>
      </c>
      <c r="O9382">
        <v>0.26411795820995748</v>
      </c>
      <c r="P9382">
        <v>0.25468014998593919</v>
      </c>
    </row>
    <row r="9383" spans="13:16">
      <c r="M9383">
        <v>0.29594260097405622</v>
      </c>
      <c r="N9383">
        <v>0.17596537597222153</v>
      </c>
      <c r="O9383">
        <v>0.24631135738508547</v>
      </c>
      <c r="P9383">
        <v>0.28178066566863685</v>
      </c>
    </row>
    <row r="9384" spans="13:16">
      <c r="M9384">
        <v>0.2820051022914562</v>
      </c>
      <c r="N9384">
        <v>0.18513862566623307</v>
      </c>
      <c r="O9384">
        <v>0.25356337179691085</v>
      </c>
      <c r="P9384">
        <v>0.27929290024539988</v>
      </c>
    </row>
    <row r="9385" spans="13:16">
      <c r="M9385">
        <v>0.30170774699107117</v>
      </c>
      <c r="N9385">
        <v>0.17279857205288679</v>
      </c>
      <c r="O9385">
        <v>0.27578827260797045</v>
      </c>
      <c r="P9385">
        <v>0.24970540834807156</v>
      </c>
    </row>
    <row r="9386" spans="13:16">
      <c r="M9386">
        <v>0.30703111739503586</v>
      </c>
      <c r="N9386">
        <v>0.17066854592535552</v>
      </c>
      <c r="O9386">
        <v>0.25483836233314644</v>
      </c>
      <c r="P9386">
        <v>0.26746197434646207</v>
      </c>
    </row>
    <row r="9387" spans="13:16">
      <c r="M9387">
        <v>0.28904126552644149</v>
      </c>
      <c r="N9387">
        <v>0.19132688409329451</v>
      </c>
      <c r="O9387">
        <v>0.2462667360575973</v>
      </c>
      <c r="P9387">
        <v>0.27336511432266675</v>
      </c>
    </row>
    <row r="9388" spans="13:16">
      <c r="M9388">
        <v>0.29057065686742772</v>
      </c>
      <c r="N9388">
        <v>0.19373504077512663</v>
      </c>
      <c r="O9388">
        <v>0.26039116211054875</v>
      </c>
      <c r="P9388">
        <v>0.25530314024689693</v>
      </c>
    </row>
    <row r="9389" spans="13:16">
      <c r="M9389">
        <v>0.29529372662172221</v>
      </c>
      <c r="N9389">
        <v>0.20619327112642594</v>
      </c>
      <c r="O9389">
        <v>0.23179852398850476</v>
      </c>
      <c r="P9389">
        <v>0.2667144782633471</v>
      </c>
    </row>
    <row r="9390" spans="13:16">
      <c r="M9390">
        <v>0.2681196813719624</v>
      </c>
      <c r="N9390">
        <v>0.19317748668074372</v>
      </c>
      <c r="O9390">
        <v>0.26760995305216978</v>
      </c>
      <c r="P9390">
        <v>0.27109287889512418</v>
      </c>
    </row>
    <row r="9391" spans="13:16">
      <c r="M9391">
        <v>0.31049849382659145</v>
      </c>
      <c r="N9391">
        <v>0.17446921719409089</v>
      </c>
      <c r="O9391">
        <v>0.26020770182943037</v>
      </c>
      <c r="P9391">
        <v>0.25482458714988726</v>
      </c>
    </row>
    <row r="9392" spans="13:16">
      <c r="M9392">
        <v>0.28487133770261369</v>
      </c>
      <c r="N9392">
        <v>0.17441258369837703</v>
      </c>
      <c r="O9392">
        <v>0.28365241326998336</v>
      </c>
      <c r="P9392">
        <v>0.25706366532902586</v>
      </c>
    </row>
    <row r="9393" spans="13:16">
      <c r="M9393">
        <v>0.29670467998728539</v>
      </c>
      <c r="N9393">
        <v>0.17436089558692683</v>
      </c>
      <c r="O9393">
        <v>0.25873393844329706</v>
      </c>
      <c r="P9393">
        <v>0.27020048598249069</v>
      </c>
    </row>
    <row r="9394" spans="13:16">
      <c r="M9394">
        <v>0.29670563479896589</v>
      </c>
      <c r="N9394">
        <v>0.18143883941111308</v>
      </c>
      <c r="O9394">
        <v>0.26924786030460846</v>
      </c>
      <c r="P9394">
        <v>0.25260766548531255</v>
      </c>
    </row>
    <row r="9395" spans="13:16">
      <c r="M9395">
        <v>0.28150273483690968</v>
      </c>
      <c r="N9395">
        <v>0.184682371271777</v>
      </c>
      <c r="O9395">
        <v>0.2776742484978032</v>
      </c>
      <c r="P9395">
        <v>0.25614064539351017</v>
      </c>
    </row>
    <row r="9396" spans="13:16">
      <c r="M9396">
        <v>0.29387720475180057</v>
      </c>
      <c r="N9396">
        <v>0.18675531678613855</v>
      </c>
      <c r="O9396">
        <v>0.24470420229291456</v>
      </c>
      <c r="P9396">
        <v>0.27466327616914626</v>
      </c>
    </row>
    <row r="9397" spans="13:16">
      <c r="M9397">
        <v>0.27191990483135892</v>
      </c>
      <c r="N9397">
        <v>0.1936523990530086</v>
      </c>
      <c r="O9397">
        <v>0.26598186418224268</v>
      </c>
      <c r="P9397">
        <v>0.26844583193339</v>
      </c>
    </row>
    <row r="9398" spans="13:16">
      <c r="M9398">
        <v>0.30379262869018087</v>
      </c>
      <c r="N9398">
        <v>0.19260958740796255</v>
      </c>
      <c r="O9398">
        <v>0.23771137285310623</v>
      </c>
      <c r="P9398">
        <v>0.26588641104875044</v>
      </c>
    </row>
    <row r="9399" spans="13:16">
      <c r="M9399">
        <v>0.27267122722522252</v>
      </c>
      <c r="N9399">
        <v>0.1928714972600416</v>
      </c>
      <c r="O9399">
        <v>0.27195691471101274</v>
      </c>
      <c r="P9399">
        <v>0.26250036080372308</v>
      </c>
    </row>
    <row r="9400" spans="13:16">
      <c r="M9400">
        <v>0.29927383861934859</v>
      </c>
      <c r="N9400">
        <v>0.19095128760684596</v>
      </c>
      <c r="O9400">
        <v>0.24497177858929622</v>
      </c>
      <c r="P9400">
        <v>0.26480309518450934</v>
      </c>
    </row>
    <row r="9401" spans="13:16">
      <c r="M9401">
        <v>0.27218141151168668</v>
      </c>
      <c r="N9401">
        <v>0.19426762939876677</v>
      </c>
      <c r="O9401">
        <v>0.26170861037972004</v>
      </c>
      <c r="P9401">
        <v>0.2718423487098266</v>
      </c>
    </row>
    <row r="9402" spans="13:16">
      <c r="M9402">
        <v>0.33219306010259564</v>
      </c>
      <c r="N9402">
        <v>0.16096933591524001</v>
      </c>
      <c r="O9402">
        <v>0.25568923014922162</v>
      </c>
      <c r="P9402">
        <v>0.25114837383294281</v>
      </c>
    </row>
    <row r="9403" spans="13:16">
      <c r="M9403">
        <v>0.28955217315433446</v>
      </c>
      <c r="N9403">
        <v>0.19001880369317353</v>
      </c>
      <c r="O9403">
        <v>0.25017979265929702</v>
      </c>
      <c r="P9403">
        <v>0.27024923049319505</v>
      </c>
    </row>
    <row r="9404" spans="13:16">
      <c r="M9404">
        <v>0.29137452157741256</v>
      </c>
      <c r="N9404">
        <v>0.19598734000620263</v>
      </c>
      <c r="O9404">
        <v>0.2575340741263128</v>
      </c>
      <c r="P9404">
        <v>0.25510406429007187</v>
      </c>
    </row>
    <row r="9405" spans="13:16">
      <c r="M9405">
        <v>0.26658776208488788</v>
      </c>
      <c r="N9405">
        <v>0.17656810488749766</v>
      </c>
      <c r="O9405">
        <v>0.29305040446833919</v>
      </c>
      <c r="P9405">
        <v>0.26379372855927535</v>
      </c>
    </row>
    <row r="9406" spans="13:16">
      <c r="M9406">
        <v>0.31000593547105126</v>
      </c>
      <c r="N9406">
        <v>0.1895897446475244</v>
      </c>
      <c r="O9406">
        <v>0.24617217126772573</v>
      </c>
      <c r="P9406">
        <v>0.25423214861369869</v>
      </c>
    </row>
    <row r="9407" spans="13:16">
      <c r="M9407">
        <v>0.31346773755598284</v>
      </c>
      <c r="N9407">
        <v>0.17776120645344157</v>
      </c>
      <c r="O9407">
        <v>0.24540300705367016</v>
      </c>
      <c r="P9407">
        <v>0.26336804893690546</v>
      </c>
    </row>
    <row r="9408" spans="13:16">
      <c r="M9408">
        <v>0.2936518686703678</v>
      </c>
      <c r="N9408">
        <v>0.18110192311010007</v>
      </c>
      <c r="O9408">
        <v>0.2607178096741723</v>
      </c>
      <c r="P9408">
        <v>0.26452839854535992</v>
      </c>
    </row>
    <row r="9409" spans="13:16">
      <c r="M9409">
        <v>0.27001130277858526</v>
      </c>
      <c r="N9409">
        <v>0.18219393510833018</v>
      </c>
      <c r="O9409">
        <v>0.28472358253218522</v>
      </c>
      <c r="P9409">
        <v>0.26307117958089932</v>
      </c>
    </row>
    <row r="9410" spans="13:16">
      <c r="M9410">
        <v>0.28469864017119628</v>
      </c>
      <c r="N9410">
        <v>0.19007122945446281</v>
      </c>
      <c r="O9410">
        <v>0.2647457932719528</v>
      </c>
      <c r="P9410">
        <v>0.26048433710238816</v>
      </c>
    </row>
    <row r="9411" spans="13:16">
      <c r="M9411">
        <v>0.29622141985967471</v>
      </c>
      <c r="N9411">
        <v>0.17802715040762501</v>
      </c>
      <c r="O9411">
        <v>0.25194113240603011</v>
      </c>
      <c r="P9411">
        <v>0.27381029732667012</v>
      </c>
    </row>
    <row r="9412" spans="13:16">
      <c r="M9412">
        <v>0.28923185002896273</v>
      </c>
      <c r="N9412">
        <v>0.18864428926126961</v>
      </c>
      <c r="O9412">
        <v>0.24351350490913884</v>
      </c>
      <c r="P9412">
        <v>0.27861035580062887</v>
      </c>
    </row>
    <row r="9413" spans="13:16">
      <c r="M9413">
        <v>0.32236971399237846</v>
      </c>
      <c r="N9413">
        <v>0.1727778852839946</v>
      </c>
      <c r="O9413">
        <v>0.23255946388578427</v>
      </c>
      <c r="P9413">
        <v>0.27229293683784273</v>
      </c>
    </row>
    <row r="9414" spans="13:16">
      <c r="M9414">
        <v>0.2883651450443499</v>
      </c>
      <c r="N9414">
        <v>0.20196415149528291</v>
      </c>
      <c r="O9414">
        <v>0.23575334658721819</v>
      </c>
      <c r="P9414">
        <v>0.27391735687314894</v>
      </c>
    </row>
    <row r="9415" spans="13:16">
      <c r="M9415">
        <v>0.29458650684495247</v>
      </c>
      <c r="N9415">
        <v>0.18652394692445468</v>
      </c>
      <c r="O9415">
        <v>0.23851748452369584</v>
      </c>
      <c r="P9415">
        <v>0.28037206170689694</v>
      </c>
    </row>
    <row r="9416" spans="13:16">
      <c r="M9416">
        <v>0.29604802372287908</v>
      </c>
      <c r="N9416">
        <v>0.19630955390088572</v>
      </c>
      <c r="O9416">
        <v>0.25414971775091438</v>
      </c>
      <c r="P9416">
        <v>0.25349270462532092</v>
      </c>
    </row>
    <row r="9417" spans="13:16">
      <c r="M9417">
        <v>0.30678507468037908</v>
      </c>
      <c r="N9417">
        <v>0.16885102397421842</v>
      </c>
      <c r="O9417">
        <v>0.27133761247013338</v>
      </c>
      <c r="P9417">
        <v>0.25302628887526907</v>
      </c>
    </row>
    <row r="9418" spans="13:16">
      <c r="M9418">
        <v>0.3070084386853314</v>
      </c>
      <c r="N9418">
        <v>0.1757659402196991</v>
      </c>
      <c r="O9418">
        <v>0.26969787320335747</v>
      </c>
      <c r="P9418">
        <v>0.24752774789161211</v>
      </c>
    </row>
    <row r="9419" spans="13:16">
      <c r="M9419">
        <v>0.27816228530786824</v>
      </c>
      <c r="N9419">
        <v>0.18652599315677468</v>
      </c>
      <c r="O9419">
        <v>0.27487827480832222</v>
      </c>
      <c r="P9419">
        <v>0.26043344672703489</v>
      </c>
    </row>
    <row r="9420" spans="13:16">
      <c r="M9420">
        <v>0.28430298979479429</v>
      </c>
      <c r="N9420">
        <v>0.20043674983923832</v>
      </c>
      <c r="O9420">
        <v>0.23727924007864484</v>
      </c>
      <c r="P9420">
        <v>0.27798102028732252</v>
      </c>
    </row>
    <row r="9421" spans="13:16">
      <c r="M9421">
        <v>0.2902372090844445</v>
      </c>
      <c r="N9421">
        <v>0.1731253343114835</v>
      </c>
      <c r="O9421">
        <v>0.27286390206043765</v>
      </c>
      <c r="P9421">
        <v>0.26377355454363427</v>
      </c>
    </row>
    <row r="9422" spans="13:16">
      <c r="M9422">
        <v>0.28007172938633568</v>
      </c>
      <c r="N9422">
        <v>0.21093263893910588</v>
      </c>
      <c r="O9422">
        <v>0.24456228798380333</v>
      </c>
      <c r="P9422">
        <v>0.26443334369075505</v>
      </c>
    </row>
    <row r="9423" spans="13:16">
      <c r="M9423">
        <v>0.26906095688116138</v>
      </c>
      <c r="N9423">
        <v>0.19218523310780353</v>
      </c>
      <c r="O9423">
        <v>0.26580881212887142</v>
      </c>
      <c r="P9423">
        <v>0.27294499788216353</v>
      </c>
    </row>
    <row r="9424" spans="13:16">
      <c r="M9424">
        <v>0.28046002027252404</v>
      </c>
      <c r="N9424">
        <v>0.19026589963498189</v>
      </c>
      <c r="O9424">
        <v>0.25865004247314743</v>
      </c>
      <c r="P9424">
        <v>0.27062403761934667</v>
      </c>
    </row>
    <row r="9425" spans="13:16">
      <c r="M9425">
        <v>0.29779587819931691</v>
      </c>
      <c r="N9425">
        <v>0.1996587428872901</v>
      </c>
      <c r="O9425">
        <v>0.22790537360619381</v>
      </c>
      <c r="P9425">
        <v>0.27464000530719901</v>
      </c>
    </row>
    <row r="9426" spans="13:16">
      <c r="M9426">
        <v>0.28730093201551304</v>
      </c>
      <c r="N9426">
        <v>0.19113654431040508</v>
      </c>
      <c r="O9426">
        <v>0.26070218727426842</v>
      </c>
      <c r="P9426">
        <v>0.26086033639981338</v>
      </c>
    </row>
    <row r="9427" spans="13:16">
      <c r="M9427">
        <v>0.29394068335253754</v>
      </c>
      <c r="N9427">
        <v>0.2000338920170992</v>
      </c>
      <c r="O9427">
        <v>0.25043606910948568</v>
      </c>
      <c r="P9427">
        <v>0.25558935552087764</v>
      </c>
    </row>
    <row r="9428" spans="13:16">
      <c r="M9428">
        <v>0.27710596902131951</v>
      </c>
      <c r="N9428">
        <v>0.17272934756195751</v>
      </c>
      <c r="O9428">
        <v>0.28346020122917692</v>
      </c>
      <c r="P9428">
        <v>0.26670448218754605</v>
      </c>
    </row>
    <row r="9429" spans="13:16">
      <c r="M9429">
        <v>0.29658654248456828</v>
      </c>
      <c r="N9429">
        <v>0.19214989260017684</v>
      </c>
      <c r="O9429">
        <v>0.23797985979101283</v>
      </c>
      <c r="P9429">
        <v>0.27328370512424199</v>
      </c>
    </row>
    <row r="9430" spans="13:16">
      <c r="M9430">
        <v>0.28143531678260836</v>
      </c>
      <c r="N9430">
        <v>0.1880662049098005</v>
      </c>
      <c r="O9430">
        <v>0.26872682330103376</v>
      </c>
      <c r="P9430">
        <v>0.26177165500655741</v>
      </c>
    </row>
    <row r="9431" spans="13:16">
      <c r="M9431">
        <v>0.29958360805366546</v>
      </c>
      <c r="N9431">
        <v>0.19289233531828673</v>
      </c>
      <c r="O9431">
        <v>0.25680761351896975</v>
      </c>
      <c r="P9431">
        <v>0.25071644310907787</v>
      </c>
    </row>
    <row r="9432" spans="13:16">
      <c r="M9432">
        <v>0.27555060918104912</v>
      </c>
      <c r="N9432">
        <v>0.17969131593109497</v>
      </c>
      <c r="O9432">
        <v>0.28955937619383998</v>
      </c>
      <c r="P9432">
        <v>0.2551986986940159</v>
      </c>
    </row>
    <row r="9433" spans="13:16">
      <c r="M9433">
        <v>0.31334765263539427</v>
      </c>
      <c r="N9433">
        <v>0.18007711203277571</v>
      </c>
      <c r="O9433">
        <v>0.23142498911147702</v>
      </c>
      <c r="P9433">
        <v>0.27515024622035295</v>
      </c>
    </row>
    <row r="9434" spans="13:16">
      <c r="M9434">
        <v>0.32077894991772216</v>
      </c>
      <c r="N9434">
        <v>0.16372512552846805</v>
      </c>
      <c r="O9434">
        <v>0.27062059050542164</v>
      </c>
      <c r="P9434">
        <v>0.24487533404838802</v>
      </c>
    </row>
    <row r="9435" spans="13:16">
      <c r="M9435">
        <v>0.27791899802481568</v>
      </c>
      <c r="N9435">
        <v>0.19906257127926433</v>
      </c>
      <c r="O9435">
        <v>0.25526625606393866</v>
      </c>
      <c r="P9435">
        <v>0.26775217463198142</v>
      </c>
    </row>
    <row r="9436" spans="13:16">
      <c r="M9436">
        <v>0.27992620963389925</v>
      </c>
      <c r="N9436">
        <v>0.18196495021567399</v>
      </c>
      <c r="O9436">
        <v>0.28470766744581955</v>
      </c>
      <c r="P9436">
        <v>0.2534011727046071</v>
      </c>
    </row>
    <row r="9437" spans="13:16">
      <c r="M9437">
        <v>0.26681523103751031</v>
      </c>
      <c r="N9437">
        <v>0.19047079758725305</v>
      </c>
      <c r="O9437">
        <v>0.27974007415231628</v>
      </c>
      <c r="P9437">
        <v>0.26297389722292031</v>
      </c>
    </row>
    <row r="9438" spans="13:16">
      <c r="M9438">
        <v>0.30274645912502274</v>
      </c>
      <c r="N9438">
        <v>0.19051140420620283</v>
      </c>
      <c r="O9438">
        <v>0.24288491812656379</v>
      </c>
      <c r="P9438">
        <v>0.26385721854221061</v>
      </c>
    </row>
    <row r="9439" spans="13:16">
      <c r="M9439">
        <v>0.27677583067874795</v>
      </c>
      <c r="N9439">
        <v>0.18928338976171571</v>
      </c>
      <c r="O9439">
        <v>0.27506618442352293</v>
      </c>
      <c r="P9439">
        <v>0.25887459513601346</v>
      </c>
    </row>
    <row r="9440" spans="13:16">
      <c r="M9440">
        <v>0.27578554978082254</v>
      </c>
      <c r="N9440">
        <v>0.19384585205218746</v>
      </c>
      <c r="O9440">
        <v>0.25180892976958763</v>
      </c>
      <c r="P9440">
        <v>0.27855966839740237</v>
      </c>
    </row>
    <row r="9441" spans="13:16">
      <c r="M9441">
        <v>0.29531006316923436</v>
      </c>
      <c r="N9441">
        <v>0.18105904955688537</v>
      </c>
      <c r="O9441">
        <v>0.2609335032602374</v>
      </c>
      <c r="P9441">
        <v>0.26269738401364301</v>
      </c>
    </row>
    <row r="9442" spans="13:16">
      <c r="M9442">
        <v>0.29956762277103738</v>
      </c>
      <c r="N9442">
        <v>0.19433925738807642</v>
      </c>
      <c r="O9442">
        <v>0.2338151421532535</v>
      </c>
      <c r="P9442">
        <v>0.27227797768763273</v>
      </c>
    </row>
    <row r="9443" spans="13:16">
      <c r="M9443">
        <v>0.26896820162665708</v>
      </c>
      <c r="N9443">
        <v>0.18765646342981585</v>
      </c>
      <c r="O9443">
        <v>0.26611574165063984</v>
      </c>
      <c r="P9443">
        <v>0.27725959329288735</v>
      </c>
    </row>
    <row r="9444" spans="13:16">
      <c r="M9444">
        <v>0.27926379046558331</v>
      </c>
      <c r="N9444">
        <v>0.20192151469242675</v>
      </c>
      <c r="O9444">
        <v>0.26449791002878797</v>
      </c>
      <c r="P9444">
        <v>0.25431678481320208</v>
      </c>
    </row>
    <row r="9445" spans="13:16">
      <c r="M9445">
        <v>0.28609505388014472</v>
      </c>
      <c r="N9445">
        <v>0.19189034962269963</v>
      </c>
      <c r="O9445">
        <v>0.27365701633992506</v>
      </c>
      <c r="P9445">
        <v>0.24835758015723056</v>
      </c>
    </row>
    <row r="9446" spans="13:16">
      <c r="M9446">
        <v>0.29123545741653906</v>
      </c>
      <c r="N9446">
        <v>0.17261834025366513</v>
      </c>
      <c r="O9446">
        <v>0.27501027448934939</v>
      </c>
      <c r="P9446">
        <v>0.26113592784044642</v>
      </c>
    </row>
    <row r="9447" spans="13:16">
      <c r="M9447">
        <v>0.28310046023036212</v>
      </c>
      <c r="N9447">
        <v>0.1833705895292462</v>
      </c>
      <c r="O9447">
        <v>0.26617876224988191</v>
      </c>
      <c r="P9447">
        <v>0.26735018799050964</v>
      </c>
    </row>
    <row r="9448" spans="13:16">
      <c r="M9448">
        <v>0.32198835129884912</v>
      </c>
      <c r="N9448">
        <v>0.18753882501194338</v>
      </c>
      <c r="O9448">
        <v>0.22507843462262356</v>
      </c>
      <c r="P9448">
        <v>0.26539438906658397</v>
      </c>
    </row>
    <row r="9449" spans="13:16">
      <c r="M9449">
        <v>0.33270187919713234</v>
      </c>
      <c r="N9449">
        <v>0.1709230038424383</v>
      </c>
      <c r="O9449">
        <v>0.24319504113712431</v>
      </c>
      <c r="P9449">
        <v>0.25318007582330504</v>
      </c>
    </row>
    <row r="9450" spans="13:16">
      <c r="M9450">
        <v>0.30429186936310709</v>
      </c>
      <c r="N9450">
        <v>0.20711704543931783</v>
      </c>
      <c r="O9450">
        <v>0.20916107240294199</v>
      </c>
      <c r="P9450">
        <v>0.27943001279463309</v>
      </c>
    </row>
    <row r="9451" spans="13:16">
      <c r="M9451">
        <v>0.30359309214749114</v>
      </c>
      <c r="N9451">
        <v>0.18267386798408811</v>
      </c>
      <c r="O9451">
        <v>0.24094076121357991</v>
      </c>
      <c r="P9451">
        <v>0.27279227865484085</v>
      </c>
    </row>
    <row r="9452" spans="13:16">
      <c r="M9452">
        <v>0.30293480727389716</v>
      </c>
      <c r="N9452">
        <v>0.18144962439267606</v>
      </c>
      <c r="O9452">
        <v>0.26477175649947654</v>
      </c>
      <c r="P9452">
        <v>0.25084381183395021</v>
      </c>
    </row>
    <row r="9453" spans="13:16">
      <c r="M9453">
        <v>0.30108973039785586</v>
      </c>
      <c r="N9453">
        <v>0.18104122050695215</v>
      </c>
      <c r="O9453">
        <v>0.28150449130453192</v>
      </c>
      <c r="P9453">
        <v>0.23636455779066004</v>
      </c>
    </row>
    <row r="9454" spans="13:16">
      <c r="M9454">
        <v>0.29211683204068611</v>
      </c>
      <c r="N9454">
        <v>0.19784307207228266</v>
      </c>
      <c r="O9454">
        <v>0.24275498686464131</v>
      </c>
      <c r="P9454">
        <v>0.26728510902239</v>
      </c>
    </row>
    <row r="9455" spans="13:16">
      <c r="M9455">
        <v>0.29494791948420235</v>
      </c>
      <c r="N9455">
        <v>0.18219681405624352</v>
      </c>
      <c r="O9455">
        <v>0.26448472623438829</v>
      </c>
      <c r="P9455">
        <v>0.25837054022516576</v>
      </c>
    </row>
    <row r="9456" spans="13:16">
      <c r="M9456">
        <v>0.29009572261117067</v>
      </c>
      <c r="N9456">
        <v>0.19740833562567042</v>
      </c>
      <c r="O9456">
        <v>0.23481812043422581</v>
      </c>
      <c r="P9456">
        <v>0.27767782132893304</v>
      </c>
    </row>
    <row r="9457" spans="13:16">
      <c r="M9457">
        <v>0.29431377947494841</v>
      </c>
      <c r="N9457">
        <v>0.18232133657684527</v>
      </c>
      <c r="O9457">
        <v>0.27044055097071878</v>
      </c>
      <c r="P9457">
        <v>0.25292433297748756</v>
      </c>
    </row>
    <row r="9458" spans="13:16">
      <c r="M9458">
        <v>0.30357650699233202</v>
      </c>
      <c r="N9458">
        <v>0.16103868895232501</v>
      </c>
      <c r="O9458">
        <v>0.29397498093235791</v>
      </c>
      <c r="P9458">
        <v>0.24140982312298503</v>
      </c>
    </row>
    <row r="9459" spans="13:16">
      <c r="M9459">
        <v>0.28139668110913268</v>
      </c>
      <c r="N9459">
        <v>0.17560716048032785</v>
      </c>
      <c r="O9459">
        <v>0.28122773362808012</v>
      </c>
      <c r="P9459">
        <v>0.26176842478245943</v>
      </c>
    </row>
    <row r="9460" spans="13:16">
      <c r="M9460">
        <v>0.27235925197298311</v>
      </c>
      <c r="N9460">
        <v>0.19372954535755141</v>
      </c>
      <c r="O9460">
        <v>0.25688762875644144</v>
      </c>
      <c r="P9460">
        <v>0.27702357391302407</v>
      </c>
    </row>
    <row r="9461" spans="13:16">
      <c r="M9461">
        <v>0.31653558474847721</v>
      </c>
      <c r="N9461">
        <v>0.19548532174277106</v>
      </c>
      <c r="O9461">
        <v>0.21064623314049397</v>
      </c>
      <c r="P9461">
        <v>0.27733286036825766</v>
      </c>
    </row>
    <row r="9462" spans="13:16">
      <c r="M9462">
        <v>0.28557920223352573</v>
      </c>
      <c r="N9462">
        <v>0.17987911897202566</v>
      </c>
      <c r="O9462">
        <v>0.26940530469104323</v>
      </c>
      <c r="P9462">
        <v>0.2651363741034054</v>
      </c>
    </row>
    <row r="9463" spans="13:16">
      <c r="M9463">
        <v>0.31853336523390796</v>
      </c>
      <c r="N9463">
        <v>0.16981224160829603</v>
      </c>
      <c r="O9463">
        <v>0.25947217214824814</v>
      </c>
      <c r="P9463">
        <v>0.2521822210095479</v>
      </c>
    </row>
    <row r="9464" spans="13:16">
      <c r="M9464">
        <v>0.2833705695467828</v>
      </c>
      <c r="N9464">
        <v>0.19339198875974553</v>
      </c>
      <c r="O9464">
        <v>0.25050036784028851</v>
      </c>
      <c r="P9464">
        <v>0.27273707385318313</v>
      </c>
    </row>
    <row r="9465" spans="13:16">
      <c r="M9465">
        <v>0.30336940108898436</v>
      </c>
      <c r="N9465">
        <v>0.17844774994759585</v>
      </c>
      <c r="O9465">
        <v>0.2346806242188243</v>
      </c>
      <c r="P9465">
        <v>0.28350222474459569</v>
      </c>
    </row>
    <row r="9466" spans="13:16">
      <c r="M9466">
        <v>0.2950158451559049</v>
      </c>
      <c r="N9466">
        <v>0.18733197682312036</v>
      </c>
      <c r="O9466">
        <v>0.25402072034230649</v>
      </c>
      <c r="P9466">
        <v>0.26363145767866841</v>
      </c>
    </row>
    <row r="9467" spans="13:16">
      <c r="M9467">
        <v>0.28799883309747237</v>
      </c>
      <c r="N9467">
        <v>0.19354435653132782</v>
      </c>
      <c r="O9467">
        <v>0.23197936101493666</v>
      </c>
      <c r="P9467">
        <v>0.28647744935626313</v>
      </c>
    </row>
    <row r="9468" spans="13:16">
      <c r="M9468">
        <v>0.29235156956815173</v>
      </c>
      <c r="N9468">
        <v>0.17285906850621699</v>
      </c>
      <c r="O9468">
        <v>0.28305223157893367</v>
      </c>
      <c r="P9468">
        <v>0.2517371303466977</v>
      </c>
    </row>
    <row r="9469" spans="13:16">
      <c r="M9469">
        <v>0.31106577540798308</v>
      </c>
      <c r="N9469">
        <v>0.18456197786658649</v>
      </c>
      <c r="O9469">
        <v>0.21461846564621095</v>
      </c>
      <c r="P9469">
        <v>0.28975378107921945</v>
      </c>
    </row>
    <row r="9470" spans="13:16">
      <c r="M9470">
        <v>0.29747877454055555</v>
      </c>
      <c r="N9470">
        <v>0.17164900593162818</v>
      </c>
      <c r="O9470">
        <v>0.28188965258482152</v>
      </c>
      <c r="P9470">
        <v>0.24898256694299478</v>
      </c>
    </row>
    <row r="9471" spans="13:16">
      <c r="M9471">
        <v>0.27000072921081725</v>
      </c>
      <c r="N9471">
        <v>0.18993819007038437</v>
      </c>
      <c r="O9471">
        <v>0.29485203217399769</v>
      </c>
      <c r="P9471">
        <v>0.24520904854480061</v>
      </c>
    </row>
    <row r="9472" spans="13:16">
      <c r="M9472">
        <v>0.26708036860991169</v>
      </c>
      <c r="N9472">
        <v>0.19242737595215417</v>
      </c>
      <c r="O9472">
        <v>0.28304101612440469</v>
      </c>
      <c r="P9472">
        <v>0.25745123931352942</v>
      </c>
    </row>
    <row r="9473" spans="13:16">
      <c r="M9473">
        <v>0.27191046396343005</v>
      </c>
      <c r="N9473">
        <v>0.1864145539721648</v>
      </c>
      <c r="O9473">
        <v>0.28086309710327967</v>
      </c>
      <c r="P9473">
        <v>0.26081188496112556</v>
      </c>
    </row>
    <row r="9474" spans="13:16">
      <c r="M9474">
        <v>0.29954132141505485</v>
      </c>
      <c r="N9474">
        <v>0.18823721470698693</v>
      </c>
      <c r="O9474">
        <v>0.24193504680910685</v>
      </c>
      <c r="P9474">
        <v>0.27028641706885126</v>
      </c>
    </row>
    <row r="9475" spans="13:16">
      <c r="M9475">
        <v>0.30480650417800742</v>
      </c>
      <c r="N9475">
        <v>0.18832441495322</v>
      </c>
      <c r="O9475">
        <v>0.26041394490259551</v>
      </c>
      <c r="P9475">
        <v>0.24645513596617713</v>
      </c>
    </row>
    <row r="9476" spans="13:16">
      <c r="M9476">
        <v>0.31677434014989647</v>
      </c>
      <c r="N9476">
        <v>0.17326745797026222</v>
      </c>
      <c r="O9476">
        <v>0.24471743975908278</v>
      </c>
      <c r="P9476">
        <v>0.26524076212075848</v>
      </c>
    </row>
    <row r="9477" spans="13:16">
      <c r="M9477">
        <v>0.28014803618848638</v>
      </c>
      <c r="N9477">
        <v>0.19316301196800723</v>
      </c>
      <c r="O9477">
        <v>0.26803964190067292</v>
      </c>
      <c r="P9477">
        <v>0.25864930994283347</v>
      </c>
    </row>
    <row r="9478" spans="13:16">
      <c r="M9478">
        <v>0.28354146431816196</v>
      </c>
      <c r="N9478">
        <v>0.19341319630002168</v>
      </c>
      <c r="O9478">
        <v>0.24698292389499266</v>
      </c>
      <c r="P9478">
        <v>0.27606241548682353</v>
      </c>
    </row>
    <row r="9479" spans="13:16">
      <c r="M9479">
        <v>0.26044136717593042</v>
      </c>
      <c r="N9479">
        <v>0.20597429582660792</v>
      </c>
      <c r="O9479">
        <v>0.274311293451029</v>
      </c>
      <c r="P9479">
        <v>0.2592730435464326</v>
      </c>
    </row>
    <row r="9480" spans="13:16">
      <c r="M9480">
        <v>0.29934131279755399</v>
      </c>
      <c r="N9480">
        <v>0.19176589858948995</v>
      </c>
      <c r="O9480">
        <v>0.23932124924366624</v>
      </c>
      <c r="P9480">
        <v>0.26957153936928979</v>
      </c>
    </row>
    <row r="9481" spans="13:16">
      <c r="M9481">
        <v>0.2817681261056541</v>
      </c>
      <c r="N9481">
        <v>0.19778816913567498</v>
      </c>
      <c r="O9481">
        <v>0.25081186115399878</v>
      </c>
      <c r="P9481">
        <v>0.26963184360467224</v>
      </c>
    </row>
    <row r="9482" spans="13:16">
      <c r="M9482">
        <v>0.3280602740764002</v>
      </c>
      <c r="N9482">
        <v>0.17218075104449485</v>
      </c>
      <c r="O9482">
        <v>0.24083968914536399</v>
      </c>
      <c r="P9482">
        <v>0.2589192857337409</v>
      </c>
    </row>
    <row r="9483" spans="13:16">
      <c r="M9483">
        <v>0.29342203465068806</v>
      </c>
      <c r="N9483">
        <v>0.16411283820055458</v>
      </c>
      <c r="O9483">
        <v>0.29971460440308839</v>
      </c>
      <c r="P9483">
        <v>0.24275052274566905</v>
      </c>
    </row>
    <row r="9484" spans="13:16">
      <c r="M9484">
        <v>0.31600393112671504</v>
      </c>
      <c r="N9484">
        <v>0.18176721250853134</v>
      </c>
      <c r="O9484">
        <v>0.23555411270342827</v>
      </c>
      <c r="P9484">
        <v>0.26667474366132543</v>
      </c>
    </row>
    <row r="9485" spans="13:16">
      <c r="M9485">
        <v>0.29557376646286415</v>
      </c>
      <c r="N9485">
        <v>0.17265410037468887</v>
      </c>
      <c r="O9485">
        <v>0.26614277636750849</v>
      </c>
      <c r="P9485">
        <v>0.26562935679493849</v>
      </c>
    </row>
    <row r="9486" spans="13:16">
      <c r="M9486">
        <v>0.26013657508945065</v>
      </c>
      <c r="N9486">
        <v>0.20185646766894746</v>
      </c>
      <c r="O9486">
        <v>0.28083111789865262</v>
      </c>
      <c r="P9486">
        <v>0.2571758393429493</v>
      </c>
    </row>
    <row r="9487" spans="13:16">
      <c r="M9487">
        <v>0.29428571984035223</v>
      </c>
      <c r="N9487">
        <v>0.17964114937712555</v>
      </c>
      <c r="O9487">
        <v>0.27263671499523745</v>
      </c>
      <c r="P9487">
        <v>0.25343641578728476</v>
      </c>
    </row>
    <row r="9488" spans="13:16">
      <c r="M9488">
        <v>0.284318134372541</v>
      </c>
      <c r="N9488">
        <v>0.19402397140718702</v>
      </c>
      <c r="O9488">
        <v>0.25737057717355816</v>
      </c>
      <c r="P9488">
        <v>0.26428731704671377</v>
      </c>
    </row>
    <row r="9489" spans="13:16">
      <c r="M9489">
        <v>0.28942309836235131</v>
      </c>
      <c r="N9489">
        <v>0.17400081900628317</v>
      </c>
      <c r="O9489">
        <v>0.27036934075479296</v>
      </c>
      <c r="P9489">
        <v>0.26620674187657273</v>
      </c>
    </row>
    <row r="9490" spans="13:16">
      <c r="M9490">
        <v>0.29447498138298578</v>
      </c>
      <c r="N9490">
        <v>0.18939082476283628</v>
      </c>
      <c r="O9490">
        <v>0.27204456343930694</v>
      </c>
      <c r="P9490">
        <v>0.24408963041487089</v>
      </c>
    </row>
    <row r="9491" spans="13:16">
      <c r="M9491">
        <v>0.31678416097119083</v>
      </c>
      <c r="N9491">
        <v>0.18983638370536463</v>
      </c>
      <c r="O9491">
        <v>0.2319054793394974</v>
      </c>
      <c r="P9491">
        <v>0.26147397598394706</v>
      </c>
    </row>
    <row r="9492" spans="13:16">
      <c r="M9492">
        <v>0.26748797628866955</v>
      </c>
      <c r="N9492">
        <v>0.20286707674651649</v>
      </c>
      <c r="O9492">
        <v>0.26727346620265302</v>
      </c>
      <c r="P9492">
        <v>0.26237148076216105</v>
      </c>
    </row>
    <row r="9493" spans="13:16">
      <c r="M9493">
        <v>0.29393740086757519</v>
      </c>
      <c r="N9493">
        <v>0.18474894009580464</v>
      </c>
      <c r="O9493">
        <v>0.25098836869634228</v>
      </c>
      <c r="P9493">
        <v>0.27032529034027797</v>
      </c>
    </row>
    <row r="9494" spans="13:16">
      <c r="M9494">
        <v>0.28082428557490591</v>
      </c>
      <c r="N9494">
        <v>0.18413367552748422</v>
      </c>
      <c r="O9494">
        <v>0.2796506026281112</v>
      </c>
      <c r="P9494">
        <v>0.25539143626949867</v>
      </c>
    </row>
    <row r="9495" spans="13:16">
      <c r="M9495">
        <v>0.28510832237406752</v>
      </c>
      <c r="N9495">
        <v>0.18781947686534742</v>
      </c>
      <c r="O9495">
        <v>0.26472466666680672</v>
      </c>
      <c r="P9495">
        <v>0.26234753409377837</v>
      </c>
    </row>
    <row r="9496" spans="13:16">
      <c r="M9496">
        <v>0.31427756194378476</v>
      </c>
      <c r="N9496">
        <v>0.18558106070612801</v>
      </c>
      <c r="O9496">
        <v>0.25439678894861351</v>
      </c>
      <c r="P9496">
        <v>0.24574458840147373</v>
      </c>
    </row>
    <row r="9497" spans="13:16">
      <c r="M9497">
        <v>0.30778771451388048</v>
      </c>
      <c r="N9497">
        <v>0.17428289734562774</v>
      </c>
      <c r="O9497">
        <v>0.24976126090448303</v>
      </c>
      <c r="P9497">
        <v>0.26816812723600858</v>
      </c>
    </row>
    <row r="9498" spans="13:16">
      <c r="M9498">
        <v>0.31599890930424934</v>
      </c>
      <c r="N9498">
        <v>0.19695349408630095</v>
      </c>
      <c r="O9498">
        <v>0.21137877223621263</v>
      </c>
      <c r="P9498">
        <v>0.27566882437323714</v>
      </c>
    </row>
    <row r="9499" spans="13:16">
      <c r="M9499">
        <v>0.29756485343538169</v>
      </c>
      <c r="N9499">
        <v>0.20305089472323004</v>
      </c>
      <c r="O9499">
        <v>0.22135941391673661</v>
      </c>
      <c r="P9499">
        <v>0.27802483792465155</v>
      </c>
    </row>
    <row r="9500" spans="13:16">
      <c r="M9500">
        <v>0.28818548670344302</v>
      </c>
      <c r="N9500">
        <v>0.19665234572691107</v>
      </c>
      <c r="O9500">
        <v>0.26249200154199054</v>
      </c>
      <c r="P9500">
        <v>0.25267016602765541</v>
      </c>
    </row>
    <row r="9501" spans="13:16">
      <c r="M9501">
        <v>0.30077195998845113</v>
      </c>
      <c r="N9501">
        <v>0.18109908502775504</v>
      </c>
      <c r="O9501">
        <v>0.24094255292516317</v>
      </c>
      <c r="P9501">
        <v>0.27718640205863065</v>
      </c>
    </row>
    <row r="9502" spans="13:16">
      <c r="M9502">
        <v>0.26067076413107398</v>
      </c>
      <c r="N9502">
        <v>0.19095722735770315</v>
      </c>
      <c r="O9502">
        <v>0.29238595683988627</v>
      </c>
      <c r="P9502">
        <v>0.25598605167133665</v>
      </c>
    </row>
    <row r="9503" spans="13:16">
      <c r="M9503">
        <v>0.29623822635408953</v>
      </c>
      <c r="N9503">
        <v>0.21034228135805014</v>
      </c>
      <c r="O9503">
        <v>0.22641222457666982</v>
      </c>
      <c r="P9503">
        <v>0.26700726771119049</v>
      </c>
    </row>
    <row r="9504" spans="13:16">
      <c r="M9504">
        <v>0.27209246493132938</v>
      </c>
      <c r="N9504">
        <v>0.20465963125068268</v>
      </c>
      <c r="O9504">
        <v>0.26062435418292823</v>
      </c>
      <c r="P9504">
        <v>0.26262354963505968</v>
      </c>
    </row>
    <row r="9505" spans="13:16">
      <c r="M9505">
        <v>0.27132054239509185</v>
      </c>
      <c r="N9505">
        <v>0.20210447336258722</v>
      </c>
      <c r="O9505">
        <v>0.24577386647252622</v>
      </c>
      <c r="P9505">
        <v>0.28080111776979477</v>
      </c>
    </row>
    <row r="9506" spans="13:16">
      <c r="M9506">
        <v>0.28461881051775995</v>
      </c>
      <c r="N9506">
        <v>0.18454164084081995</v>
      </c>
      <c r="O9506">
        <v>0.25003398689674905</v>
      </c>
      <c r="P9506">
        <v>0.28080556174467097</v>
      </c>
    </row>
    <row r="9507" spans="13:16">
      <c r="M9507">
        <v>0.31331392544480319</v>
      </c>
      <c r="N9507">
        <v>0.18782371422581887</v>
      </c>
      <c r="O9507">
        <v>0.22961602223682781</v>
      </c>
      <c r="P9507">
        <v>0.26924633809255011</v>
      </c>
    </row>
    <row r="9508" spans="13:16">
      <c r="M9508">
        <v>0.29399692799985072</v>
      </c>
      <c r="N9508">
        <v>0.18280187080975743</v>
      </c>
      <c r="O9508">
        <v>0.2476014659489281</v>
      </c>
      <c r="P9508">
        <v>0.27559973524146381</v>
      </c>
    </row>
    <row r="9509" spans="13:16">
      <c r="M9509">
        <v>0.28792727307790977</v>
      </c>
      <c r="N9509">
        <v>0.1827860771361608</v>
      </c>
      <c r="O9509">
        <v>0.26430917576955565</v>
      </c>
      <c r="P9509">
        <v>0.26497747401637367</v>
      </c>
    </row>
    <row r="9510" spans="13:16">
      <c r="M9510">
        <v>0.31405570954008216</v>
      </c>
      <c r="N9510">
        <v>0.16032158239194041</v>
      </c>
      <c r="O9510">
        <v>0.28025020717700017</v>
      </c>
      <c r="P9510">
        <v>0.2453725008909772</v>
      </c>
    </row>
    <row r="9511" spans="13:16">
      <c r="M9511">
        <v>0.30025760467151036</v>
      </c>
      <c r="N9511">
        <v>0.16245872670425496</v>
      </c>
      <c r="O9511">
        <v>0.29654071849343766</v>
      </c>
      <c r="P9511">
        <v>0.24074295013079705</v>
      </c>
    </row>
    <row r="9512" spans="13:16">
      <c r="M9512">
        <v>0.30455607565011256</v>
      </c>
      <c r="N9512">
        <v>0.17816844967367571</v>
      </c>
      <c r="O9512">
        <v>0.2613201920296479</v>
      </c>
      <c r="P9512">
        <v>0.25595528264656375</v>
      </c>
    </row>
    <row r="9513" spans="13:16">
      <c r="M9513">
        <v>0.28960282191439074</v>
      </c>
      <c r="N9513">
        <v>0.20280114791662884</v>
      </c>
      <c r="O9513">
        <v>0.22647391830818908</v>
      </c>
      <c r="P9513">
        <v>0.28112211186079133</v>
      </c>
    </row>
    <row r="9514" spans="13:16">
      <c r="M9514">
        <v>0.31016667121134667</v>
      </c>
      <c r="N9514">
        <v>0.17006689172494815</v>
      </c>
      <c r="O9514">
        <v>0.26182247852507362</v>
      </c>
      <c r="P9514">
        <v>0.25794395853863167</v>
      </c>
    </row>
    <row r="9515" spans="13:16">
      <c r="M9515">
        <v>0.2873080315829975</v>
      </c>
      <c r="N9515">
        <v>0.1853036742444201</v>
      </c>
      <c r="O9515">
        <v>0.26331859696821536</v>
      </c>
      <c r="P9515">
        <v>0.26406969720436707</v>
      </c>
    </row>
    <row r="9516" spans="13:16">
      <c r="M9516">
        <v>0.30668929538779305</v>
      </c>
      <c r="N9516">
        <v>0.16458029066869126</v>
      </c>
      <c r="O9516">
        <v>0.27087073344245555</v>
      </c>
      <c r="P9516">
        <v>0.25785968050106023</v>
      </c>
    </row>
    <row r="9517" spans="13:16">
      <c r="M9517">
        <v>0.31269491329892024</v>
      </c>
      <c r="N9517">
        <v>0.16393238025808987</v>
      </c>
      <c r="O9517">
        <v>0.27793360271447248</v>
      </c>
      <c r="P9517">
        <v>0.24543910372851738</v>
      </c>
    </row>
    <row r="9518" spans="13:16">
      <c r="M9518">
        <v>0.28761353508369369</v>
      </c>
      <c r="N9518">
        <v>0.19872421402998924</v>
      </c>
      <c r="O9518">
        <v>0.24816373869385264</v>
      </c>
      <c r="P9518">
        <v>0.26549851219246445</v>
      </c>
    </row>
    <row r="9519" spans="13:16">
      <c r="M9519">
        <v>0.27251899920358147</v>
      </c>
      <c r="N9519">
        <v>0.20004932089792835</v>
      </c>
      <c r="O9519">
        <v>0.26497000402955956</v>
      </c>
      <c r="P9519">
        <v>0.2624616758689306</v>
      </c>
    </row>
    <row r="9520" spans="13:16">
      <c r="M9520">
        <v>0.30771572459548024</v>
      </c>
      <c r="N9520">
        <v>0.18342534570874833</v>
      </c>
      <c r="O9520">
        <v>0.23282739324665025</v>
      </c>
      <c r="P9520">
        <v>0.27603153644912126</v>
      </c>
    </row>
    <row r="9521" spans="13:16">
      <c r="M9521">
        <v>0.29107992431346241</v>
      </c>
      <c r="N9521">
        <v>0.19519026371965748</v>
      </c>
      <c r="O9521">
        <v>0.23455566611697085</v>
      </c>
      <c r="P9521">
        <v>0.27917414584990924</v>
      </c>
    </row>
    <row r="9522" spans="13:16">
      <c r="M9522">
        <v>0.3067673097494642</v>
      </c>
      <c r="N9522">
        <v>0.18620727527098116</v>
      </c>
      <c r="O9522">
        <v>0.22786002039597691</v>
      </c>
      <c r="P9522">
        <v>0.27916539458357781</v>
      </c>
    </row>
    <row r="9523" spans="13:16">
      <c r="M9523">
        <v>0.33256958535156</v>
      </c>
      <c r="N9523">
        <v>0.17133613551411256</v>
      </c>
      <c r="O9523">
        <v>0.2469257950958387</v>
      </c>
      <c r="P9523">
        <v>0.24916848403848862</v>
      </c>
    </row>
    <row r="9524" spans="13:16">
      <c r="M9524">
        <v>0.27121386820792054</v>
      </c>
      <c r="N9524">
        <v>0.19918367778642462</v>
      </c>
      <c r="O9524">
        <v>0.26942098510017604</v>
      </c>
      <c r="P9524">
        <v>0.26018146890547883</v>
      </c>
    </row>
    <row r="9525" spans="13:16">
      <c r="M9525">
        <v>0.28576451509130502</v>
      </c>
      <c r="N9525">
        <v>0.18665632432084037</v>
      </c>
      <c r="O9525">
        <v>0.26316438915617063</v>
      </c>
      <c r="P9525">
        <v>0.26441477143168401</v>
      </c>
    </row>
    <row r="9526" spans="13:16">
      <c r="M9526">
        <v>0.28339114129589454</v>
      </c>
      <c r="N9526">
        <v>0.18554831676193864</v>
      </c>
      <c r="O9526">
        <v>0.26706908524817635</v>
      </c>
      <c r="P9526">
        <v>0.26399145669399054</v>
      </c>
    </row>
    <row r="9527" spans="13:16">
      <c r="M9527">
        <v>0.29977487342565029</v>
      </c>
      <c r="N9527">
        <v>0.1829625710650005</v>
      </c>
      <c r="O9527">
        <v>0.24082094167498347</v>
      </c>
      <c r="P9527">
        <v>0.27644161383436566</v>
      </c>
    </row>
    <row r="9528" spans="13:16">
      <c r="M9528">
        <v>0.28495950546176607</v>
      </c>
      <c r="N9528">
        <v>0.18861674053276967</v>
      </c>
      <c r="O9528">
        <v>0.25425608095975782</v>
      </c>
      <c r="P9528">
        <v>0.27216767304570644</v>
      </c>
    </row>
    <row r="9529" spans="13:16">
      <c r="M9529">
        <v>0.28147151731059267</v>
      </c>
      <c r="N9529">
        <v>0.18049730298125319</v>
      </c>
      <c r="O9529">
        <v>0.28285196378977145</v>
      </c>
      <c r="P9529">
        <v>0.25517921591838266</v>
      </c>
    </row>
    <row r="9530" spans="13:16">
      <c r="M9530">
        <v>0.3087437983841127</v>
      </c>
      <c r="N9530">
        <v>0.17657822946060181</v>
      </c>
      <c r="O9530">
        <v>0.25725751227079979</v>
      </c>
      <c r="P9530">
        <v>0.25742045988448564</v>
      </c>
    </row>
    <row r="9531" spans="13:16">
      <c r="M9531">
        <v>0.26355815259734139</v>
      </c>
      <c r="N9531">
        <v>0.20474074258004521</v>
      </c>
      <c r="O9531">
        <v>0.27015501887045595</v>
      </c>
      <c r="P9531">
        <v>0.26154608595215756</v>
      </c>
    </row>
    <row r="9532" spans="13:16">
      <c r="M9532">
        <v>0.30563538651685551</v>
      </c>
      <c r="N9532">
        <v>0.17607778741585822</v>
      </c>
      <c r="O9532">
        <v>0.26934080673056138</v>
      </c>
      <c r="P9532">
        <v>0.24894601933672492</v>
      </c>
    </row>
    <row r="9533" spans="13:16">
      <c r="M9533">
        <v>0.26813462561995527</v>
      </c>
      <c r="N9533">
        <v>0.18621249766618583</v>
      </c>
      <c r="O9533">
        <v>0.2860277926474778</v>
      </c>
      <c r="P9533">
        <v>0.25962508406638107</v>
      </c>
    </row>
    <row r="9534" spans="13:16">
      <c r="M9534">
        <v>0.3045702056797473</v>
      </c>
      <c r="N9534">
        <v>0.17150689979386405</v>
      </c>
      <c r="O9534">
        <v>0.27112237233288033</v>
      </c>
      <c r="P9534">
        <v>0.25280052219350829</v>
      </c>
    </row>
    <row r="9535" spans="13:16">
      <c r="M9535">
        <v>0.30326603208034486</v>
      </c>
      <c r="N9535">
        <v>0.17582127631337272</v>
      </c>
      <c r="O9535">
        <v>0.25212104743359692</v>
      </c>
      <c r="P9535">
        <v>0.26879164417268547</v>
      </c>
    </row>
    <row r="9536" spans="13:16">
      <c r="M9536">
        <v>0.28547074966296981</v>
      </c>
      <c r="N9536">
        <v>0.17242603026389824</v>
      </c>
      <c r="O9536">
        <v>0.28231766498899979</v>
      </c>
      <c r="P9536">
        <v>0.25978555508413226</v>
      </c>
    </row>
    <row r="9537" spans="13:16">
      <c r="M9537">
        <v>0.29843038612761413</v>
      </c>
      <c r="N9537">
        <v>0.16449956702799959</v>
      </c>
      <c r="O9537">
        <v>0.28633499390213613</v>
      </c>
      <c r="P9537">
        <v>0.25073505294225013</v>
      </c>
    </row>
    <row r="9538" spans="13:16">
      <c r="M9538">
        <v>0.26786361216979265</v>
      </c>
      <c r="N9538">
        <v>0.1712673063441672</v>
      </c>
      <c r="O9538">
        <v>0.29956727325513449</v>
      </c>
      <c r="P9538">
        <v>0.26130180823090576</v>
      </c>
    </row>
    <row r="9539" spans="13:16">
      <c r="M9539">
        <v>0.28580298531792536</v>
      </c>
      <c r="N9539">
        <v>0.17560267922061296</v>
      </c>
      <c r="O9539">
        <v>0.28078434220468007</v>
      </c>
      <c r="P9539">
        <v>0.25780999325678156</v>
      </c>
    </row>
    <row r="9540" spans="13:16">
      <c r="M9540">
        <v>0.29720695247465007</v>
      </c>
      <c r="N9540">
        <v>0.1729732167193806</v>
      </c>
      <c r="O9540">
        <v>0.26795537011349813</v>
      </c>
      <c r="P9540">
        <v>0.26186446069247127</v>
      </c>
    </row>
    <row r="9541" spans="13:16">
      <c r="M9541">
        <v>0.29202840642997591</v>
      </c>
      <c r="N9541">
        <v>0.2007931695906218</v>
      </c>
      <c r="O9541">
        <v>0.24959144743367936</v>
      </c>
      <c r="P9541">
        <v>0.25758697654572293</v>
      </c>
    </row>
    <row r="9542" spans="13:16">
      <c r="M9542">
        <v>0.28196983639229689</v>
      </c>
      <c r="N9542">
        <v>0.1805693474132983</v>
      </c>
      <c r="O9542">
        <v>0.27764004895423788</v>
      </c>
      <c r="P9542">
        <v>0.25982076724016701</v>
      </c>
    </row>
    <row r="9543" spans="13:16">
      <c r="M9543">
        <v>0.29484000080907513</v>
      </c>
      <c r="N9543">
        <v>0.17905035987172227</v>
      </c>
      <c r="O9543">
        <v>0.24990854460658979</v>
      </c>
      <c r="P9543">
        <v>0.27620109471261273</v>
      </c>
    </row>
    <row r="9544" spans="13:16">
      <c r="M9544">
        <v>0.26841701392398898</v>
      </c>
      <c r="N9544">
        <v>0.19504679023912899</v>
      </c>
      <c r="O9544">
        <v>0.28117464904475736</v>
      </c>
      <c r="P9544">
        <v>0.25536154679212464</v>
      </c>
    </row>
    <row r="9545" spans="13:16">
      <c r="M9545">
        <v>0.33011330278362555</v>
      </c>
      <c r="N9545">
        <v>0.17403047138669384</v>
      </c>
      <c r="O9545">
        <v>0.2242026271648023</v>
      </c>
      <c r="P9545">
        <v>0.27165359866487826</v>
      </c>
    </row>
    <row r="9546" spans="13:16">
      <c r="M9546">
        <v>0.2901683288059132</v>
      </c>
      <c r="N9546">
        <v>0.19609446537580613</v>
      </c>
      <c r="O9546">
        <v>0.22163539572175323</v>
      </c>
      <c r="P9546">
        <v>0.29210181009652747</v>
      </c>
    </row>
    <row r="9547" spans="13:16">
      <c r="M9547">
        <v>0.2768167630597248</v>
      </c>
      <c r="N9547">
        <v>0.18767741488585216</v>
      </c>
      <c r="O9547">
        <v>0.28095710090099801</v>
      </c>
      <c r="P9547">
        <v>0.25454872115342503</v>
      </c>
    </row>
    <row r="9548" spans="13:16">
      <c r="M9548">
        <v>0.27198169127425936</v>
      </c>
      <c r="N9548">
        <v>0.19540848056540888</v>
      </c>
      <c r="O9548">
        <v>0.27450328337021496</v>
      </c>
      <c r="P9548">
        <v>0.2581065447901168</v>
      </c>
    </row>
    <row r="9549" spans="13:16">
      <c r="M9549">
        <v>0.28803404939421928</v>
      </c>
      <c r="N9549">
        <v>0.17824641770362759</v>
      </c>
      <c r="O9549">
        <v>0.2633496841360688</v>
      </c>
      <c r="P9549">
        <v>0.27036984876608428</v>
      </c>
    </row>
    <row r="9550" spans="13:16">
      <c r="M9550">
        <v>0.30254717088877942</v>
      </c>
      <c r="N9550">
        <v>0.18331894980127114</v>
      </c>
      <c r="O9550">
        <v>0.26020351221577553</v>
      </c>
      <c r="P9550">
        <v>0.25393036709417399</v>
      </c>
    </row>
    <row r="9551" spans="13:16">
      <c r="M9551">
        <v>0.30737831031083568</v>
      </c>
      <c r="N9551">
        <v>0.17009160255699418</v>
      </c>
      <c r="O9551">
        <v>0.28314361377623293</v>
      </c>
      <c r="P9551">
        <v>0.23938647335593721</v>
      </c>
    </row>
    <row r="9552" spans="13:16">
      <c r="M9552">
        <v>0.28855022438674255</v>
      </c>
      <c r="N9552">
        <v>0.20328115139176814</v>
      </c>
      <c r="O9552">
        <v>0.24500746332453491</v>
      </c>
      <c r="P9552">
        <v>0.2631611608969544</v>
      </c>
    </row>
    <row r="9553" spans="13:16">
      <c r="M9553">
        <v>0.30455951158403427</v>
      </c>
      <c r="N9553">
        <v>0.1890674456650239</v>
      </c>
      <c r="O9553">
        <v>0.24570180839401626</v>
      </c>
      <c r="P9553">
        <v>0.26067123435692563</v>
      </c>
    </row>
    <row r="9554" spans="13:16">
      <c r="M9554">
        <v>0.30301207102241251</v>
      </c>
      <c r="N9554">
        <v>0.18183870107068403</v>
      </c>
      <c r="O9554">
        <v>0.2412115069949187</v>
      </c>
      <c r="P9554">
        <v>0.27393772091198476</v>
      </c>
    </row>
    <row r="9555" spans="13:16">
      <c r="M9555">
        <v>0.30646697187305583</v>
      </c>
      <c r="N9555">
        <v>0.16408113177005215</v>
      </c>
      <c r="O9555">
        <v>0.28407799390220873</v>
      </c>
      <c r="P9555">
        <v>0.24537390245468335</v>
      </c>
    </row>
    <row r="9556" spans="13:16">
      <c r="M9556">
        <v>0.28477110205211298</v>
      </c>
      <c r="N9556">
        <v>0.17508888833018796</v>
      </c>
      <c r="O9556">
        <v>0.29104640571248475</v>
      </c>
      <c r="P9556">
        <v>0.24909360390521432</v>
      </c>
    </row>
    <row r="9557" spans="13:16">
      <c r="M9557">
        <v>0.31882779983681236</v>
      </c>
      <c r="N9557">
        <v>0.17901635382426756</v>
      </c>
      <c r="O9557">
        <v>0.2330296581494046</v>
      </c>
      <c r="P9557">
        <v>0.2691261881895155</v>
      </c>
    </row>
    <row r="9558" spans="13:16">
      <c r="M9558">
        <v>0.28022699358479281</v>
      </c>
      <c r="N9558">
        <v>0.18986428313004783</v>
      </c>
      <c r="O9558">
        <v>0.27236953974841743</v>
      </c>
      <c r="P9558">
        <v>0.25753918353674199</v>
      </c>
    </row>
    <row r="9559" spans="13:16">
      <c r="M9559">
        <v>0.2797201343635452</v>
      </c>
      <c r="N9559">
        <v>0.1851217689163491</v>
      </c>
      <c r="O9559">
        <v>0.27557019240002356</v>
      </c>
      <c r="P9559">
        <v>0.25958790432008211</v>
      </c>
    </row>
    <row r="9560" spans="13:16">
      <c r="M9560">
        <v>0.30107452655887962</v>
      </c>
      <c r="N9560">
        <v>0.17606214444493526</v>
      </c>
      <c r="O9560">
        <v>0.24234020289835212</v>
      </c>
      <c r="P9560">
        <v>0.28052312609783298</v>
      </c>
    </row>
    <row r="9561" spans="13:16">
      <c r="M9561">
        <v>0.3084273324201508</v>
      </c>
      <c r="N9561">
        <v>0.19187504986047313</v>
      </c>
      <c r="O9561">
        <v>0.24744920788151165</v>
      </c>
      <c r="P9561">
        <v>0.25224840983786445</v>
      </c>
    </row>
    <row r="9562" spans="13:16">
      <c r="M9562">
        <v>0.26635955174433662</v>
      </c>
      <c r="N9562">
        <v>0.20875355062538642</v>
      </c>
      <c r="O9562">
        <v>0.25407401134556257</v>
      </c>
      <c r="P9562">
        <v>0.27081288628471434</v>
      </c>
    </row>
    <row r="9563" spans="13:16">
      <c r="M9563">
        <v>0.32541034584658113</v>
      </c>
      <c r="N9563">
        <v>0.18335927156432824</v>
      </c>
      <c r="O9563">
        <v>0.22375948739776544</v>
      </c>
      <c r="P9563">
        <v>0.26747089519132516</v>
      </c>
    </row>
    <row r="9564" spans="13:16">
      <c r="M9564">
        <v>0.30412634122503923</v>
      </c>
      <c r="N9564">
        <v>0.17334068559765847</v>
      </c>
      <c r="O9564">
        <v>0.26175357149242517</v>
      </c>
      <c r="P9564">
        <v>0.26077940168487718</v>
      </c>
    </row>
    <row r="9565" spans="13:16">
      <c r="M9565">
        <v>0.28483512840875397</v>
      </c>
      <c r="N9565">
        <v>0.20479991664718178</v>
      </c>
      <c r="O9565">
        <v>0.22320115484032577</v>
      </c>
      <c r="P9565">
        <v>0.28716380010373849</v>
      </c>
    </row>
    <row r="9566" spans="13:16">
      <c r="M9566">
        <v>0.28014069736750302</v>
      </c>
      <c r="N9566">
        <v>0.18107894434218941</v>
      </c>
      <c r="O9566">
        <v>0.27964072603049839</v>
      </c>
      <c r="P9566">
        <v>0.25913963225980918</v>
      </c>
    </row>
    <row r="9567" spans="13:16">
      <c r="M9567">
        <v>0.27388816171743641</v>
      </c>
      <c r="N9567">
        <v>0.17964465968846469</v>
      </c>
      <c r="O9567">
        <v>0.27841875620986134</v>
      </c>
      <c r="P9567">
        <v>0.26804842238423759</v>
      </c>
    </row>
    <row r="9568" spans="13:16">
      <c r="M9568">
        <v>0.27751152337625162</v>
      </c>
      <c r="N9568">
        <v>0.17808415418224899</v>
      </c>
      <c r="O9568">
        <v>0.28603941432484054</v>
      </c>
      <c r="P9568">
        <v>0.25836490811665885</v>
      </c>
    </row>
    <row r="9569" spans="13:16">
      <c r="M9569">
        <v>0.32974062751877053</v>
      </c>
      <c r="N9569">
        <v>0.16725253986863334</v>
      </c>
      <c r="O9569">
        <v>0.23890458520068711</v>
      </c>
      <c r="P9569">
        <v>0.26410224741190902</v>
      </c>
    </row>
    <row r="9570" spans="13:16">
      <c r="M9570">
        <v>0.29025920218917722</v>
      </c>
      <c r="N9570">
        <v>0.18912881268695836</v>
      </c>
      <c r="O9570">
        <v>0.2640361306412527</v>
      </c>
      <c r="P9570">
        <v>0.25657585448261178</v>
      </c>
    </row>
    <row r="9571" spans="13:16">
      <c r="M9571">
        <v>0.3227081444037192</v>
      </c>
      <c r="N9571">
        <v>0.16754769498398001</v>
      </c>
      <c r="O9571">
        <v>0.25120621554364486</v>
      </c>
      <c r="P9571">
        <v>0.25853794506865596</v>
      </c>
    </row>
    <row r="9572" spans="13:16">
      <c r="M9572">
        <v>0.309799129669655</v>
      </c>
      <c r="N9572">
        <v>0.1830373633608631</v>
      </c>
      <c r="O9572">
        <v>0.25116641905206533</v>
      </c>
      <c r="P9572">
        <v>0.25599708791741654</v>
      </c>
    </row>
    <row r="9573" spans="13:16">
      <c r="M9573">
        <v>0.29596066549654154</v>
      </c>
      <c r="N9573">
        <v>0.18509220993269893</v>
      </c>
      <c r="O9573">
        <v>0.24948904275943601</v>
      </c>
      <c r="P9573">
        <v>0.26945808181132336</v>
      </c>
    </row>
    <row r="9574" spans="13:16">
      <c r="M9574">
        <v>0.2941009597144329</v>
      </c>
      <c r="N9574">
        <v>0.19129436365245223</v>
      </c>
      <c r="O9574">
        <v>0.22343567155421956</v>
      </c>
      <c r="P9574">
        <v>0.29116900507889526</v>
      </c>
    </row>
    <row r="9575" spans="13:16">
      <c r="M9575">
        <v>0.27195995755122671</v>
      </c>
      <c r="N9575">
        <v>0.17957167857664749</v>
      </c>
      <c r="O9575">
        <v>0.28844288866500845</v>
      </c>
      <c r="P9575">
        <v>0.26002547520711733</v>
      </c>
    </row>
    <row r="9576" spans="13:16">
      <c r="M9576">
        <v>0.28078034433532445</v>
      </c>
      <c r="N9576">
        <v>0.18741957728737862</v>
      </c>
      <c r="O9576">
        <v>0.25695215619904699</v>
      </c>
      <c r="P9576">
        <v>0.2748479221782501</v>
      </c>
    </row>
    <row r="9577" spans="13:16">
      <c r="M9577">
        <v>0.27804532790626468</v>
      </c>
      <c r="N9577">
        <v>0.18276387654697329</v>
      </c>
      <c r="O9577">
        <v>0.28393748833947058</v>
      </c>
      <c r="P9577">
        <v>0.25525330720729139</v>
      </c>
    </row>
    <row r="9578" spans="13:16">
      <c r="M9578">
        <v>0.29855197873122552</v>
      </c>
      <c r="N9578">
        <v>0.18078989534584713</v>
      </c>
      <c r="O9578">
        <v>0.26160779184004884</v>
      </c>
      <c r="P9578">
        <v>0.25905033408287836</v>
      </c>
    </row>
    <row r="9579" spans="13:16">
      <c r="M9579">
        <v>0.28514213030463476</v>
      </c>
      <c r="N9579">
        <v>0.18829961329719555</v>
      </c>
      <c r="O9579">
        <v>0.26190812735086211</v>
      </c>
      <c r="P9579">
        <v>0.26465012904730756</v>
      </c>
    </row>
    <row r="9580" spans="13:16">
      <c r="M9580">
        <v>0.25744447155850564</v>
      </c>
      <c r="N9580">
        <v>0.18695329515538797</v>
      </c>
      <c r="O9580">
        <v>0.29862711553610705</v>
      </c>
      <c r="P9580">
        <v>0.25697511774999937</v>
      </c>
    </row>
    <row r="9581" spans="13:16">
      <c r="M9581">
        <v>0.27045806334242223</v>
      </c>
      <c r="N9581">
        <v>0.17806893227807458</v>
      </c>
      <c r="O9581">
        <v>0.29431809616470944</v>
      </c>
      <c r="P9581">
        <v>0.25715490821479386</v>
      </c>
    </row>
    <row r="9582" spans="13:16">
      <c r="M9582">
        <v>0.27437170642650716</v>
      </c>
      <c r="N9582">
        <v>0.20120547693554525</v>
      </c>
      <c r="O9582">
        <v>0.25921059173747907</v>
      </c>
      <c r="P9582">
        <v>0.26521222490046842</v>
      </c>
    </row>
    <row r="9583" spans="13:16">
      <c r="M9583">
        <v>0.30623844033644054</v>
      </c>
      <c r="N9583">
        <v>0.17043081657231784</v>
      </c>
      <c r="O9583">
        <v>0.28110832592525398</v>
      </c>
      <c r="P9583">
        <v>0.24222241716598769</v>
      </c>
    </row>
    <row r="9584" spans="13:16">
      <c r="M9584">
        <v>0.28771121021051504</v>
      </c>
      <c r="N9584">
        <v>0.20133275039416873</v>
      </c>
      <c r="O9584">
        <v>0.25306992524533628</v>
      </c>
      <c r="P9584">
        <v>0.25788611414997992</v>
      </c>
    </row>
    <row r="9585" spans="13:16">
      <c r="M9585">
        <v>0.29786170176309401</v>
      </c>
      <c r="N9585">
        <v>0.16398282362172978</v>
      </c>
      <c r="O9585">
        <v>0.28829073095252006</v>
      </c>
      <c r="P9585">
        <v>0.24986474366265626</v>
      </c>
    </row>
    <row r="9586" spans="13:16">
      <c r="M9586">
        <v>0.28598203565490993</v>
      </c>
      <c r="N9586">
        <v>0.18242272591477568</v>
      </c>
      <c r="O9586">
        <v>0.27040580661025371</v>
      </c>
      <c r="P9586">
        <v>0.26118943182006066</v>
      </c>
    </row>
    <row r="9587" spans="13:16">
      <c r="M9587">
        <v>0.29796738545189255</v>
      </c>
      <c r="N9587">
        <v>0.19363071290276884</v>
      </c>
      <c r="O9587">
        <v>0.25485006945549465</v>
      </c>
      <c r="P9587">
        <v>0.25355183218984384</v>
      </c>
    </row>
    <row r="9588" spans="13:16">
      <c r="M9588">
        <v>0.2736009568891648</v>
      </c>
      <c r="N9588">
        <v>0.21675876420475657</v>
      </c>
      <c r="O9588">
        <v>0.23213948811379542</v>
      </c>
      <c r="P9588">
        <v>0.27750079079228313</v>
      </c>
    </row>
    <row r="9589" spans="13:16">
      <c r="M9589">
        <v>0.30513514889457127</v>
      </c>
      <c r="N9589">
        <v>0.18518221929295423</v>
      </c>
      <c r="O9589">
        <v>0.24311554471526353</v>
      </c>
      <c r="P9589">
        <v>0.26656708709721089</v>
      </c>
    </row>
    <row r="9590" spans="13:16">
      <c r="M9590">
        <v>0.28367438735444028</v>
      </c>
      <c r="N9590">
        <v>0.17563450874634784</v>
      </c>
      <c r="O9590">
        <v>0.26761684399453839</v>
      </c>
      <c r="P9590">
        <v>0.27307425990467354</v>
      </c>
    </row>
    <row r="9591" spans="13:16">
      <c r="M9591">
        <v>0.26856761768416482</v>
      </c>
      <c r="N9591">
        <v>0.19357310901710817</v>
      </c>
      <c r="O9591">
        <v>0.26864137511700253</v>
      </c>
      <c r="P9591">
        <v>0.26921789818172465</v>
      </c>
    </row>
    <row r="9592" spans="13:16">
      <c r="M9592">
        <v>0.28923902923170991</v>
      </c>
      <c r="N9592">
        <v>0.16712236005115819</v>
      </c>
      <c r="O9592">
        <v>0.30060213254393542</v>
      </c>
      <c r="P9592">
        <v>0.24303647817319637</v>
      </c>
    </row>
    <row r="9593" spans="13:16">
      <c r="M9593">
        <v>0.30086153266930343</v>
      </c>
      <c r="N9593">
        <v>0.17219717756655764</v>
      </c>
      <c r="O9593">
        <v>0.2753559158240943</v>
      </c>
      <c r="P9593">
        <v>0.2515853739400446</v>
      </c>
    </row>
    <row r="9594" spans="13:16">
      <c r="M9594">
        <v>0.27723932243373456</v>
      </c>
      <c r="N9594">
        <v>0.19792072083686224</v>
      </c>
      <c r="O9594">
        <v>0.24454049391284433</v>
      </c>
      <c r="P9594">
        <v>0.28029946281655876</v>
      </c>
    </row>
    <row r="9595" spans="13:16">
      <c r="M9595">
        <v>0.29730847053576315</v>
      </c>
      <c r="N9595">
        <v>0.18406716378984508</v>
      </c>
      <c r="O9595">
        <v>0.24565980890590938</v>
      </c>
      <c r="P9595">
        <v>0.27296455676848247</v>
      </c>
    </row>
    <row r="9596" spans="13:16">
      <c r="M9596">
        <v>0.27321543899299594</v>
      </c>
      <c r="N9596">
        <v>0.18918692480708407</v>
      </c>
      <c r="O9596">
        <v>0.27348834004620831</v>
      </c>
      <c r="P9596">
        <v>0.26410929615371159</v>
      </c>
    </row>
    <row r="9597" spans="13:16">
      <c r="M9597">
        <v>0.28980407618359411</v>
      </c>
      <c r="N9597">
        <v>0.18001739363625635</v>
      </c>
      <c r="O9597">
        <v>0.27718186626933616</v>
      </c>
      <c r="P9597">
        <v>0.25299666391081332</v>
      </c>
    </row>
    <row r="9598" spans="13:16">
      <c r="M9598">
        <v>0.30058601290049231</v>
      </c>
      <c r="N9598">
        <v>0.17762285797558572</v>
      </c>
      <c r="O9598">
        <v>0.23570295090296589</v>
      </c>
      <c r="P9598">
        <v>0.28608817822095617</v>
      </c>
    </row>
    <row r="9599" spans="13:16">
      <c r="M9599">
        <v>0.29577083232520462</v>
      </c>
      <c r="N9599">
        <v>0.17831643124263361</v>
      </c>
      <c r="O9599">
        <v>0.27121922150517447</v>
      </c>
      <c r="P9599">
        <v>0.25469351492698716</v>
      </c>
    </row>
    <row r="9600" spans="13:16">
      <c r="M9600">
        <v>0.2846802664870412</v>
      </c>
      <c r="N9600">
        <v>0.18651180396137523</v>
      </c>
      <c r="O9600">
        <v>0.26101311955105788</v>
      </c>
      <c r="P9600">
        <v>0.26779481000052563</v>
      </c>
    </row>
    <row r="9601" spans="13:16">
      <c r="M9601">
        <v>0.28094963593509154</v>
      </c>
      <c r="N9601">
        <v>0.18474147384670106</v>
      </c>
      <c r="O9601">
        <v>0.26379569467967029</v>
      </c>
      <c r="P9601">
        <v>0.27051319553853709</v>
      </c>
    </row>
    <row r="9602" spans="13:16">
      <c r="M9602">
        <v>0.28436707394628652</v>
      </c>
      <c r="N9602">
        <v>0.20406974138582498</v>
      </c>
      <c r="O9602">
        <v>0.23105592726979363</v>
      </c>
      <c r="P9602">
        <v>0.28050725739809479</v>
      </c>
    </row>
    <row r="9603" spans="13:16">
      <c r="M9603">
        <v>0.31079891272001015</v>
      </c>
      <c r="N9603">
        <v>0.1772675051958964</v>
      </c>
      <c r="O9603">
        <v>0.2465760622813809</v>
      </c>
      <c r="P9603">
        <v>0.26535751980271255</v>
      </c>
    </row>
    <row r="9604" spans="13:16">
      <c r="M9604">
        <v>0.30326960609078141</v>
      </c>
      <c r="N9604">
        <v>0.20129575926524557</v>
      </c>
      <c r="O9604">
        <v>0.2217986589782639</v>
      </c>
      <c r="P9604">
        <v>0.27363597566570919</v>
      </c>
    </row>
    <row r="9605" spans="13:16">
      <c r="M9605">
        <v>0.27302819266859529</v>
      </c>
      <c r="N9605">
        <v>0.19537540801609307</v>
      </c>
      <c r="O9605">
        <v>0.28717115240519325</v>
      </c>
      <c r="P9605">
        <v>0.24442524691011835</v>
      </c>
    </row>
    <row r="9606" spans="13:16">
      <c r="M9606">
        <v>0.2668172347068723</v>
      </c>
      <c r="N9606">
        <v>0.17670009646005569</v>
      </c>
      <c r="O9606">
        <v>0.29117112939966261</v>
      </c>
      <c r="P9606">
        <v>0.2653115394334094</v>
      </c>
    </row>
    <row r="9607" spans="13:16">
      <c r="M9607">
        <v>0.27325579078158629</v>
      </c>
      <c r="N9607">
        <v>0.17450029346415735</v>
      </c>
      <c r="O9607">
        <v>0.2920468933132595</v>
      </c>
      <c r="P9607">
        <v>0.26019702244099691</v>
      </c>
    </row>
    <row r="9608" spans="13:16">
      <c r="M9608">
        <v>0.3088984198980616</v>
      </c>
      <c r="N9608">
        <v>0.19683634591184035</v>
      </c>
      <c r="O9608">
        <v>0.21773859602712209</v>
      </c>
      <c r="P9608">
        <v>0.2765266381629759</v>
      </c>
    </row>
    <row r="9609" spans="13:16">
      <c r="M9609">
        <v>0.28133343503695418</v>
      </c>
      <c r="N9609">
        <v>0.19851882202091045</v>
      </c>
      <c r="O9609">
        <v>0.23583874103925728</v>
      </c>
      <c r="P9609">
        <v>0.28430900190287811</v>
      </c>
    </row>
    <row r="9610" spans="13:16">
      <c r="M9610">
        <v>0.28589539925422763</v>
      </c>
      <c r="N9610">
        <v>0.17000606162665308</v>
      </c>
      <c r="O9610">
        <v>0.28911509809447733</v>
      </c>
      <c r="P9610">
        <v>0.25498344102464188</v>
      </c>
    </row>
    <row r="9611" spans="13:16">
      <c r="M9611">
        <v>0.2999777477065792</v>
      </c>
      <c r="N9611">
        <v>0.191084542510949</v>
      </c>
      <c r="O9611">
        <v>0.23817450902017637</v>
      </c>
      <c r="P9611">
        <v>0.2707632007622956</v>
      </c>
    </row>
    <row r="9612" spans="13:16">
      <c r="M9612">
        <v>0.28081329699066088</v>
      </c>
      <c r="N9612">
        <v>0.18381847336605248</v>
      </c>
      <c r="O9612">
        <v>0.27260038952364868</v>
      </c>
      <c r="P9612">
        <v>0.26276784011963789</v>
      </c>
    </row>
    <row r="9613" spans="13:16">
      <c r="M9613">
        <v>0.30259355283963379</v>
      </c>
      <c r="N9613">
        <v>0.17621689773688426</v>
      </c>
      <c r="O9613">
        <v>0.24466466737748024</v>
      </c>
      <c r="P9613">
        <v>0.27652488204600167</v>
      </c>
    </row>
    <row r="9614" spans="13:16">
      <c r="M9614">
        <v>0.30159689057618233</v>
      </c>
      <c r="N9614">
        <v>0.18668954064978172</v>
      </c>
      <c r="O9614">
        <v>0.23193687001833244</v>
      </c>
      <c r="P9614">
        <v>0.27977669875570355</v>
      </c>
    </row>
    <row r="9615" spans="13:16">
      <c r="M9615">
        <v>0.30748162289452374</v>
      </c>
      <c r="N9615">
        <v>0.16646657137150647</v>
      </c>
      <c r="O9615">
        <v>0.27288857313469045</v>
      </c>
      <c r="P9615">
        <v>0.25316323259927936</v>
      </c>
    </row>
    <row r="9616" spans="13:16">
      <c r="M9616">
        <v>0.30679010510604238</v>
      </c>
      <c r="N9616">
        <v>0.1737592730116419</v>
      </c>
      <c r="O9616">
        <v>0.26127232837439535</v>
      </c>
      <c r="P9616">
        <v>0.25817829350792038</v>
      </c>
    </row>
    <row r="9617" spans="13:16">
      <c r="M9617">
        <v>0.30501746264231844</v>
      </c>
      <c r="N9617">
        <v>0.17334961808503399</v>
      </c>
      <c r="O9617">
        <v>0.27935601265535687</v>
      </c>
      <c r="P9617">
        <v>0.24227690661729062</v>
      </c>
    </row>
    <row r="9618" spans="13:16">
      <c r="M9618">
        <v>0.30103440228982181</v>
      </c>
      <c r="N9618">
        <v>0.18564778418441946</v>
      </c>
      <c r="O9618">
        <v>0.24840831712256511</v>
      </c>
      <c r="P9618">
        <v>0.2649094964031935</v>
      </c>
    </row>
    <row r="9619" spans="13:16">
      <c r="M9619">
        <v>0.29353014775097308</v>
      </c>
      <c r="N9619">
        <v>0.19572493556870268</v>
      </c>
      <c r="O9619">
        <v>0.23568885378612123</v>
      </c>
      <c r="P9619">
        <v>0.27505606289420298</v>
      </c>
    </row>
    <row r="9620" spans="13:16">
      <c r="M9620">
        <v>0.30881977897240193</v>
      </c>
      <c r="N9620">
        <v>0.17127273598994522</v>
      </c>
      <c r="O9620">
        <v>0.27429615649010031</v>
      </c>
      <c r="P9620">
        <v>0.24561132854755247</v>
      </c>
    </row>
    <row r="9621" spans="13:16">
      <c r="M9621">
        <v>0.30184647763886657</v>
      </c>
      <c r="N9621">
        <v>0.17724107242102388</v>
      </c>
      <c r="O9621">
        <v>0.27303856628121981</v>
      </c>
      <c r="P9621">
        <v>0.24787388365888977</v>
      </c>
    </row>
    <row r="9622" spans="13:16">
      <c r="M9622">
        <v>0.30243075052397156</v>
      </c>
      <c r="N9622">
        <v>0.18160050603487146</v>
      </c>
      <c r="O9622">
        <v>0.24703229387194509</v>
      </c>
      <c r="P9622">
        <v>0.26893644956921192</v>
      </c>
    </row>
    <row r="9623" spans="13:16">
      <c r="M9623">
        <v>0.27204134968673549</v>
      </c>
      <c r="N9623">
        <v>0.20088881492871422</v>
      </c>
      <c r="O9623">
        <v>0.26739323634544943</v>
      </c>
      <c r="P9623">
        <v>0.25967659903910079</v>
      </c>
    </row>
    <row r="9624" spans="13:16">
      <c r="M9624">
        <v>0.28105808854647546</v>
      </c>
      <c r="N9624">
        <v>0.21687531417735331</v>
      </c>
      <c r="O9624">
        <v>0.2347797988706242</v>
      </c>
      <c r="P9624">
        <v>0.26728679840554714</v>
      </c>
    </row>
    <row r="9625" spans="13:16">
      <c r="M9625">
        <v>0.28730464364674357</v>
      </c>
      <c r="N9625">
        <v>0.18992223070159114</v>
      </c>
      <c r="O9625">
        <v>0.25418622804380692</v>
      </c>
      <c r="P9625">
        <v>0.26858689760785842</v>
      </c>
    </row>
    <row r="9626" spans="13:16">
      <c r="M9626">
        <v>0.26214820571318881</v>
      </c>
      <c r="N9626">
        <v>0.17809147720912943</v>
      </c>
      <c r="O9626">
        <v>0.29844961534398479</v>
      </c>
      <c r="P9626">
        <v>0.26131070173369697</v>
      </c>
    </row>
    <row r="9627" spans="13:16">
      <c r="M9627">
        <v>0.30021751765847071</v>
      </c>
      <c r="N9627">
        <v>0.17608444128563674</v>
      </c>
      <c r="O9627">
        <v>0.27431778306727034</v>
      </c>
      <c r="P9627">
        <v>0.24938025798862221</v>
      </c>
    </row>
    <row r="9628" spans="13:16">
      <c r="M9628">
        <v>0.26674734588288301</v>
      </c>
      <c r="N9628">
        <v>0.2016787839631099</v>
      </c>
      <c r="O9628">
        <v>0.25978440019783627</v>
      </c>
      <c r="P9628">
        <v>0.27178946995617087</v>
      </c>
    </row>
    <row r="9629" spans="13:16">
      <c r="M9629">
        <v>0.31742670848339866</v>
      </c>
      <c r="N9629">
        <v>0.17137952803589335</v>
      </c>
      <c r="O9629">
        <v>0.24766272854179081</v>
      </c>
      <c r="P9629">
        <v>0.26353103493891722</v>
      </c>
    </row>
    <row r="9630" spans="13:16">
      <c r="M9630">
        <v>0.28757121298755511</v>
      </c>
      <c r="N9630">
        <v>0.21949417537245641</v>
      </c>
      <c r="O9630">
        <v>0.22100950151004645</v>
      </c>
      <c r="P9630">
        <v>0.27192511012994203</v>
      </c>
    </row>
    <row r="9631" spans="13:16">
      <c r="M9631">
        <v>0.29671973469859098</v>
      </c>
      <c r="N9631">
        <v>0.20132132818337012</v>
      </c>
      <c r="O9631">
        <v>0.24391656661764624</v>
      </c>
      <c r="P9631">
        <v>0.25804237050039275</v>
      </c>
    </row>
    <row r="9632" spans="13:16">
      <c r="M9632">
        <v>0.26793306126959471</v>
      </c>
      <c r="N9632">
        <v>0.19938777972912006</v>
      </c>
      <c r="O9632">
        <v>0.271321545775563</v>
      </c>
      <c r="P9632">
        <v>0.26135761322572226</v>
      </c>
    </row>
    <row r="9633" spans="13:16">
      <c r="M9633">
        <v>0.28930837383083202</v>
      </c>
      <c r="N9633">
        <v>0.17826822610241672</v>
      </c>
      <c r="O9633">
        <v>0.24801012037269221</v>
      </c>
      <c r="P9633">
        <v>0.28441327969405905</v>
      </c>
    </row>
    <row r="9634" spans="13:16">
      <c r="M9634">
        <v>0.2919443154789168</v>
      </c>
      <c r="N9634">
        <v>0.20502038020517549</v>
      </c>
      <c r="O9634">
        <v>0.24170417228454372</v>
      </c>
      <c r="P9634">
        <v>0.2613311320313641</v>
      </c>
    </row>
    <row r="9635" spans="13:16">
      <c r="M9635">
        <v>0.32303726859129628</v>
      </c>
      <c r="N9635">
        <v>0.18567782888970455</v>
      </c>
      <c r="O9635">
        <v>0.21596843270551083</v>
      </c>
      <c r="P9635">
        <v>0.27531646981348845</v>
      </c>
    </row>
    <row r="9636" spans="13:16">
      <c r="M9636">
        <v>0.29399228312701026</v>
      </c>
      <c r="N9636">
        <v>0.18128921148332172</v>
      </c>
      <c r="O9636">
        <v>0.25269959146651022</v>
      </c>
      <c r="P9636">
        <v>0.27201891392315786</v>
      </c>
    </row>
    <row r="9637" spans="13:16">
      <c r="M9637">
        <v>0.27534080350855633</v>
      </c>
      <c r="N9637">
        <v>0.19608271920610312</v>
      </c>
      <c r="O9637">
        <v>0.27809823849931981</v>
      </c>
      <c r="P9637">
        <v>0.25047823878602082</v>
      </c>
    </row>
    <row r="9638" spans="13:16">
      <c r="M9638">
        <v>0.28104590499688381</v>
      </c>
      <c r="N9638">
        <v>0.18194590657307039</v>
      </c>
      <c r="O9638">
        <v>0.26319032888760208</v>
      </c>
      <c r="P9638">
        <v>0.27381785954244386</v>
      </c>
    </row>
    <row r="9639" spans="13:16">
      <c r="M9639">
        <v>0.26274733995082578</v>
      </c>
      <c r="N9639">
        <v>0.18702272324313818</v>
      </c>
      <c r="O9639">
        <v>0.28056007842137637</v>
      </c>
      <c r="P9639">
        <v>0.26966985838465968</v>
      </c>
    </row>
    <row r="9640" spans="13:16">
      <c r="M9640">
        <v>0.25805994812705813</v>
      </c>
      <c r="N9640">
        <v>0.18276483309854719</v>
      </c>
      <c r="O9640">
        <v>0.29953072293236788</v>
      </c>
      <c r="P9640">
        <v>0.25964449584202676</v>
      </c>
    </row>
    <row r="9641" spans="13:16">
      <c r="M9641">
        <v>0.2713501466687212</v>
      </c>
      <c r="N9641">
        <v>0.19410473675336179</v>
      </c>
      <c r="O9641">
        <v>0.28552633184410342</v>
      </c>
      <c r="P9641">
        <v>0.24901878473381361</v>
      </c>
    </row>
    <row r="9642" spans="13:16">
      <c r="M9642">
        <v>0.30596284625185755</v>
      </c>
      <c r="N9642">
        <v>0.17123639398178386</v>
      </c>
      <c r="O9642">
        <v>0.27802673846907411</v>
      </c>
      <c r="P9642">
        <v>0.24477402129728446</v>
      </c>
    </row>
    <row r="9643" spans="13:16">
      <c r="M9643">
        <v>0.28602555519827383</v>
      </c>
      <c r="N9643">
        <v>0.18718285148866665</v>
      </c>
      <c r="O9643">
        <v>0.2688671379613593</v>
      </c>
      <c r="P9643">
        <v>0.25792445535170017</v>
      </c>
    </row>
    <row r="9644" spans="13:16">
      <c r="M9644">
        <v>0.29286987140827314</v>
      </c>
      <c r="N9644">
        <v>0.20264356568799535</v>
      </c>
      <c r="O9644">
        <v>0.22806550538126633</v>
      </c>
      <c r="P9644">
        <v>0.27642105752246515</v>
      </c>
    </row>
    <row r="9645" spans="13:16">
      <c r="M9645">
        <v>0.27917036520045213</v>
      </c>
      <c r="N9645">
        <v>0.19029013482176291</v>
      </c>
      <c r="O9645">
        <v>0.26640349260466673</v>
      </c>
      <c r="P9645">
        <v>0.26413600737311815</v>
      </c>
    </row>
    <row r="9646" spans="13:16">
      <c r="M9646">
        <v>0.29128151685713222</v>
      </c>
      <c r="N9646">
        <v>0.18912274146903368</v>
      </c>
      <c r="O9646">
        <v>0.22651197553964941</v>
      </c>
      <c r="P9646">
        <v>0.29308376613418463</v>
      </c>
    </row>
    <row r="9647" spans="13:16">
      <c r="M9647">
        <v>0.29953939159193232</v>
      </c>
      <c r="N9647">
        <v>0.20120797714810645</v>
      </c>
      <c r="O9647">
        <v>0.23145835156624237</v>
      </c>
      <c r="P9647">
        <v>0.26779427969371872</v>
      </c>
    </row>
    <row r="9648" spans="13:16">
      <c r="M9648">
        <v>0.29810096662447999</v>
      </c>
      <c r="N9648">
        <v>0.19325751249760409</v>
      </c>
      <c r="O9648">
        <v>0.24052731053395421</v>
      </c>
      <c r="P9648">
        <v>0.26811421034396177</v>
      </c>
    </row>
    <row r="9649" spans="13:16">
      <c r="M9649">
        <v>0.29927765151919089</v>
      </c>
      <c r="N9649">
        <v>0.17208732790554609</v>
      </c>
      <c r="O9649">
        <v>0.27258936896683861</v>
      </c>
      <c r="P9649">
        <v>0.2560456516084243</v>
      </c>
    </row>
    <row r="9650" spans="13:16">
      <c r="M9650">
        <v>0.30482130340860369</v>
      </c>
      <c r="N9650">
        <v>0.18906554246716825</v>
      </c>
      <c r="O9650">
        <v>0.25331606501099835</v>
      </c>
      <c r="P9650">
        <v>0.25279708911322973</v>
      </c>
    </row>
    <row r="9651" spans="13:16">
      <c r="M9651">
        <v>0.28001637140517327</v>
      </c>
      <c r="N9651">
        <v>0.21434295523410779</v>
      </c>
      <c r="O9651">
        <v>0.21799718113538671</v>
      </c>
      <c r="P9651">
        <v>0.28764349222533225</v>
      </c>
    </row>
    <row r="9652" spans="13:16">
      <c r="M9652">
        <v>0.29806787864020223</v>
      </c>
      <c r="N9652">
        <v>0.18381133697120428</v>
      </c>
      <c r="O9652">
        <v>0.25146433429187215</v>
      </c>
      <c r="P9652">
        <v>0.26665645009672123</v>
      </c>
    </row>
    <row r="9653" spans="13:16">
      <c r="M9653">
        <v>0.3044270983959031</v>
      </c>
      <c r="N9653">
        <v>0.18205651383321045</v>
      </c>
      <c r="O9653">
        <v>0.2422173827363914</v>
      </c>
      <c r="P9653">
        <v>0.271299005034495</v>
      </c>
    </row>
    <row r="9654" spans="13:16">
      <c r="M9654">
        <v>0.28109171706477476</v>
      </c>
      <c r="N9654">
        <v>0.17890896062669462</v>
      </c>
      <c r="O9654">
        <v>0.28200764874172157</v>
      </c>
      <c r="P9654">
        <v>0.25799167356680908</v>
      </c>
    </row>
    <row r="9655" spans="13:16">
      <c r="M9655">
        <v>0.26428688911621973</v>
      </c>
      <c r="N9655">
        <v>0.2018629307419296</v>
      </c>
      <c r="O9655">
        <v>0.26098071802243439</v>
      </c>
      <c r="P9655">
        <v>0.27286946211941632</v>
      </c>
    </row>
    <row r="9656" spans="13:16">
      <c r="M9656">
        <v>0.27715454356601055</v>
      </c>
      <c r="N9656">
        <v>0.20576359993355009</v>
      </c>
      <c r="O9656">
        <v>0.25449467621770117</v>
      </c>
      <c r="P9656">
        <v>0.26258718028273814</v>
      </c>
    </row>
    <row r="9657" spans="13:16">
      <c r="M9657">
        <v>0.3188662868049813</v>
      </c>
      <c r="N9657">
        <v>0.18611624583352751</v>
      </c>
      <c r="O9657">
        <v>0.21467913724426541</v>
      </c>
      <c r="P9657">
        <v>0.28033833011722581</v>
      </c>
    </row>
    <row r="9658" spans="13:16">
      <c r="M9658">
        <v>0.27392115688205254</v>
      </c>
      <c r="N9658">
        <v>0.2008465630720887</v>
      </c>
      <c r="O9658">
        <v>0.24594006963859119</v>
      </c>
      <c r="P9658">
        <v>0.27929221040726759</v>
      </c>
    </row>
    <row r="9659" spans="13:16">
      <c r="M9659">
        <v>0.27837687704271447</v>
      </c>
      <c r="N9659">
        <v>0.19617826636684874</v>
      </c>
      <c r="O9659">
        <v>0.25593376998894751</v>
      </c>
      <c r="P9659">
        <v>0.26951108660148915</v>
      </c>
    </row>
    <row r="9660" spans="13:16">
      <c r="M9660">
        <v>0.2632459801099401</v>
      </c>
      <c r="N9660">
        <v>0.18393779173091332</v>
      </c>
      <c r="O9660">
        <v>0.28901700197754787</v>
      </c>
      <c r="P9660">
        <v>0.26379922618159862</v>
      </c>
    </row>
    <row r="9661" spans="13:16">
      <c r="M9661">
        <v>0.31002087343093931</v>
      </c>
      <c r="N9661">
        <v>0.19902251908971302</v>
      </c>
      <c r="O9661">
        <v>0.22045774241550528</v>
      </c>
      <c r="P9661">
        <v>0.27049886506384246</v>
      </c>
    </row>
    <row r="9662" spans="13:16">
      <c r="M9662">
        <v>0.31445164092706179</v>
      </c>
      <c r="N9662">
        <v>0.16587102757976838</v>
      </c>
      <c r="O9662">
        <v>0.27281932537258774</v>
      </c>
      <c r="P9662">
        <v>0.24685800612058209</v>
      </c>
    </row>
    <row r="9663" spans="13:16">
      <c r="M9663">
        <v>0.28457828775993604</v>
      </c>
      <c r="N9663">
        <v>0.183126766614124</v>
      </c>
      <c r="O9663">
        <v>0.27531389482327051</v>
      </c>
      <c r="P9663">
        <v>0.25698105080266948</v>
      </c>
    </row>
    <row r="9664" spans="13:16">
      <c r="M9664">
        <v>0.30672395881113701</v>
      </c>
      <c r="N9664">
        <v>0.19751549774246588</v>
      </c>
      <c r="O9664">
        <v>0.2236260239149423</v>
      </c>
      <c r="P9664">
        <v>0.27213451953145479</v>
      </c>
    </row>
    <row r="9665" spans="13:16">
      <c r="M9665">
        <v>0.29032469628957874</v>
      </c>
      <c r="N9665">
        <v>0.18864922259999248</v>
      </c>
      <c r="O9665">
        <v>0.27182278757594464</v>
      </c>
      <c r="P9665">
        <v>0.24920329353448414</v>
      </c>
    </row>
    <row r="9666" spans="13:16">
      <c r="M9666">
        <v>0.28115796711148799</v>
      </c>
      <c r="N9666">
        <v>0.18833196424211701</v>
      </c>
      <c r="O9666">
        <v>0.25851619224960848</v>
      </c>
      <c r="P9666">
        <v>0.2719938763967864</v>
      </c>
    </row>
    <row r="9667" spans="13:16">
      <c r="M9667">
        <v>0.2893207859021642</v>
      </c>
      <c r="N9667">
        <v>0.1970809214691161</v>
      </c>
      <c r="O9667">
        <v>0.24248896845997017</v>
      </c>
      <c r="P9667">
        <v>0.27110932416874944</v>
      </c>
    </row>
    <row r="9668" spans="13:16">
      <c r="M9668">
        <v>0.29613415753809669</v>
      </c>
      <c r="N9668">
        <v>0.17672899475541204</v>
      </c>
      <c r="O9668">
        <v>0.25749918819558032</v>
      </c>
      <c r="P9668">
        <v>0.26963765951091084</v>
      </c>
    </row>
    <row r="9669" spans="13:16">
      <c r="M9669">
        <v>0.31395982207043727</v>
      </c>
      <c r="N9669">
        <v>0.20010183162576745</v>
      </c>
      <c r="O9669">
        <v>0.23161382859350566</v>
      </c>
      <c r="P9669">
        <v>0.25432451771028963</v>
      </c>
    </row>
    <row r="9670" spans="13:16">
      <c r="M9670">
        <v>0.32748035064200509</v>
      </c>
      <c r="N9670">
        <v>0.1851552248172576</v>
      </c>
      <c r="O9670">
        <v>0.21519127500421606</v>
      </c>
      <c r="P9670">
        <v>0.27217314953652127</v>
      </c>
    </row>
    <row r="9671" spans="13:16">
      <c r="M9671">
        <v>0.28125808539541047</v>
      </c>
      <c r="N9671">
        <v>0.18086870470800612</v>
      </c>
      <c r="O9671">
        <v>0.28467398932738758</v>
      </c>
      <c r="P9671">
        <v>0.25319922056919597</v>
      </c>
    </row>
    <row r="9672" spans="13:16">
      <c r="M9672">
        <v>0.26916586616038202</v>
      </c>
      <c r="N9672">
        <v>0.19557582420082836</v>
      </c>
      <c r="O9672">
        <v>0.27365025181277708</v>
      </c>
      <c r="P9672">
        <v>0.26160805782601237</v>
      </c>
    </row>
    <row r="9673" spans="13:16">
      <c r="M9673">
        <v>0.32475956462151767</v>
      </c>
      <c r="N9673">
        <v>0.18478977583517525</v>
      </c>
      <c r="O9673">
        <v>0.24077057124103937</v>
      </c>
      <c r="P9673">
        <v>0.24968008830226759</v>
      </c>
    </row>
    <row r="9674" spans="13:16">
      <c r="M9674">
        <v>0.2761675822514677</v>
      </c>
      <c r="N9674">
        <v>0.18989076466783852</v>
      </c>
      <c r="O9674">
        <v>0.27263485517222463</v>
      </c>
      <c r="P9674">
        <v>0.26130679790846922</v>
      </c>
    </row>
    <row r="9675" spans="13:16">
      <c r="M9675">
        <v>0.28661570265808123</v>
      </c>
      <c r="N9675">
        <v>0.19269898358827039</v>
      </c>
      <c r="O9675">
        <v>0.24613400845859928</v>
      </c>
      <c r="P9675">
        <v>0.27455130529504912</v>
      </c>
    </row>
    <row r="9676" spans="13:16">
      <c r="M9676">
        <v>0.28437023162688713</v>
      </c>
      <c r="N9676">
        <v>0.17511147637674232</v>
      </c>
      <c r="O9676">
        <v>0.27102591951461819</v>
      </c>
      <c r="P9676">
        <v>0.26949237248175251</v>
      </c>
    </row>
    <row r="9677" spans="13:16">
      <c r="M9677">
        <v>0.28246110208227437</v>
      </c>
      <c r="N9677">
        <v>0.17633734775082682</v>
      </c>
      <c r="O9677">
        <v>0.28867772130227831</v>
      </c>
      <c r="P9677">
        <v>0.25252382886462066</v>
      </c>
    </row>
    <row r="9678" spans="13:16">
      <c r="M9678">
        <v>0.27640448721894129</v>
      </c>
      <c r="N9678">
        <v>0.20503502502949236</v>
      </c>
      <c r="O9678">
        <v>0.25920980771149937</v>
      </c>
      <c r="P9678">
        <v>0.25935068004006689</v>
      </c>
    </row>
    <row r="9679" spans="13:16">
      <c r="M9679">
        <v>0.29993721734729489</v>
      </c>
      <c r="N9679">
        <v>0.17119056756016163</v>
      </c>
      <c r="O9679">
        <v>0.28241761775324087</v>
      </c>
      <c r="P9679">
        <v>0.24645459733930267</v>
      </c>
    </row>
    <row r="9680" spans="13:16">
      <c r="M9680">
        <v>0.30916626993632779</v>
      </c>
      <c r="N9680">
        <v>0.17517855433684537</v>
      </c>
      <c r="O9680">
        <v>0.24932375088768741</v>
      </c>
      <c r="P9680">
        <v>0.26633142483913935</v>
      </c>
    </row>
    <row r="9681" spans="13:16">
      <c r="M9681">
        <v>0.28833334720592962</v>
      </c>
      <c r="N9681">
        <v>0.17892825563943285</v>
      </c>
      <c r="O9681">
        <v>0.27436288235489953</v>
      </c>
      <c r="P9681">
        <v>0.25837551479973808</v>
      </c>
    </row>
    <row r="9682" spans="13:16">
      <c r="M9682">
        <v>0.28759133961319883</v>
      </c>
      <c r="N9682">
        <v>0.17326645682516689</v>
      </c>
      <c r="O9682">
        <v>0.29596489850802482</v>
      </c>
      <c r="P9682">
        <v>0.24317730505360932</v>
      </c>
    </row>
    <row r="9683" spans="13:16">
      <c r="M9683">
        <v>0.26257409240533081</v>
      </c>
      <c r="N9683">
        <v>0.1937713098228549</v>
      </c>
      <c r="O9683">
        <v>0.27155367995350616</v>
      </c>
      <c r="P9683">
        <v>0.2721009178183082</v>
      </c>
    </row>
    <row r="9684" spans="13:16">
      <c r="M9684">
        <v>0.29154881420587914</v>
      </c>
      <c r="N9684">
        <v>0.19755709641886002</v>
      </c>
      <c r="O9684">
        <v>0.25064997339352668</v>
      </c>
      <c r="P9684">
        <v>0.26024411598173419</v>
      </c>
    </row>
    <row r="9685" spans="13:16">
      <c r="M9685">
        <v>0.30191071200953717</v>
      </c>
      <c r="N9685">
        <v>0.16814003579159936</v>
      </c>
      <c r="O9685">
        <v>0.2798805526376355</v>
      </c>
      <c r="P9685">
        <v>0.25006869956122801</v>
      </c>
    </row>
    <row r="9686" spans="13:16">
      <c r="M9686">
        <v>0.29477158777713458</v>
      </c>
      <c r="N9686">
        <v>0.16669029812426658</v>
      </c>
      <c r="O9686">
        <v>0.27691903537311297</v>
      </c>
      <c r="P9686">
        <v>0.26161907872548573</v>
      </c>
    </row>
    <row r="9687" spans="13:16">
      <c r="M9687">
        <v>0.31994435210927485</v>
      </c>
      <c r="N9687">
        <v>0.17156224020988786</v>
      </c>
      <c r="O9687">
        <v>0.2440099567674946</v>
      </c>
      <c r="P9687">
        <v>0.26448345091334274</v>
      </c>
    </row>
    <row r="9688" spans="13:16">
      <c r="M9688">
        <v>0.27813826078979609</v>
      </c>
      <c r="N9688">
        <v>0.20867730247102578</v>
      </c>
      <c r="O9688">
        <v>0.24075623981994682</v>
      </c>
      <c r="P9688">
        <v>0.27242819691923131</v>
      </c>
    </row>
    <row r="9689" spans="13:16">
      <c r="M9689">
        <v>0.30089361182777452</v>
      </c>
      <c r="N9689">
        <v>0.18182019392280468</v>
      </c>
      <c r="O9689">
        <v>0.25777094103709208</v>
      </c>
      <c r="P9689">
        <v>0.25951525321232866</v>
      </c>
    </row>
    <row r="9690" spans="13:16">
      <c r="M9690">
        <v>0.29018054696851769</v>
      </c>
      <c r="N9690">
        <v>0.19012212586281418</v>
      </c>
      <c r="O9690">
        <v>0.25152213476367852</v>
      </c>
      <c r="P9690">
        <v>0.26817519240498949</v>
      </c>
    </row>
    <row r="9691" spans="13:16">
      <c r="M9691">
        <v>0.2964356174065238</v>
      </c>
      <c r="N9691">
        <v>0.17638973749616454</v>
      </c>
      <c r="O9691">
        <v>0.26208361012416065</v>
      </c>
      <c r="P9691">
        <v>0.26509103497315101</v>
      </c>
    </row>
    <row r="9692" spans="13:16">
      <c r="M9692">
        <v>0.32889719170291082</v>
      </c>
      <c r="N9692">
        <v>0.18703673735812826</v>
      </c>
      <c r="O9692">
        <v>0.23204422711329489</v>
      </c>
      <c r="P9692">
        <v>0.252021843825666</v>
      </c>
    </row>
    <row r="9693" spans="13:16">
      <c r="M9693">
        <v>0.30558054915075533</v>
      </c>
      <c r="N9693">
        <v>0.16944709262400245</v>
      </c>
      <c r="O9693">
        <v>0.27284181870302915</v>
      </c>
      <c r="P9693">
        <v>0.25213053952221304</v>
      </c>
    </row>
    <row r="9694" spans="13:16">
      <c r="M9694">
        <v>0.31655697743633809</v>
      </c>
      <c r="N9694">
        <v>0.17280928105515181</v>
      </c>
      <c r="O9694">
        <v>0.24673782521142079</v>
      </c>
      <c r="P9694">
        <v>0.26389591629708919</v>
      </c>
    </row>
    <row r="9695" spans="13:16">
      <c r="M9695">
        <v>0.29797149531062894</v>
      </c>
      <c r="N9695">
        <v>0.1690844706100616</v>
      </c>
      <c r="O9695">
        <v>0.27090626607765089</v>
      </c>
      <c r="P9695">
        <v>0.26203776800165857</v>
      </c>
    </row>
    <row r="9696" spans="13:16">
      <c r="M9696">
        <v>0.27781688789040521</v>
      </c>
      <c r="N9696">
        <v>0.17351783970149021</v>
      </c>
      <c r="O9696">
        <v>0.28765269139577027</v>
      </c>
      <c r="P9696">
        <v>0.26101258101233427</v>
      </c>
    </row>
    <row r="9697" spans="13:16">
      <c r="M9697">
        <v>0.27361250714892821</v>
      </c>
      <c r="N9697">
        <v>0.18292814018394635</v>
      </c>
      <c r="O9697">
        <v>0.26283507296690439</v>
      </c>
      <c r="P9697">
        <v>0.28062427970022114</v>
      </c>
    </row>
    <row r="9698" spans="13:16">
      <c r="M9698">
        <v>0.30439595337573305</v>
      </c>
      <c r="N9698">
        <v>0.17948084019997484</v>
      </c>
      <c r="O9698">
        <v>0.2627612284186216</v>
      </c>
      <c r="P9698">
        <v>0.25336197800567062</v>
      </c>
    </row>
    <row r="9699" spans="13:16">
      <c r="M9699">
        <v>0.29603935372590456</v>
      </c>
      <c r="N9699">
        <v>0.1806477070186473</v>
      </c>
      <c r="O9699">
        <v>0.26276464164904761</v>
      </c>
      <c r="P9699">
        <v>0.26054829760640064</v>
      </c>
    </row>
    <row r="9700" spans="13:16">
      <c r="M9700">
        <v>0.28369116844965231</v>
      </c>
      <c r="N9700">
        <v>0.19312804397220554</v>
      </c>
      <c r="O9700">
        <v>0.24934638740294007</v>
      </c>
      <c r="P9700">
        <v>0.27383440017520216</v>
      </c>
    </row>
    <row r="9701" spans="13:16">
      <c r="M9701">
        <v>0.32093444224281853</v>
      </c>
      <c r="N9701">
        <v>0.18733306782690404</v>
      </c>
      <c r="O9701">
        <v>0.20846878384163944</v>
      </c>
      <c r="P9701">
        <v>0.28326370608863799</v>
      </c>
    </row>
    <row r="9702" spans="13:16">
      <c r="M9702">
        <v>0.29867299840742606</v>
      </c>
      <c r="N9702">
        <v>0.16621481742339808</v>
      </c>
      <c r="O9702">
        <v>0.29911699905102257</v>
      </c>
      <c r="P9702">
        <v>0.23599518511815329</v>
      </c>
    </row>
    <row r="9703" spans="13:16">
      <c r="M9703">
        <v>0.30351762337562332</v>
      </c>
      <c r="N9703">
        <v>0.1788781949174259</v>
      </c>
      <c r="O9703">
        <v>0.24814408091976151</v>
      </c>
      <c r="P9703">
        <v>0.26946010078718935</v>
      </c>
    </row>
    <row r="9704" spans="13:16">
      <c r="M9704">
        <v>0.30349735165090674</v>
      </c>
      <c r="N9704">
        <v>0.20611940972305073</v>
      </c>
      <c r="O9704">
        <v>0.22772356017334314</v>
      </c>
      <c r="P9704">
        <v>0.2626596784526995</v>
      </c>
    </row>
    <row r="9705" spans="13:16">
      <c r="M9705">
        <v>0.30011878718640234</v>
      </c>
      <c r="N9705">
        <v>0.16489084503721854</v>
      </c>
      <c r="O9705">
        <v>0.26439624656828803</v>
      </c>
      <c r="P9705">
        <v>0.27059412120809112</v>
      </c>
    </row>
    <row r="9706" spans="13:16">
      <c r="M9706">
        <v>0.28301710512330852</v>
      </c>
      <c r="N9706">
        <v>0.18035282246488768</v>
      </c>
      <c r="O9706">
        <v>0.27089649954856304</v>
      </c>
      <c r="P9706">
        <v>0.26573357286324067</v>
      </c>
    </row>
    <row r="9707" spans="13:16">
      <c r="M9707">
        <v>0.31713843769957384</v>
      </c>
      <c r="N9707">
        <v>0.17871961783029738</v>
      </c>
      <c r="O9707">
        <v>0.23593934078024359</v>
      </c>
      <c r="P9707">
        <v>0.26820260368988524</v>
      </c>
    </row>
    <row r="9708" spans="13:16">
      <c r="M9708">
        <v>0.2908135006358667</v>
      </c>
      <c r="N9708">
        <v>0.18744143958350579</v>
      </c>
      <c r="O9708">
        <v>0.24527591356798012</v>
      </c>
      <c r="P9708">
        <v>0.2764691462126474</v>
      </c>
    </row>
    <row r="9709" spans="13:16">
      <c r="M9709">
        <v>0.28284446365151006</v>
      </c>
      <c r="N9709">
        <v>0.19671292220515041</v>
      </c>
      <c r="O9709">
        <v>0.25424371803709878</v>
      </c>
      <c r="P9709">
        <v>0.2661988961062407</v>
      </c>
    </row>
    <row r="9710" spans="13:16">
      <c r="M9710">
        <v>0.30496995910831171</v>
      </c>
      <c r="N9710">
        <v>0.19034945549641408</v>
      </c>
      <c r="O9710">
        <v>0.23750695705984595</v>
      </c>
      <c r="P9710">
        <v>0.26717362833542829</v>
      </c>
    </row>
    <row r="9711" spans="13:16">
      <c r="M9711">
        <v>0.30951656381614684</v>
      </c>
      <c r="N9711">
        <v>0.18076313733865021</v>
      </c>
      <c r="O9711">
        <v>0.23042089946035996</v>
      </c>
      <c r="P9711">
        <v>0.27929939938484305</v>
      </c>
    </row>
    <row r="9712" spans="13:16">
      <c r="M9712">
        <v>0.29423905025580716</v>
      </c>
      <c r="N9712">
        <v>0.18472304432092104</v>
      </c>
      <c r="O9712">
        <v>0.26099701482523568</v>
      </c>
      <c r="P9712">
        <v>0.26004089059803615</v>
      </c>
    </row>
    <row r="9713" spans="13:16">
      <c r="M9713">
        <v>0.29238574368018866</v>
      </c>
      <c r="N9713">
        <v>0.17970106915913683</v>
      </c>
      <c r="O9713">
        <v>0.25151122627096134</v>
      </c>
      <c r="P9713">
        <v>0.27640196088971325</v>
      </c>
    </row>
    <row r="9714" spans="13:16">
      <c r="M9714">
        <v>0.28326799010138476</v>
      </c>
      <c r="N9714">
        <v>0.20407445322257492</v>
      </c>
      <c r="O9714">
        <v>0.23266837171228572</v>
      </c>
      <c r="P9714">
        <v>0.27998918496375452</v>
      </c>
    </row>
    <row r="9715" spans="13:16">
      <c r="M9715">
        <v>0.28242743642851048</v>
      </c>
      <c r="N9715">
        <v>0.18176987475463516</v>
      </c>
      <c r="O9715">
        <v>0.27606528271144776</v>
      </c>
      <c r="P9715">
        <v>0.25973740610540663</v>
      </c>
    </row>
    <row r="9716" spans="13:16">
      <c r="M9716">
        <v>0.28896102431500664</v>
      </c>
      <c r="N9716">
        <v>0.18897906949260121</v>
      </c>
      <c r="O9716">
        <v>0.24743165837707357</v>
      </c>
      <c r="P9716">
        <v>0.27462824781531853</v>
      </c>
    </row>
    <row r="9717" spans="13:16">
      <c r="M9717">
        <v>0.28865135983773932</v>
      </c>
      <c r="N9717">
        <v>0.19440223492196312</v>
      </c>
      <c r="O9717">
        <v>0.24754407130293662</v>
      </c>
      <c r="P9717">
        <v>0.2694023339373609</v>
      </c>
    </row>
    <row r="9718" spans="13:16">
      <c r="M9718">
        <v>0.30908157790155349</v>
      </c>
      <c r="N9718">
        <v>0.17571742680266808</v>
      </c>
      <c r="O9718">
        <v>0.2504360653412831</v>
      </c>
      <c r="P9718">
        <v>0.26476492995449535</v>
      </c>
    </row>
    <row r="9719" spans="13:16">
      <c r="M9719">
        <v>0.28877068801282452</v>
      </c>
      <c r="N9719">
        <v>0.20082165568931956</v>
      </c>
      <c r="O9719">
        <v>0.24447308667834322</v>
      </c>
      <c r="P9719">
        <v>0.26593456961951256</v>
      </c>
    </row>
    <row r="9720" spans="13:16">
      <c r="M9720">
        <v>0.30450636997493696</v>
      </c>
      <c r="N9720">
        <v>0.18574583747951087</v>
      </c>
      <c r="O9720">
        <v>0.24908968251261793</v>
      </c>
      <c r="P9720">
        <v>0.26065811003293432</v>
      </c>
    </row>
    <row r="9721" spans="13:16">
      <c r="M9721">
        <v>0.29092980498850657</v>
      </c>
      <c r="N9721">
        <v>0.20306590454803364</v>
      </c>
      <c r="O9721">
        <v>0.23952682801816427</v>
      </c>
      <c r="P9721">
        <v>0.26647746244529558</v>
      </c>
    </row>
    <row r="9722" spans="13:16">
      <c r="M9722">
        <v>0.30111666719875324</v>
      </c>
      <c r="N9722">
        <v>0.18102508525108296</v>
      </c>
      <c r="O9722">
        <v>0.28289253811673776</v>
      </c>
      <c r="P9722">
        <v>0.23496570943342612</v>
      </c>
    </row>
    <row r="9723" spans="13:16">
      <c r="M9723">
        <v>0.30568434085041141</v>
      </c>
      <c r="N9723">
        <v>0.17457654175583617</v>
      </c>
      <c r="O9723">
        <v>0.27263295320374303</v>
      </c>
      <c r="P9723">
        <v>0.24710616419000933</v>
      </c>
    </row>
    <row r="9724" spans="13:16">
      <c r="M9724">
        <v>0.26589884431093291</v>
      </c>
      <c r="N9724">
        <v>0.18835500302139968</v>
      </c>
      <c r="O9724">
        <v>0.28406813430297911</v>
      </c>
      <c r="P9724">
        <v>0.26167801836468835</v>
      </c>
    </row>
    <row r="9725" spans="13:16">
      <c r="M9725">
        <v>0.28838021869378966</v>
      </c>
      <c r="N9725">
        <v>0.19448001330970083</v>
      </c>
      <c r="O9725">
        <v>0.24619181101056559</v>
      </c>
      <c r="P9725">
        <v>0.27094795698594398</v>
      </c>
    </row>
    <row r="9726" spans="13:16">
      <c r="M9726">
        <v>0.28444427810467249</v>
      </c>
      <c r="N9726">
        <v>0.17693223855835344</v>
      </c>
      <c r="O9726">
        <v>0.26888279576020746</v>
      </c>
      <c r="P9726">
        <v>0.26974068757676672</v>
      </c>
    </row>
    <row r="9727" spans="13:16">
      <c r="M9727">
        <v>0.25362088656561926</v>
      </c>
      <c r="N9727">
        <v>0.1888409440492553</v>
      </c>
      <c r="O9727">
        <v>0.29351643944504324</v>
      </c>
      <c r="P9727">
        <v>0.26402172994008222</v>
      </c>
    </row>
    <row r="9728" spans="13:16">
      <c r="M9728">
        <v>0.28119751268002685</v>
      </c>
      <c r="N9728">
        <v>0.18312432153048172</v>
      </c>
      <c r="O9728">
        <v>0.27917771338903541</v>
      </c>
      <c r="P9728">
        <v>0.25650045240045599</v>
      </c>
    </row>
    <row r="9729" spans="13:16">
      <c r="M9729">
        <v>0.27929827621487557</v>
      </c>
      <c r="N9729">
        <v>0.1905322390965736</v>
      </c>
      <c r="O9729">
        <v>0.26348963129975894</v>
      </c>
      <c r="P9729">
        <v>0.26667985338879185</v>
      </c>
    </row>
    <row r="9730" spans="13:16">
      <c r="M9730">
        <v>0.29754831402339904</v>
      </c>
      <c r="N9730">
        <v>0.1811282497973086</v>
      </c>
      <c r="O9730">
        <v>0.26944989330457736</v>
      </c>
      <c r="P9730">
        <v>0.25187354287471503</v>
      </c>
    </row>
    <row r="9731" spans="13:16">
      <c r="M9731">
        <v>0.30407871960451777</v>
      </c>
      <c r="N9731">
        <v>0.18686328710301128</v>
      </c>
      <c r="O9731">
        <v>0.22423467004437816</v>
      </c>
      <c r="P9731">
        <v>0.28482332324809273</v>
      </c>
    </row>
    <row r="9732" spans="13:16">
      <c r="M9732">
        <v>0.2670673741635482</v>
      </c>
      <c r="N9732">
        <v>0.20085279280980411</v>
      </c>
      <c r="O9732">
        <v>0.27007327115974061</v>
      </c>
      <c r="P9732">
        <v>0.26200656186690713</v>
      </c>
    </row>
    <row r="9733" spans="13:16">
      <c r="M9733">
        <v>0.31195382582698833</v>
      </c>
      <c r="N9733">
        <v>0.1993637923411487</v>
      </c>
      <c r="O9733">
        <v>0.2253767156518825</v>
      </c>
      <c r="P9733">
        <v>0.26330566617998036</v>
      </c>
    </row>
    <row r="9734" spans="13:16">
      <c r="M9734">
        <v>0.27384852635991641</v>
      </c>
      <c r="N9734">
        <v>0.17420886175630965</v>
      </c>
      <c r="O9734">
        <v>0.28581168180068722</v>
      </c>
      <c r="P9734">
        <v>0.26613093008308691</v>
      </c>
    </row>
    <row r="9735" spans="13:16">
      <c r="M9735">
        <v>0.3227741857672492</v>
      </c>
      <c r="N9735">
        <v>0.16402977759268703</v>
      </c>
      <c r="O9735">
        <v>0.26521624188862286</v>
      </c>
      <c r="P9735">
        <v>0.24797979475144102</v>
      </c>
    </row>
    <row r="9736" spans="13:16">
      <c r="M9736">
        <v>0.31597187500511625</v>
      </c>
      <c r="N9736">
        <v>0.18950838881094278</v>
      </c>
      <c r="O9736">
        <v>0.23057534898921259</v>
      </c>
      <c r="P9736">
        <v>0.26394438719472824</v>
      </c>
    </row>
    <row r="9737" spans="13:16">
      <c r="M9737">
        <v>0.27816548795100549</v>
      </c>
      <c r="N9737">
        <v>0.20779468180723887</v>
      </c>
      <c r="O9737">
        <v>0.25092469619058849</v>
      </c>
      <c r="P9737">
        <v>0.26311513405116704</v>
      </c>
    </row>
    <row r="9738" spans="13:16">
      <c r="M9738">
        <v>0.27887497555149815</v>
      </c>
      <c r="N9738">
        <v>0.17760841712720288</v>
      </c>
      <c r="O9738">
        <v>0.28353033546908285</v>
      </c>
      <c r="P9738">
        <v>0.25998627185221601</v>
      </c>
    </row>
    <row r="9739" spans="13:16">
      <c r="M9739">
        <v>0.29211231454809872</v>
      </c>
      <c r="N9739">
        <v>0.16773504533664793</v>
      </c>
      <c r="O9739">
        <v>0.28188655786797928</v>
      </c>
      <c r="P9739">
        <v>0.25826608224727415</v>
      </c>
    </row>
    <row r="9740" spans="13:16">
      <c r="M9740">
        <v>0.28327113900326856</v>
      </c>
      <c r="N9740">
        <v>0.20789171731258979</v>
      </c>
      <c r="O9740">
        <v>0.23014724660282132</v>
      </c>
      <c r="P9740">
        <v>0.27868989708132041</v>
      </c>
    </row>
    <row r="9741" spans="13:16">
      <c r="M9741">
        <v>0.30222936760826996</v>
      </c>
      <c r="N9741">
        <v>0.18459736833479776</v>
      </c>
      <c r="O9741">
        <v>0.26569142284118624</v>
      </c>
      <c r="P9741">
        <v>0.24748184121574604</v>
      </c>
    </row>
    <row r="9742" spans="13:16">
      <c r="M9742">
        <v>0.29924782902457331</v>
      </c>
      <c r="N9742">
        <v>0.18142986768599054</v>
      </c>
      <c r="O9742">
        <v>0.23553816759649507</v>
      </c>
      <c r="P9742">
        <v>0.28378413569294109</v>
      </c>
    </row>
    <row r="9743" spans="13:16">
      <c r="M9743">
        <v>0.30163480996160436</v>
      </c>
      <c r="N9743">
        <v>0.18230627568883812</v>
      </c>
      <c r="O9743">
        <v>0.25408410788028513</v>
      </c>
      <c r="P9743">
        <v>0.26197480646927257</v>
      </c>
    </row>
    <row r="9744" spans="13:16">
      <c r="M9744">
        <v>0.31092192527551693</v>
      </c>
      <c r="N9744">
        <v>0.1743921737944483</v>
      </c>
      <c r="O9744">
        <v>0.24410657234270436</v>
      </c>
      <c r="P9744">
        <v>0.27057932858733047</v>
      </c>
    </row>
    <row r="9745" spans="13:16">
      <c r="M9745">
        <v>0.31243514646497517</v>
      </c>
      <c r="N9745">
        <v>0.17354026126158137</v>
      </c>
      <c r="O9745">
        <v>0.24655919323988454</v>
      </c>
      <c r="P9745">
        <v>0.26746539903355898</v>
      </c>
    </row>
    <row r="9746" spans="13:16">
      <c r="M9746">
        <v>0.28921049945939759</v>
      </c>
      <c r="N9746">
        <v>0.18607155649397689</v>
      </c>
      <c r="O9746">
        <v>0.2687671381823068</v>
      </c>
      <c r="P9746">
        <v>0.25595080586431879</v>
      </c>
    </row>
    <row r="9747" spans="13:16">
      <c r="M9747">
        <v>0.29434829733959372</v>
      </c>
      <c r="N9747">
        <v>0.19076094400175947</v>
      </c>
      <c r="O9747">
        <v>0.23349423580783654</v>
      </c>
      <c r="P9747">
        <v>0.28139652285081024</v>
      </c>
    </row>
    <row r="9748" spans="13:16">
      <c r="M9748">
        <v>0.32435041096572909</v>
      </c>
      <c r="N9748">
        <v>0.18491427904150998</v>
      </c>
      <c r="O9748">
        <v>0.2377636523921835</v>
      </c>
      <c r="P9748">
        <v>0.25297165760057744</v>
      </c>
    </row>
    <row r="9749" spans="13:16">
      <c r="M9749">
        <v>0.31596740536307921</v>
      </c>
      <c r="N9749">
        <v>0.16913209369057067</v>
      </c>
      <c r="O9749">
        <v>0.26319312358887409</v>
      </c>
      <c r="P9749">
        <v>0.25170737735747589</v>
      </c>
    </row>
    <row r="9750" spans="13:16">
      <c r="M9750">
        <v>0.30901850107530338</v>
      </c>
      <c r="N9750">
        <v>0.16690340746382654</v>
      </c>
      <c r="O9750">
        <v>0.27535776098675102</v>
      </c>
      <c r="P9750">
        <v>0.24872033047411909</v>
      </c>
    </row>
    <row r="9751" spans="13:16">
      <c r="M9751">
        <v>0.29029585096288835</v>
      </c>
      <c r="N9751">
        <v>0.1713502163249874</v>
      </c>
      <c r="O9751">
        <v>0.2893244904590887</v>
      </c>
      <c r="P9751">
        <v>0.24902944225303564</v>
      </c>
    </row>
    <row r="9752" spans="13:16">
      <c r="M9752">
        <v>0.293952739004889</v>
      </c>
      <c r="N9752">
        <v>0.18120080460693175</v>
      </c>
      <c r="O9752">
        <v>0.26721391654948556</v>
      </c>
      <c r="P9752">
        <v>0.25763253983869372</v>
      </c>
    </row>
    <row r="9753" spans="13:16">
      <c r="M9753">
        <v>0.3311742601288728</v>
      </c>
      <c r="N9753">
        <v>0.17113645481942261</v>
      </c>
      <c r="O9753">
        <v>0.23887797340325825</v>
      </c>
      <c r="P9753">
        <v>0.25881131164844645</v>
      </c>
    </row>
    <row r="9754" spans="13:16">
      <c r="M9754">
        <v>0.29552820256604734</v>
      </c>
      <c r="N9754">
        <v>0.17972582641809606</v>
      </c>
      <c r="O9754">
        <v>0.25251797315187141</v>
      </c>
      <c r="P9754">
        <v>0.27222799786398516</v>
      </c>
    </row>
    <row r="9755" spans="13:16">
      <c r="M9755">
        <v>0.28593582217661306</v>
      </c>
      <c r="N9755">
        <v>0.17448041857399851</v>
      </c>
      <c r="O9755">
        <v>0.28626765473237847</v>
      </c>
      <c r="P9755">
        <v>0.25331610451700987</v>
      </c>
    </row>
    <row r="9756" spans="13:16">
      <c r="M9756">
        <v>0.28735026512008943</v>
      </c>
      <c r="N9756">
        <v>0.19772622767737524</v>
      </c>
      <c r="O9756">
        <v>0.25136277075995245</v>
      </c>
      <c r="P9756">
        <v>0.26356073644258293</v>
      </c>
    </row>
    <row r="9757" spans="13:16">
      <c r="M9757">
        <v>0.30193469415377683</v>
      </c>
      <c r="N9757">
        <v>0.16783583545689815</v>
      </c>
      <c r="O9757">
        <v>0.27348450464398627</v>
      </c>
      <c r="P9757">
        <v>0.25674496574533878</v>
      </c>
    </row>
    <row r="9758" spans="13:16">
      <c r="M9758">
        <v>0.32939182420803365</v>
      </c>
      <c r="N9758">
        <v>0.1858409837839981</v>
      </c>
      <c r="O9758">
        <v>0.226087139945499</v>
      </c>
      <c r="P9758">
        <v>0.2586800520624693</v>
      </c>
    </row>
    <row r="9759" spans="13:16">
      <c r="M9759">
        <v>0.28865497478014612</v>
      </c>
      <c r="N9759">
        <v>0.17465307815208173</v>
      </c>
      <c r="O9759">
        <v>0.28304279439228514</v>
      </c>
      <c r="P9759">
        <v>0.25364915267548704</v>
      </c>
    </row>
    <row r="9760" spans="13:16">
      <c r="M9760">
        <v>0.30370486619524784</v>
      </c>
      <c r="N9760">
        <v>0.18633096584300876</v>
      </c>
      <c r="O9760">
        <v>0.23342400604101418</v>
      </c>
      <c r="P9760">
        <v>0.27654016192072917</v>
      </c>
    </row>
    <row r="9761" spans="13:16">
      <c r="M9761">
        <v>0.31188926366587805</v>
      </c>
      <c r="N9761">
        <v>0.19268603775648291</v>
      </c>
      <c r="O9761">
        <v>0.23365370150958251</v>
      </c>
      <c r="P9761">
        <v>0.26177099706805651</v>
      </c>
    </row>
    <row r="9762" spans="13:16">
      <c r="M9762">
        <v>0.31137022828501371</v>
      </c>
      <c r="N9762">
        <v>0.16956921157285701</v>
      </c>
      <c r="O9762">
        <v>0.2563435127404492</v>
      </c>
      <c r="P9762">
        <v>0.26271704740168011</v>
      </c>
    </row>
    <row r="9763" spans="13:16">
      <c r="M9763">
        <v>0.29358839243241275</v>
      </c>
      <c r="N9763">
        <v>0.19425450112317322</v>
      </c>
      <c r="O9763">
        <v>0.26024264961590027</v>
      </c>
      <c r="P9763">
        <v>0.25191445682851377</v>
      </c>
    </row>
    <row r="9764" spans="13:16">
      <c r="M9764">
        <v>0.3155519220160164</v>
      </c>
      <c r="N9764">
        <v>0.18055309584941684</v>
      </c>
      <c r="O9764">
        <v>0.23886551455503091</v>
      </c>
      <c r="P9764">
        <v>0.26502946757953577</v>
      </c>
    </row>
    <row r="9765" spans="13:16">
      <c r="M9765">
        <v>0.30708727071845748</v>
      </c>
      <c r="N9765">
        <v>0.17598138345377048</v>
      </c>
      <c r="O9765">
        <v>0.23857627260886191</v>
      </c>
      <c r="P9765">
        <v>0.27835507321891018</v>
      </c>
    </row>
    <row r="9766" spans="13:16">
      <c r="M9766">
        <v>0.2992784873145945</v>
      </c>
      <c r="N9766">
        <v>0.20290410326829594</v>
      </c>
      <c r="O9766">
        <v>0.2191864154517075</v>
      </c>
      <c r="P9766">
        <v>0.27863099396540214</v>
      </c>
    </row>
    <row r="9767" spans="13:16">
      <c r="M9767">
        <v>0.31513157858002477</v>
      </c>
      <c r="N9767">
        <v>0.18292678730522358</v>
      </c>
      <c r="O9767">
        <v>0.24817450434210661</v>
      </c>
      <c r="P9767">
        <v>0.25376712977264526</v>
      </c>
    </row>
    <row r="9768" spans="13:16">
      <c r="M9768">
        <v>0.28198311123579783</v>
      </c>
      <c r="N9768">
        <v>0.18057839344662802</v>
      </c>
      <c r="O9768">
        <v>0.28186458833468719</v>
      </c>
      <c r="P9768">
        <v>0.2555739069828869</v>
      </c>
    </row>
    <row r="9769" spans="13:16">
      <c r="M9769">
        <v>0.28324900263618108</v>
      </c>
      <c r="N9769">
        <v>0.19398533083136346</v>
      </c>
      <c r="O9769">
        <v>0.23366941541435365</v>
      </c>
      <c r="P9769">
        <v>0.289096251118102</v>
      </c>
    </row>
    <row r="9770" spans="13:16">
      <c r="M9770">
        <v>0.33866322090692336</v>
      </c>
      <c r="N9770">
        <v>0.16139384109259428</v>
      </c>
      <c r="O9770">
        <v>0.24773473073276789</v>
      </c>
      <c r="P9770">
        <v>0.25220820726771448</v>
      </c>
    </row>
    <row r="9771" spans="13:16">
      <c r="M9771">
        <v>0.29599391377066497</v>
      </c>
      <c r="N9771">
        <v>0.17880252576542621</v>
      </c>
      <c r="O9771">
        <v>0.25505014538190984</v>
      </c>
      <c r="P9771">
        <v>0.27015341508199892</v>
      </c>
    </row>
    <row r="9772" spans="13:16">
      <c r="M9772">
        <v>0.2895162637123998</v>
      </c>
      <c r="N9772">
        <v>0.19697801998402822</v>
      </c>
      <c r="O9772">
        <v>0.23927645410086557</v>
      </c>
      <c r="P9772">
        <v>0.27422926220270649</v>
      </c>
    </row>
    <row r="9773" spans="13:16">
      <c r="M9773">
        <v>0.27899887065318713</v>
      </c>
      <c r="N9773">
        <v>0.18385029916224063</v>
      </c>
      <c r="O9773">
        <v>0.26261963677595396</v>
      </c>
      <c r="P9773">
        <v>0.27453119340861826</v>
      </c>
    </row>
    <row r="9774" spans="13:16">
      <c r="M9774">
        <v>0.27372015241982217</v>
      </c>
      <c r="N9774">
        <v>0.17627201743118201</v>
      </c>
      <c r="O9774">
        <v>0.29774014920440062</v>
      </c>
      <c r="P9774">
        <v>0.25226768094459523</v>
      </c>
    </row>
    <row r="9775" spans="13:16">
      <c r="M9775">
        <v>0.3139098024692405</v>
      </c>
      <c r="N9775">
        <v>0.1777078879828814</v>
      </c>
      <c r="O9775">
        <v>0.24589084284975507</v>
      </c>
      <c r="P9775">
        <v>0.26249146669812301</v>
      </c>
    </row>
    <row r="9776" spans="13:16">
      <c r="M9776">
        <v>0.3068795628664977</v>
      </c>
      <c r="N9776">
        <v>0.17710723591674471</v>
      </c>
      <c r="O9776">
        <v>0.24891158384916348</v>
      </c>
      <c r="P9776">
        <v>0.26710161736759408</v>
      </c>
    </row>
    <row r="9777" spans="13:16">
      <c r="M9777">
        <v>0.30831862754182626</v>
      </c>
      <c r="N9777">
        <v>0.19206120219015346</v>
      </c>
      <c r="O9777">
        <v>0.24042092831715289</v>
      </c>
      <c r="P9777">
        <v>0.25919924195086741</v>
      </c>
    </row>
    <row r="9778" spans="13:16">
      <c r="M9778">
        <v>0.28236420424606928</v>
      </c>
      <c r="N9778">
        <v>0.19706912112235792</v>
      </c>
      <c r="O9778">
        <v>0.24598620876650307</v>
      </c>
      <c r="P9778">
        <v>0.27458046586506973</v>
      </c>
    </row>
    <row r="9779" spans="13:16">
      <c r="M9779">
        <v>0.29777687789819507</v>
      </c>
      <c r="N9779">
        <v>0.1910572146300612</v>
      </c>
      <c r="O9779">
        <v>0.25475766750298606</v>
      </c>
      <c r="P9779">
        <v>0.25640823996875761</v>
      </c>
    </row>
    <row r="9780" spans="13:16">
      <c r="M9780">
        <v>0.28688585820128426</v>
      </c>
      <c r="N9780">
        <v>0.16374304653495833</v>
      </c>
      <c r="O9780">
        <v>0.2934393412102298</v>
      </c>
      <c r="P9780">
        <v>0.25593175405352775</v>
      </c>
    </row>
    <row r="9781" spans="13:16">
      <c r="M9781">
        <v>0.26729929170175992</v>
      </c>
      <c r="N9781">
        <v>0.19355703168910091</v>
      </c>
      <c r="O9781">
        <v>0.27442225422322708</v>
      </c>
      <c r="P9781">
        <v>0.26472142238591223</v>
      </c>
    </row>
    <row r="9782" spans="13:16">
      <c r="M9782">
        <v>0.25615443162583962</v>
      </c>
      <c r="N9782">
        <v>0.2025035863232737</v>
      </c>
      <c r="O9782">
        <v>0.28265316533208179</v>
      </c>
      <c r="P9782">
        <v>0.258688816718805</v>
      </c>
    </row>
    <row r="9783" spans="13:16">
      <c r="M9783">
        <v>0.26902381564072175</v>
      </c>
      <c r="N9783">
        <v>0.18739741377396879</v>
      </c>
      <c r="O9783">
        <v>0.27018308305857791</v>
      </c>
      <c r="P9783">
        <v>0.2733956875267316</v>
      </c>
    </row>
    <row r="9784" spans="13:16">
      <c r="M9784">
        <v>0.30653244178147432</v>
      </c>
      <c r="N9784">
        <v>0.17947064876487043</v>
      </c>
      <c r="O9784">
        <v>0.24392121559214999</v>
      </c>
      <c r="P9784">
        <v>0.27007569386150515</v>
      </c>
    </row>
    <row r="9785" spans="13:16">
      <c r="M9785">
        <v>0.28617979180919612</v>
      </c>
      <c r="N9785">
        <v>0.18040099298941556</v>
      </c>
      <c r="O9785">
        <v>0.26571303655041556</v>
      </c>
      <c r="P9785">
        <v>0.26770617865097285</v>
      </c>
    </row>
    <row r="9786" spans="13:16">
      <c r="M9786">
        <v>0.31669681242520775</v>
      </c>
      <c r="N9786">
        <v>0.17783747808000569</v>
      </c>
      <c r="O9786">
        <v>0.23565775796777266</v>
      </c>
      <c r="P9786">
        <v>0.26980795152701398</v>
      </c>
    </row>
    <row r="9787" spans="13:16">
      <c r="M9787">
        <v>0.26469160972507716</v>
      </c>
      <c r="N9787">
        <v>0.18220005201200173</v>
      </c>
      <c r="O9787">
        <v>0.28575112676985515</v>
      </c>
      <c r="P9787">
        <v>0.2673572114930659</v>
      </c>
    </row>
    <row r="9788" spans="13:16">
      <c r="M9788">
        <v>0.27753805353090732</v>
      </c>
      <c r="N9788">
        <v>0.19118564196024776</v>
      </c>
      <c r="O9788">
        <v>0.27005362148450412</v>
      </c>
      <c r="P9788">
        <v>0.26122268302434076</v>
      </c>
    </row>
    <row r="9789" spans="13:16">
      <c r="M9789">
        <v>0.27699365474366061</v>
      </c>
      <c r="N9789">
        <v>0.19517974745231495</v>
      </c>
      <c r="O9789">
        <v>0.24635748011381656</v>
      </c>
      <c r="P9789">
        <v>0.28146911769020783</v>
      </c>
    </row>
    <row r="9790" spans="13:16">
      <c r="M9790">
        <v>0.30531850140037076</v>
      </c>
      <c r="N9790">
        <v>0.19874748986715485</v>
      </c>
      <c r="O9790">
        <v>0.21201783186508291</v>
      </c>
      <c r="P9790">
        <v>0.28391617686739129</v>
      </c>
    </row>
    <row r="9791" spans="13:16">
      <c r="M9791">
        <v>0.29020706634255772</v>
      </c>
      <c r="N9791">
        <v>0.18709071796494736</v>
      </c>
      <c r="O9791">
        <v>0.25427008788950839</v>
      </c>
      <c r="P9791">
        <v>0.26843212780298653</v>
      </c>
    </row>
    <row r="9792" spans="13:16">
      <c r="M9792">
        <v>0.29543701498876723</v>
      </c>
      <c r="N9792">
        <v>0.18075664664658717</v>
      </c>
      <c r="O9792">
        <v>0.24759385567135453</v>
      </c>
      <c r="P9792">
        <v>0.27621248269329107</v>
      </c>
    </row>
    <row r="9793" spans="13:16">
      <c r="M9793">
        <v>0.30020800679086906</v>
      </c>
      <c r="N9793">
        <v>0.19324762940162774</v>
      </c>
      <c r="O9793">
        <v>0.24120888860988079</v>
      </c>
      <c r="P9793">
        <v>0.26533547519762246</v>
      </c>
    </row>
    <row r="9794" spans="13:16">
      <c r="M9794">
        <v>0.28531975609692012</v>
      </c>
      <c r="N9794">
        <v>0.18693576930662875</v>
      </c>
      <c r="O9794">
        <v>0.26410230756982978</v>
      </c>
      <c r="P9794">
        <v>0.2636421670266213</v>
      </c>
    </row>
    <row r="9795" spans="13:16">
      <c r="M9795">
        <v>0.27292826999389908</v>
      </c>
      <c r="N9795">
        <v>0.17828466542223609</v>
      </c>
      <c r="O9795">
        <v>0.30924292088759264</v>
      </c>
      <c r="P9795">
        <v>0.23954414369627228</v>
      </c>
    </row>
    <row r="9796" spans="13:16">
      <c r="M9796">
        <v>0.31525804590157719</v>
      </c>
      <c r="N9796">
        <v>0.17457600445450971</v>
      </c>
      <c r="O9796">
        <v>0.2452469698913412</v>
      </c>
      <c r="P9796">
        <v>0.26491897975257189</v>
      </c>
    </row>
    <row r="9797" spans="13:16">
      <c r="M9797">
        <v>0.28105887024683818</v>
      </c>
      <c r="N9797">
        <v>0.19531998898400291</v>
      </c>
      <c r="O9797">
        <v>0.26449040293558657</v>
      </c>
      <c r="P9797">
        <v>0.25913073783357238</v>
      </c>
    </row>
    <row r="9798" spans="13:16">
      <c r="M9798">
        <v>0.31979849451608466</v>
      </c>
      <c r="N9798">
        <v>0.18277223459364869</v>
      </c>
      <c r="O9798">
        <v>0.220488914845129</v>
      </c>
      <c r="P9798">
        <v>0.27694035604513767</v>
      </c>
    </row>
    <row r="9799" spans="13:16">
      <c r="M9799">
        <v>0.27576285497343078</v>
      </c>
      <c r="N9799">
        <v>0.18399108317109195</v>
      </c>
      <c r="O9799">
        <v>0.26202694833951384</v>
      </c>
      <c r="P9799">
        <v>0.2782191135159634</v>
      </c>
    </row>
    <row r="9800" spans="13:16">
      <c r="M9800">
        <v>0.30621255099478267</v>
      </c>
      <c r="N9800">
        <v>0.19377320785137281</v>
      </c>
      <c r="O9800">
        <v>0.23752604459625162</v>
      </c>
      <c r="P9800">
        <v>0.26248819655759281</v>
      </c>
    </row>
    <row r="9801" spans="13:16">
      <c r="M9801">
        <v>0.28231117998267979</v>
      </c>
      <c r="N9801">
        <v>0.18116101474822296</v>
      </c>
      <c r="O9801">
        <v>0.28437016642577512</v>
      </c>
      <c r="P9801">
        <v>0.25215763884332215</v>
      </c>
    </row>
    <row r="9802" spans="13:16">
      <c r="M9802">
        <v>0.28619829395996393</v>
      </c>
      <c r="N9802">
        <v>0.18986251067308901</v>
      </c>
      <c r="O9802">
        <v>0.2659669313080823</v>
      </c>
      <c r="P9802">
        <v>0.25797226405886459</v>
      </c>
    </row>
    <row r="9803" spans="13:16">
      <c r="M9803">
        <v>0.27501852035604507</v>
      </c>
      <c r="N9803">
        <v>0.19302728503351785</v>
      </c>
      <c r="O9803">
        <v>0.25801137339473634</v>
      </c>
      <c r="P9803">
        <v>0.27394282121570074</v>
      </c>
    </row>
    <row r="9804" spans="13:16">
      <c r="M9804">
        <v>0.2677423425730262</v>
      </c>
      <c r="N9804">
        <v>0.19495492080387031</v>
      </c>
      <c r="O9804">
        <v>0.26468741620955843</v>
      </c>
      <c r="P9804">
        <v>0.27261532041354508</v>
      </c>
    </row>
    <row r="9805" spans="13:16">
      <c r="M9805">
        <v>0.30504670070995415</v>
      </c>
      <c r="N9805">
        <v>0.18741028297925499</v>
      </c>
      <c r="O9805">
        <v>0.24589241439871223</v>
      </c>
      <c r="P9805">
        <v>0.26165060191207862</v>
      </c>
    </row>
    <row r="9806" spans="13:16">
      <c r="M9806">
        <v>0.28687561348097668</v>
      </c>
      <c r="N9806">
        <v>0.16898602690054748</v>
      </c>
      <c r="O9806">
        <v>0.28707308805190956</v>
      </c>
      <c r="P9806">
        <v>0.25706527156656622</v>
      </c>
    </row>
    <row r="9807" spans="13:16">
      <c r="M9807">
        <v>0.28314128460252469</v>
      </c>
      <c r="N9807">
        <v>0.1906964821565334</v>
      </c>
      <c r="O9807">
        <v>0.25757993527240586</v>
      </c>
      <c r="P9807">
        <v>0.268582297968536</v>
      </c>
    </row>
    <row r="9808" spans="13:16">
      <c r="M9808">
        <v>0.29008785641221468</v>
      </c>
      <c r="N9808">
        <v>0.16205844660674448</v>
      </c>
      <c r="O9808">
        <v>0.30772544514967803</v>
      </c>
      <c r="P9808">
        <v>0.24012825183136285</v>
      </c>
    </row>
    <row r="9809" spans="13:16">
      <c r="M9809">
        <v>0.30553153580182141</v>
      </c>
      <c r="N9809">
        <v>0.18791644759561626</v>
      </c>
      <c r="O9809">
        <v>0.24896418053756664</v>
      </c>
      <c r="P9809">
        <v>0.2575878360649958</v>
      </c>
    </row>
    <row r="9810" spans="13:16">
      <c r="M9810">
        <v>0.33769013728632136</v>
      </c>
      <c r="N9810">
        <v>0.16648147546799269</v>
      </c>
      <c r="O9810">
        <v>0.23895949580318626</v>
      </c>
      <c r="P9810">
        <v>0.25686889144249958</v>
      </c>
    </row>
    <row r="9811" spans="13:16">
      <c r="M9811">
        <v>0.30533905498496589</v>
      </c>
      <c r="N9811">
        <v>0.19955030681153274</v>
      </c>
      <c r="O9811">
        <v>0.21984026299138235</v>
      </c>
      <c r="P9811">
        <v>0.275270375212119</v>
      </c>
    </row>
    <row r="9812" spans="13:16">
      <c r="M9812">
        <v>0.30282624965850868</v>
      </c>
      <c r="N9812">
        <v>0.17173500348803636</v>
      </c>
      <c r="O9812">
        <v>0.2856452404049083</v>
      </c>
      <c r="P9812">
        <v>0.23979350644854655</v>
      </c>
    </row>
    <row r="9813" spans="13:16">
      <c r="M9813">
        <v>0.3086976719729061</v>
      </c>
      <c r="N9813">
        <v>0.20002612963016414</v>
      </c>
      <c r="O9813">
        <v>0.22080190920629364</v>
      </c>
      <c r="P9813">
        <v>0.27047428919063604</v>
      </c>
    </row>
    <row r="9814" spans="13:16">
      <c r="M9814">
        <v>0.30341151182624332</v>
      </c>
      <c r="N9814">
        <v>0.18080186123010852</v>
      </c>
      <c r="O9814">
        <v>0.25185497140391516</v>
      </c>
      <c r="P9814">
        <v>0.26393165553973297</v>
      </c>
    </row>
    <row r="9815" spans="13:16">
      <c r="M9815">
        <v>0.28106930768937344</v>
      </c>
      <c r="N9815">
        <v>0.17009201946881522</v>
      </c>
      <c r="O9815">
        <v>0.29225989602132779</v>
      </c>
      <c r="P9815">
        <v>0.25657877682048363</v>
      </c>
    </row>
    <row r="9816" spans="13:16">
      <c r="M9816">
        <v>0.2934794334500706</v>
      </c>
      <c r="N9816">
        <v>0.17211795917488321</v>
      </c>
      <c r="O9816">
        <v>0.2788637547890816</v>
      </c>
      <c r="P9816">
        <v>0.25553885258596448</v>
      </c>
    </row>
    <row r="9817" spans="13:16">
      <c r="M9817">
        <v>0.29082205224540142</v>
      </c>
      <c r="N9817">
        <v>0.18828412348113793</v>
      </c>
      <c r="O9817">
        <v>0.25383212965213015</v>
      </c>
      <c r="P9817">
        <v>0.26706169462133039</v>
      </c>
    </row>
    <row r="9818" spans="13:16">
      <c r="M9818">
        <v>0.27615338141113016</v>
      </c>
      <c r="N9818">
        <v>0.19040216948042032</v>
      </c>
      <c r="O9818">
        <v>0.25115288294638627</v>
      </c>
      <c r="P9818">
        <v>0.28229156616206319</v>
      </c>
    </row>
    <row r="9819" spans="13:16">
      <c r="M9819">
        <v>0.30242970697975918</v>
      </c>
      <c r="N9819">
        <v>0.17841363532372403</v>
      </c>
      <c r="O9819">
        <v>0.27164050538882889</v>
      </c>
      <c r="P9819">
        <v>0.24751615230768789</v>
      </c>
    </row>
    <row r="9820" spans="13:16">
      <c r="M9820">
        <v>0.29828086776425339</v>
      </c>
      <c r="N9820">
        <v>0.19467489431359833</v>
      </c>
      <c r="O9820">
        <v>0.24295203003928723</v>
      </c>
      <c r="P9820">
        <v>0.26409220788286109</v>
      </c>
    </row>
    <row r="9821" spans="13:16">
      <c r="M9821">
        <v>0.27475888320700653</v>
      </c>
      <c r="N9821">
        <v>0.19656680112392308</v>
      </c>
      <c r="O9821">
        <v>0.26988849597771064</v>
      </c>
      <c r="P9821">
        <v>0.25878581969135978</v>
      </c>
    </row>
    <row r="9822" spans="13:16">
      <c r="M9822">
        <v>0.31027815865582381</v>
      </c>
      <c r="N9822">
        <v>0.17470509185983718</v>
      </c>
      <c r="O9822">
        <v>0.24020462068821946</v>
      </c>
      <c r="P9822">
        <v>0.27481212879611944</v>
      </c>
    </row>
    <row r="9823" spans="13:16">
      <c r="M9823">
        <v>0.26712206861505344</v>
      </c>
      <c r="N9823">
        <v>0.21093148166676373</v>
      </c>
      <c r="O9823">
        <v>0.25049301340425612</v>
      </c>
      <c r="P9823">
        <v>0.27145343631392671</v>
      </c>
    </row>
    <row r="9824" spans="13:16">
      <c r="M9824">
        <v>0.27344421219029447</v>
      </c>
      <c r="N9824">
        <v>0.19755950302303443</v>
      </c>
      <c r="O9824">
        <v>0.24709164975298598</v>
      </c>
      <c r="P9824">
        <v>0.28190463503368529</v>
      </c>
    </row>
    <row r="9825" spans="13:16">
      <c r="M9825">
        <v>0.27114687752390365</v>
      </c>
      <c r="N9825">
        <v>0.19197739639936509</v>
      </c>
      <c r="O9825">
        <v>0.26582632954900287</v>
      </c>
      <c r="P9825">
        <v>0.2710493965277283</v>
      </c>
    </row>
    <row r="9826" spans="13:16">
      <c r="M9826">
        <v>0.30656863551013108</v>
      </c>
      <c r="N9826">
        <v>0.16557882496308685</v>
      </c>
      <c r="O9826">
        <v>0.27889061233547374</v>
      </c>
      <c r="P9826">
        <v>0.2489619271913083</v>
      </c>
    </row>
    <row r="9827" spans="13:16">
      <c r="M9827">
        <v>0.26152096952609916</v>
      </c>
      <c r="N9827">
        <v>0.18500880138376632</v>
      </c>
      <c r="O9827">
        <v>0.28319417034565397</v>
      </c>
      <c r="P9827">
        <v>0.27027605874448046</v>
      </c>
    </row>
    <row r="9828" spans="13:16">
      <c r="M9828">
        <v>0.29487437171330749</v>
      </c>
      <c r="N9828">
        <v>0.16673837268979586</v>
      </c>
      <c r="O9828">
        <v>0.29198694276092679</v>
      </c>
      <c r="P9828">
        <v>0.24640031283596983</v>
      </c>
    </row>
    <row r="9829" spans="13:16">
      <c r="M9829">
        <v>0.33712384236428511</v>
      </c>
      <c r="N9829">
        <v>0.18099789407546185</v>
      </c>
      <c r="O9829">
        <v>0.21643137555944281</v>
      </c>
      <c r="P9829">
        <v>0.26544688800081012</v>
      </c>
    </row>
    <row r="9830" spans="13:16">
      <c r="M9830">
        <v>0.28408589989556304</v>
      </c>
      <c r="N9830">
        <v>0.18962730860102051</v>
      </c>
      <c r="O9830">
        <v>0.25512854271569252</v>
      </c>
      <c r="P9830">
        <v>0.27115824878772393</v>
      </c>
    </row>
    <row r="9831" spans="13:16">
      <c r="M9831">
        <v>0.30468071998752927</v>
      </c>
      <c r="N9831">
        <v>0.18957412013265967</v>
      </c>
      <c r="O9831">
        <v>0.23263184142579907</v>
      </c>
      <c r="P9831">
        <v>0.27311331845401193</v>
      </c>
    </row>
    <row r="9832" spans="13:16">
      <c r="M9832">
        <v>0.30109104300204054</v>
      </c>
      <c r="N9832">
        <v>0.17000107550512611</v>
      </c>
      <c r="O9832">
        <v>0.27388165082232768</v>
      </c>
      <c r="P9832">
        <v>0.25502623067050567</v>
      </c>
    </row>
    <row r="9833" spans="13:16">
      <c r="M9833">
        <v>0.28984396429640824</v>
      </c>
      <c r="N9833">
        <v>0.18590410724119272</v>
      </c>
      <c r="O9833">
        <v>0.26341086194979674</v>
      </c>
      <c r="P9833">
        <v>0.26084106651260214</v>
      </c>
    </row>
    <row r="9834" spans="13:16">
      <c r="M9834">
        <v>0.28452888592097025</v>
      </c>
      <c r="N9834">
        <v>0.19289182517218917</v>
      </c>
      <c r="O9834">
        <v>0.23891993218958091</v>
      </c>
      <c r="P9834">
        <v>0.28365935671725967</v>
      </c>
    </row>
    <row r="9835" spans="13:16">
      <c r="M9835">
        <v>0.28694038082841694</v>
      </c>
      <c r="N9835">
        <v>0.1775595577067032</v>
      </c>
      <c r="O9835">
        <v>0.27213816457507845</v>
      </c>
      <c r="P9835">
        <v>0.26336189688980149</v>
      </c>
    </row>
    <row r="9836" spans="13:16">
      <c r="M9836">
        <v>0.31127639692891734</v>
      </c>
      <c r="N9836">
        <v>0.17931006286443876</v>
      </c>
      <c r="O9836">
        <v>0.25234262330450563</v>
      </c>
      <c r="P9836">
        <v>0.25707091690213818</v>
      </c>
    </row>
    <row r="9837" spans="13:16">
      <c r="M9837">
        <v>0.3276339326546171</v>
      </c>
      <c r="N9837">
        <v>0.1866634321186609</v>
      </c>
      <c r="O9837">
        <v>0.23190493722475553</v>
      </c>
      <c r="P9837">
        <v>0.25379769800196644</v>
      </c>
    </row>
    <row r="9838" spans="13:16">
      <c r="M9838">
        <v>0.27563210618771233</v>
      </c>
      <c r="N9838">
        <v>0.19884599830915872</v>
      </c>
      <c r="O9838">
        <v>0.26930120367178395</v>
      </c>
      <c r="P9838">
        <v>0.25622069183134499</v>
      </c>
    </row>
    <row r="9839" spans="13:16">
      <c r="M9839">
        <v>0.29583835169120043</v>
      </c>
      <c r="N9839">
        <v>0.17866046324159515</v>
      </c>
      <c r="O9839">
        <v>0.25866845596541765</v>
      </c>
      <c r="P9839">
        <v>0.26683272910178685</v>
      </c>
    </row>
    <row r="9840" spans="13:16">
      <c r="M9840">
        <v>0.30876529896065025</v>
      </c>
      <c r="N9840">
        <v>0.17096168993352612</v>
      </c>
      <c r="O9840">
        <v>0.25717076966029923</v>
      </c>
      <c r="P9840">
        <v>0.26310224144552424</v>
      </c>
    </row>
    <row r="9841" spans="13:16">
      <c r="M9841">
        <v>0.26130182266462548</v>
      </c>
      <c r="N9841">
        <v>0.19673268952963399</v>
      </c>
      <c r="O9841">
        <v>0.28451532356140141</v>
      </c>
      <c r="P9841">
        <v>0.25745016424433903</v>
      </c>
    </row>
    <row r="9842" spans="13:16">
      <c r="M9842">
        <v>0.29263517033049613</v>
      </c>
      <c r="N9842">
        <v>0.17100076092170954</v>
      </c>
      <c r="O9842">
        <v>0.27348977711747241</v>
      </c>
      <c r="P9842">
        <v>0.26287429163032183</v>
      </c>
    </row>
    <row r="9843" spans="13:16">
      <c r="M9843">
        <v>0.28547799285661796</v>
      </c>
      <c r="N9843">
        <v>0.17558923395673856</v>
      </c>
      <c r="O9843">
        <v>0.2746574076618914</v>
      </c>
      <c r="P9843">
        <v>0.26427536552475206</v>
      </c>
    </row>
    <row r="9844" spans="13:16">
      <c r="M9844">
        <v>0.28319749754639595</v>
      </c>
      <c r="N9844">
        <v>0.18181813047141346</v>
      </c>
      <c r="O9844">
        <v>0.26452971663990676</v>
      </c>
      <c r="P9844">
        <v>0.27045465534228386</v>
      </c>
    </row>
    <row r="9845" spans="13:16">
      <c r="M9845">
        <v>0.28379015519927764</v>
      </c>
      <c r="N9845">
        <v>0.2039524988894286</v>
      </c>
      <c r="O9845">
        <v>0.25114624242200745</v>
      </c>
      <c r="P9845">
        <v>0.26111110348928634</v>
      </c>
    </row>
    <row r="9846" spans="13:16">
      <c r="M9846">
        <v>0.31351749811681423</v>
      </c>
      <c r="N9846">
        <v>0.18449649962945733</v>
      </c>
      <c r="O9846">
        <v>0.22987996493847607</v>
      </c>
      <c r="P9846">
        <v>0.27210603731525224</v>
      </c>
    </row>
    <row r="9847" spans="13:16">
      <c r="M9847">
        <v>0.27833958697697214</v>
      </c>
      <c r="N9847">
        <v>0.18272903553204856</v>
      </c>
      <c r="O9847">
        <v>0.26241885407935156</v>
      </c>
      <c r="P9847">
        <v>0.27651252341162774</v>
      </c>
    </row>
    <row r="9848" spans="13:16">
      <c r="M9848">
        <v>0.30843511180009792</v>
      </c>
      <c r="N9848">
        <v>0.17816557130632002</v>
      </c>
      <c r="O9848">
        <v>0.22727751267111135</v>
      </c>
      <c r="P9848">
        <v>0.28612180422247063</v>
      </c>
    </row>
    <row r="9849" spans="13:16">
      <c r="M9849">
        <v>0.32431313646675403</v>
      </c>
      <c r="N9849">
        <v>0.18335797576383958</v>
      </c>
      <c r="O9849">
        <v>0.24910870616929187</v>
      </c>
      <c r="P9849">
        <v>0.24322018160011447</v>
      </c>
    </row>
    <row r="9850" spans="13:16">
      <c r="M9850">
        <v>0.27679822772348767</v>
      </c>
      <c r="N9850">
        <v>0.18443215969032228</v>
      </c>
      <c r="O9850">
        <v>0.26988305262287704</v>
      </c>
      <c r="P9850">
        <v>0.26888655996331301</v>
      </c>
    </row>
    <row r="9851" spans="13:16">
      <c r="M9851">
        <v>0.27358556352479557</v>
      </c>
      <c r="N9851">
        <v>0.18890509575985578</v>
      </c>
      <c r="O9851">
        <v>0.25964200403388804</v>
      </c>
      <c r="P9851">
        <v>0.27786733668146052</v>
      </c>
    </row>
    <row r="9852" spans="13:16">
      <c r="M9852">
        <v>0.2856737816579118</v>
      </c>
      <c r="N9852">
        <v>0.18153015993141755</v>
      </c>
      <c r="O9852">
        <v>0.27173237826181262</v>
      </c>
      <c r="P9852">
        <v>0.261063680148858</v>
      </c>
    </row>
    <row r="9853" spans="13:16">
      <c r="M9853">
        <v>0.31526669681973152</v>
      </c>
      <c r="N9853">
        <v>0.18499697512937552</v>
      </c>
      <c r="O9853">
        <v>0.23681803990760827</v>
      </c>
      <c r="P9853">
        <v>0.26291828814328466</v>
      </c>
    </row>
    <row r="9854" spans="13:16">
      <c r="M9854">
        <v>0.28978746938066274</v>
      </c>
      <c r="N9854">
        <v>0.20120915290702843</v>
      </c>
      <c r="O9854">
        <v>0.23801493613437627</v>
      </c>
      <c r="P9854">
        <v>0.27098844157793262</v>
      </c>
    </row>
    <row r="9855" spans="13:16">
      <c r="M9855">
        <v>0.27530657520511392</v>
      </c>
      <c r="N9855">
        <v>0.19733336475255472</v>
      </c>
      <c r="O9855">
        <v>0.26860653645316135</v>
      </c>
      <c r="P9855">
        <v>0.25875352358917003</v>
      </c>
    </row>
    <row r="9856" spans="13:16">
      <c r="M9856">
        <v>0.26833137211253977</v>
      </c>
      <c r="N9856">
        <v>0.19839807970005222</v>
      </c>
      <c r="O9856">
        <v>0.27226590021749603</v>
      </c>
      <c r="P9856">
        <v>0.26100464796991202</v>
      </c>
    </row>
    <row r="9857" spans="13:16">
      <c r="M9857">
        <v>0.29534150820363203</v>
      </c>
      <c r="N9857">
        <v>0.1832217399001228</v>
      </c>
      <c r="O9857">
        <v>0.23370740833810805</v>
      </c>
      <c r="P9857">
        <v>0.28772934355813701</v>
      </c>
    </row>
    <row r="9858" spans="13:16">
      <c r="M9858">
        <v>0.31152863904276668</v>
      </c>
      <c r="N9858">
        <v>0.17456674072765835</v>
      </c>
      <c r="O9858">
        <v>0.26448504098151937</v>
      </c>
      <c r="P9858">
        <v>0.24941957924805574</v>
      </c>
    </row>
    <row r="9859" spans="13:16">
      <c r="M9859">
        <v>0.26683581852242522</v>
      </c>
      <c r="N9859">
        <v>0.18867825535664978</v>
      </c>
      <c r="O9859">
        <v>0.27347508309117119</v>
      </c>
      <c r="P9859">
        <v>0.2710108430297537</v>
      </c>
    </row>
    <row r="9860" spans="13:16">
      <c r="M9860">
        <v>0.30426150354071829</v>
      </c>
      <c r="N9860">
        <v>0.16137930948107934</v>
      </c>
      <c r="O9860">
        <v>0.29486359063045353</v>
      </c>
      <c r="P9860">
        <v>0.23949559634774878</v>
      </c>
    </row>
    <row r="9861" spans="13:16">
      <c r="M9861">
        <v>0.28616684670639952</v>
      </c>
      <c r="N9861">
        <v>0.19833698581689146</v>
      </c>
      <c r="O9861">
        <v>0.25373720484792434</v>
      </c>
      <c r="P9861">
        <v>0.26175896262878462</v>
      </c>
    </row>
    <row r="9862" spans="13:16">
      <c r="M9862">
        <v>0.29537979804835712</v>
      </c>
      <c r="N9862">
        <v>0.18141287220161195</v>
      </c>
      <c r="O9862">
        <v>0.26765541411871518</v>
      </c>
      <c r="P9862">
        <v>0.25555191563131585</v>
      </c>
    </row>
    <row r="9863" spans="13:16">
      <c r="M9863">
        <v>0.28058704292145059</v>
      </c>
      <c r="N9863">
        <v>0.17839517156802751</v>
      </c>
      <c r="O9863">
        <v>0.29505694866257481</v>
      </c>
      <c r="P9863">
        <v>0.24596083684794695</v>
      </c>
    </row>
    <row r="9864" spans="13:16">
      <c r="M9864">
        <v>0.29570482250624125</v>
      </c>
      <c r="N9864">
        <v>0.19275512671224365</v>
      </c>
      <c r="O9864">
        <v>0.2444902592988813</v>
      </c>
      <c r="P9864">
        <v>0.26704979148263386</v>
      </c>
    </row>
    <row r="9865" spans="13:16">
      <c r="M9865">
        <v>0.30768187971248856</v>
      </c>
      <c r="N9865">
        <v>0.18162227732541114</v>
      </c>
      <c r="O9865">
        <v>0.25191983551876668</v>
      </c>
      <c r="P9865">
        <v>0.25877600744333357</v>
      </c>
    </row>
    <row r="9866" spans="13:16">
      <c r="M9866">
        <v>0.27467199731142172</v>
      </c>
      <c r="N9866">
        <v>0.18432334531278621</v>
      </c>
      <c r="O9866">
        <v>0.27826197095628552</v>
      </c>
      <c r="P9866">
        <v>0.26274268641950665</v>
      </c>
    </row>
    <row r="9867" spans="13:16">
      <c r="M9867">
        <v>0.29082715451110375</v>
      </c>
      <c r="N9867">
        <v>0.19200142448934837</v>
      </c>
      <c r="O9867">
        <v>0.26151896736874458</v>
      </c>
      <c r="P9867">
        <v>0.25565245363080324</v>
      </c>
    </row>
    <row r="9868" spans="13:16">
      <c r="M9868">
        <v>0.3040045619875465</v>
      </c>
      <c r="N9868">
        <v>0.19121586019893078</v>
      </c>
      <c r="O9868">
        <v>0.23264768464746791</v>
      </c>
      <c r="P9868">
        <v>0.27213189316605485</v>
      </c>
    </row>
    <row r="9869" spans="13:16">
      <c r="M9869">
        <v>0.2930221809701134</v>
      </c>
      <c r="N9869">
        <v>0.20163026189431513</v>
      </c>
      <c r="O9869">
        <v>0.22300772307173705</v>
      </c>
      <c r="P9869">
        <v>0.28233983406383445</v>
      </c>
    </row>
    <row r="9870" spans="13:16">
      <c r="M9870">
        <v>0.31358543002072525</v>
      </c>
      <c r="N9870">
        <v>0.17644115649887887</v>
      </c>
      <c r="O9870">
        <v>0.25433771366031965</v>
      </c>
      <c r="P9870">
        <v>0.25563569982007606</v>
      </c>
    </row>
    <row r="9871" spans="13:16">
      <c r="M9871">
        <v>0.33072172232823532</v>
      </c>
      <c r="N9871">
        <v>0.16473150961815736</v>
      </c>
      <c r="O9871">
        <v>0.2428574852676407</v>
      </c>
      <c r="P9871">
        <v>0.2616892827859667</v>
      </c>
    </row>
    <row r="9872" spans="13:16">
      <c r="M9872">
        <v>0.28720054775644449</v>
      </c>
      <c r="N9872">
        <v>0.18249121642071395</v>
      </c>
      <c r="O9872">
        <v>0.28211273064549974</v>
      </c>
      <c r="P9872">
        <v>0.24819550517734179</v>
      </c>
    </row>
    <row r="9873" spans="13:16">
      <c r="M9873">
        <v>0.30574305265582746</v>
      </c>
      <c r="N9873">
        <v>0.18268551521221416</v>
      </c>
      <c r="O9873">
        <v>0.25079675590059691</v>
      </c>
      <c r="P9873">
        <v>0.26077467623136136</v>
      </c>
    </row>
    <row r="9874" spans="13:16">
      <c r="M9874">
        <v>0.27423527480918403</v>
      </c>
      <c r="N9874">
        <v>0.20943803173261957</v>
      </c>
      <c r="O9874">
        <v>0.25009990628971129</v>
      </c>
      <c r="P9874">
        <v>0.26622678716848514</v>
      </c>
    </row>
    <row r="9875" spans="13:16">
      <c r="M9875">
        <v>0.30184825108358443</v>
      </c>
      <c r="N9875">
        <v>0.17960159896542391</v>
      </c>
      <c r="O9875">
        <v>0.25947187957290846</v>
      </c>
      <c r="P9875">
        <v>0.25907827037808323</v>
      </c>
    </row>
    <row r="9876" spans="13:16">
      <c r="M9876">
        <v>0.27842985208868098</v>
      </c>
      <c r="N9876">
        <v>0.18878662618748263</v>
      </c>
      <c r="O9876">
        <v>0.26927953997220333</v>
      </c>
      <c r="P9876">
        <v>0.26350398175163303</v>
      </c>
    </row>
    <row r="9877" spans="13:16">
      <c r="M9877">
        <v>0.30561642487777968</v>
      </c>
      <c r="N9877">
        <v>0.19862660695113385</v>
      </c>
      <c r="O9877">
        <v>0.22340292789810243</v>
      </c>
      <c r="P9877">
        <v>0.27235404027298399</v>
      </c>
    </row>
    <row r="9878" spans="13:16">
      <c r="M9878">
        <v>0.28570649394711112</v>
      </c>
      <c r="N9878">
        <v>0.20911735747548985</v>
      </c>
      <c r="O9878">
        <v>0.22672649252269514</v>
      </c>
      <c r="P9878">
        <v>0.2784496560547039</v>
      </c>
    </row>
    <row r="9879" spans="13:16">
      <c r="M9879">
        <v>0.29424525555524439</v>
      </c>
      <c r="N9879">
        <v>0.18589700134284259</v>
      </c>
      <c r="O9879">
        <v>0.23972982364064932</v>
      </c>
      <c r="P9879">
        <v>0.28012791946126364</v>
      </c>
    </row>
    <row r="9880" spans="13:16">
      <c r="M9880">
        <v>0.27662264301800416</v>
      </c>
      <c r="N9880">
        <v>0.17901307057365096</v>
      </c>
      <c r="O9880">
        <v>0.28186736939484647</v>
      </c>
      <c r="P9880">
        <v>0.26249691701349837</v>
      </c>
    </row>
    <row r="9881" spans="13:16">
      <c r="M9881">
        <v>0.2752816014663047</v>
      </c>
      <c r="N9881">
        <v>0.18844051702051323</v>
      </c>
      <c r="O9881">
        <v>0.2591689745762783</v>
      </c>
      <c r="P9881">
        <v>0.27710890693690371</v>
      </c>
    </row>
    <row r="9882" spans="13:16">
      <c r="M9882">
        <v>0.28424119567327943</v>
      </c>
      <c r="N9882">
        <v>0.1870046621307139</v>
      </c>
      <c r="O9882">
        <v>0.26279443607481695</v>
      </c>
      <c r="P9882">
        <v>0.26595970612118963</v>
      </c>
    </row>
    <row r="9883" spans="13:16">
      <c r="M9883">
        <v>0.26607825895436332</v>
      </c>
      <c r="N9883">
        <v>0.19056494598438353</v>
      </c>
      <c r="O9883">
        <v>0.27402169989247532</v>
      </c>
      <c r="P9883">
        <v>0.26933509516877796</v>
      </c>
    </row>
    <row r="9884" spans="13:16">
      <c r="M9884">
        <v>0.27401318767725541</v>
      </c>
      <c r="N9884">
        <v>0.17450920276041434</v>
      </c>
      <c r="O9884">
        <v>0.28371710775245196</v>
      </c>
      <c r="P9884">
        <v>0.26776050180987826</v>
      </c>
    </row>
    <row r="9885" spans="13:16">
      <c r="M9885">
        <v>0.31470216452301175</v>
      </c>
      <c r="N9885">
        <v>0.18424691897649825</v>
      </c>
      <c r="O9885">
        <v>0.24778576768094684</v>
      </c>
      <c r="P9885">
        <v>0.2532651488195431</v>
      </c>
    </row>
    <row r="9886" spans="13:16">
      <c r="M9886">
        <v>0.30883289904520617</v>
      </c>
      <c r="N9886">
        <v>0.17573051344914556</v>
      </c>
      <c r="O9886">
        <v>0.24731770105411563</v>
      </c>
      <c r="P9886">
        <v>0.26811888645153259</v>
      </c>
    </row>
    <row r="9887" spans="13:16">
      <c r="M9887">
        <v>0.30507924640695122</v>
      </c>
      <c r="N9887">
        <v>0.18691614548843161</v>
      </c>
      <c r="O9887">
        <v>0.24785080153366823</v>
      </c>
      <c r="P9887">
        <v>0.26015380657094894</v>
      </c>
    </row>
    <row r="9888" spans="13:16">
      <c r="M9888">
        <v>0.3172289432439353</v>
      </c>
      <c r="N9888">
        <v>0.16757341899839429</v>
      </c>
      <c r="O9888">
        <v>0.26225607106513005</v>
      </c>
      <c r="P9888">
        <v>0.25294156669254036</v>
      </c>
    </row>
    <row r="9889" spans="13:16">
      <c r="M9889">
        <v>0.31584959977528532</v>
      </c>
      <c r="N9889">
        <v>0.17812091364869215</v>
      </c>
      <c r="O9889">
        <v>0.25151986457677022</v>
      </c>
      <c r="P9889">
        <v>0.25450962199925237</v>
      </c>
    </row>
    <row r="9890" spans="13:16">
      <c r="M9890">
        <v>0.30543388768316149</v>
      </c>
      <c r="N9890">
        <v>0.16634424848967591</v>
      </c>
      <c r="O9890">
        <v>0.27813390617825173</v>
      </c>
      <c r="P9890">
        <v>0.25008795764891084</v>
      </c>
    </row>
    <row r="9891" spans="13:16">
      <c r="M9891">
        <v>0.28883380742026449</v>
      </c>
      <c r="N9891">
        <v>0.18574048810818247</v>
      </c>
      <c r="O9891">
        <v>0.26186721150064768</v>
      </c>
      <c r="P9891">
        <v>0.26355849297090533</v>
      </c>
    </row>
    <row r="9892" spans="13:16">
      <c r="M9892">
        <v>0.32488650668860047</v>
      </c>
      <c r="N9892">
        <v>0.18080457613004083</v>
      </c>
      <c r="O9892">
        <v>0.23031226983079303</v>
      </c>
      <c r="P9892">
        <v>0.26399664735056561</v>
      </c>
    </row>
    <row r="9893" spans="13:16">
      <c r="M9893">
        <v>0.30427597185481292</v>
      </c>
      <c r="N9893">
        <v>0.18706774335532181</v>
      </c>
      <c r="O9893">
        <v>0.25066704067504475</v>
      </c>
      <c r="P9893">
        <v>0.25798924411482055</v>
      </c>
    </row>
    <row r="9894" spans="13:16">
      <c r="M9894">
        <v>0.28231734402946601</v>
      </c>
      <c r="N9894">
        <v>0.17450723814321917</v>
      </c>
      <c r="O9894">
        <v>0.27532895256363499</v>
      </c>
      <c r="P9894">
        <v>0.26784646526367983</v>
      </c>
    </row>
    <row r="9895" spans="13:16">
      <c r="M9895">
        <v>0.2969530254797294</v>
      </c>
      <c r="N9895">
        <v>0.191811234511025</v>
      </c>
      <c r="O9895">
        <v>0.25473011491207875</v>
      </c>
      <c r="P9895">
        <v>0.25650562509716685</v>
      </c>
    </row>
    <row r="9896" spans="13:16">
      <c r="M9896">
        <v>0.29611183975523542</v>
      </c>
      <c r="N9896">
        <v>0.20690036261039532</v>
      </c>
      <c r="O9896">
        <v>0.23927714395115218</v>
      </c>
      <c r="P9896">
        <v>0.25771065368321705</v>
      </c>
    </row>
    <row r="9897" spans="13:16">
      <c r="M9897">
        <v>0.28048072127181717</v>
      </c>
      <c r="N9897">
        <v>0.17679217599440974</v>
      </c>
      <c r="O9897">
        <v>0.29050252390059011</v>
      </c>
      <c r="P9897">
        <v>0.25222457883318306</v>
      </c>
    </row>
    <row r="9898" spans="13:16">
      <c r="M9898">
        <v>0.30908806965925539</v>
      </c>
      <c r="N9898">
        <v>0.17724518704381925</v>
      </c>
      <c r="O9898">
        <v>0.25092855592477231</v>
      </c>
      <c r="P9898">
        <v>0.26273818737215299</v>
      </c>
    </row>
    <row r="9899" spans="13:16">
      <c r="M9899">
        <v>0.29697638486486511</v>
      </c>
      <c r="N9899">
        <v>0.17892543635351571</v>
      </c>
      <c r="O9899">
        <v>0.28163292591604433</v>
      </c>
      <c r="P9899">
        <v>0.24246525286557474</v>
      </c>
    </row>
    <row r="9900" spans="13:16">
      <c r="M9900">
        <v>0.26161352930505122</v>
      </c>
      <c r="N9900">
        <v>0.19377619809891702</v>
      </c>
      <c r="O9900">
        <v>0.28153854768248304</v>
      </c>
      <c r="P9900">
        <v>0.26307172491354863</v>
      </c>
    </row>
    <row r="9901" spans="13:16">
      <c r="M9901">
        <v>0.31371563573889666</v>
      </c>
      <c r="N9901">
        <v>0.18638704408993578</v>
      </c>
      <c r="O9901">
        <v>0.22487999320776875</v>
      </c>
      <c r="P9901">
        <v>0.2750173269633987</v>
      </c>
    </row>
    <row r="9902" spans="13:16">
      <c r="M9902">
        <v>0.28955121069781087</v>
      </c>
      <c r="N9902">
        <v>0.20775972803233669</v>
      </c>
      <c r="O9902">
        <v>0.22007215388668905</v>
      </c>
      <c r="P9902">
        <v>0.28261690738316342</v>
      </c>
    </row>
    <row r="9903" spans="13:16">
      <c r="M9903">
        <v>0.28554856106371918</v>
      </c>
      <c r="N9903">
        <v>0.19397918144780482</v>
      </c>
      <c r="O9903">
        <v>0.26314138916460428</v>
      </c>
      <c r="P9903">
        <v>0.2573308683238717</v>
      </c>
    </row>
    <row r="9904" spans="13:16">
      <c r="M9904">
        <v>0.29630587068232495</v>
      </c>
      <c r="N9904">
        <v>0.19923985499387406</v>
      </c>
      <c r="O9904">
        <v>0.23149569593174676</v>
      </c>
      <c r="P9904">
        <v>0.27295857839205417</v>
      </c>
    </row>
    <row r="9905" spans="13:16">
      <c r="M9905">
        <v>0.3037479105702825</v>
      </c>
      <c r="N9905">
        <v>0.17925685978376427</v>
      </c>
      <c r="O9905">
        <v>0.26333127729239303</v>
      </c>
      <c r="P9905">
        <v>0.25366395235356021</v>
      </c>
    </row>
    <row r="9906" spans="13:16">
      <c r="M9906">
        <v>0.27221429491164545</v>
      </c>
      <c r="N9906">
        <v>0.18647829613975811</v>
      </c>
      <c r="O9906">
        <v>0.26662470935377608</v>
      </c>
      <c r="P9906">
        <v>0.27468269959482022</v>
      </c>
    </row>
    <row r="9907" spans="13:16">
      <c r="M9907">
        <v>0.31433043968230923</v>
      </c>
      <c r="N9907">
        <v>0.1668582457980623</v>
      </c>
      <c r="O9907">
        <v>0.26125713682878493</v>
      </c>
      <c r="P9907">
        <v>0.25755417769084343</v>
      </c>
    </row>
    <row r="9908" spans="13:16">
      <c r="M9908">
        <v>0.2978607271297683</v>
      </c>
      <c r="N9908">
        <v>0.18965646657292246</v>
      </c>
      <c r="O9908">
        <v>0.25237427943281143</v>
      </c>
      <c r="P9908">
        <v>0.26010852686449787</v>
      </c>
    </row>
    <row r="9909" spans="13:16">
      <c r="M9909">
        <v>0.31854518637041274</v>
      </c>
      <c r="N9909">
        <v>0.18815580152913697</v>
      </c>
      <c r="O9909">
        <v>0.23369282957699433</v>
      </c>
      <c r="P9909">
        <v>0.25960618252345591</v>
      </c>
    </row>
    <row r="9910" spans="13:16">
      <c r="M9910">
        <v>0.28103970780052007</v>
      </c>
      <c r="N9910">
        <v>0.1764645219049899</v>
      </c>
      <c r="O9910">
        <v>0.2735830233082619</v>
      </c>
      <c r="P9910">
        <v>0.26891274698622813</v>
      </c>
    </row>
    <row r="9911" spans="13:16">
      <c r="M9911">
        <v>0.30049650870729533</v>
      </c>
      <c r="N9911">
        <v>0.1928763761059461</v>
      </c>
      <c r="O9911">
        <v>0.23900953313328022</v>
      </c>
      <c r="P9911">
        <v>0.26761758205347835</v>
      </c>
    </row>
    <row r="9912" spans="13:16">
      <c r="M9912">
        <v>0.26448614331837816</v>
      </c>
      <c r="N9912">
        <v>0.21014689849612458</v>
      </c>
      <c r="O9912">
        <v>0.24262154528152702</v>
      </c>
      <c r="P9912">
        <v>0.28274541290397026</v>
      </c>
    </row>
    <row r="9913" spans="13:16">
      <c r="M9913">
        <v>0.26417372861735539</v>
      </c>
      <c r="N9913">
        <v>0.21133719319480901</v>
      </c>
      <c r="O9913">
        <v>0.25868755250285774</v>
      </c>
      <c r="P9913">
        <v>0.26580152568497789</v>
      </c>
    </row>
    <row r="9914" spans="13:16">
      <c r="M9914">
        <v>0.2847563865793683</v>
      </c>
      <c r="N9914">
        <v>0.18066205856376324</v>
      </c>
      <c r="O9914">
        <v>0.25219768951517113</v>
      </c>
      <c r="P9914">
        <v>0.28238386534169724</v>
      </c>
    </row>
    <row r="9915" spans="13:16">
      <c r="M9915">
        <v>0.29380736649007533</v>
      </c>
      <c r="N9915">
        <v>0.19591489003331439</v>
      </c>
      <c r="O9915">
        <v>0.24308483746534981</v>
      </c>
      <c r="P9915">
        <v>0.26719290601126061</v>
      </c>
    </row>
    <row r="9916" spans="13:16">
      <c r="M9916">
        <v>0.31874440060361675</v>
      </c>
      <c r="N9916">
        <v>0.17444841479420231</v>
      </c>
      <c r="O9916">
        <v>0.24427137699860135</v>
      </c>
      <c r="P9916">
        <v>0.26253580760357964</v>
      </c>
    </row>
    <row r="9917" spans="13:16">
      <c r="M9917">
        <v>0.30367785848924156</v>
      </c>
      <c r="N9917">
        <v>0.1917960135828127</v>
      </c>
      <c r="O9917">
        <v>0.23518029065842661</v>
      </c>
      <c r="P9917">
        <v>0.26934583726951922</v>
      </c>
    </row>
    <row r="9918" spans="13:16">
      <c r="M9918">
        <v>0.2930629459812964</v>
      </c>
      <c r="N9918">
        <v>0.18680850884346156</v>
      </c>
      <c r="O9918">
        <v>0.25386316417760585</v>
      </c>
      <c r="P9918">
        <v>0.26626538099763619</v>
      </c>
    </row>
    <row r="9919" spans="13:16">
      <c r="M9919">
        <v>0.30910388333917915</v>
      </c>
      <c r="N9919">
        <v>0.17466195095790268</v>
      </c>
      <c r="O9919">
        <v>0.26416115519174227</v>
      </c>
      <c r="P9919">
        <v>0.25207301051117581</v>
      </c>
    </row>
    <row r="9920" spans="13:16">
      <c r="M9920">
        <v>0.31522700287620786</v>
      </c>
      <c r="N9920">
        <v>0.18074291689694189</v>
      </c>
      <c r="O9920">
        <v>0.23564042234330163</v>
      </c>
      <c r="P9920">
        <v>0.26838965788354857</v>
      </c>
    </row>
    <row r="9921" spans="13:16">
      <c r="M9921">
        <v>0.27085345838416452</v>
      </c>
      <c r="N9921">
        <v>0.19600315868694954</v>
      </c>
      <c r="O9921">
        <v>0.27717681904733776</v>
      </c>
      <c r="P9921">
        <v>0.25596656388154815</v>
      </c>
    </row>
    <row r="9922" spans="13:16">
      <c r="M9922">
        <v>0.29966502220898689</v>
      </c>
      <c r="N9922">
        <v>0.17241249326642655</v>
      </c>
      <c r="O9922">
        <v>0.27445228279726386</v>
      </c>
      <c r="P9922">
        <v>0.25347020172732271</v>
      </c>
    </row>
    <row r="9923" spans="13:16">
      <c r="M9923">
        <v>0.29030035038915425</v>
      </c>
      <c r="N9923">
        <v>0.20072823566956424</v>
      </c>
      <c r="O9923">
        <v>0.24523308109721029</v>
      </c>
      <c r="P9923">
        <v>0.26373833284407122</v>
      </c>
    </row>
    <row r="9924" spans="13:16">
      <c r="M9924">
        <v>0.29066496214611737</v>
      </c>
      <c r="N9924">
        <v>0.18012073372306117</v>
      </c>
      <c r="O9924">
        <v>0.26284506872288782</v>
      </c>
      <c r="P9924">
        <v>0.26636923540793367</v>
      </c>
    </row>
    <row r="9925" spans="13:16">
      <c r="M9925">
        <v>0.28526870039169011</v>
      </c>
      <c r="N9925">
        <v>0.18362838865330358</v>
      </c>
      <c r="O9925">
        <v>0.28461250048857151</v>
      </c>
      <c r="P9925">
        <v>0.2464904104664348</v>
      </c>
    </row>
    <row r="9926" spans="13:16">
      <c r="M9926">
        <v>0.2955297669181346</v>
      </c>
      <c r="N9926">
        <v>0.20194575113584817</v>
      </c>
      <c r="O9926">
        <v>0.2400621750474711</v>
      </c>
      <c r="P9926">
        <v>0.2624623068985461</v>
      </c>
    </row>
    <row r="9927" spans="13:16">
      <c r="M9927">
        <v>0.29076094835773492</v>
      </c>
      <c r="N9927">
        <v>0.19149163297600391</v>
      </c>
      <c r="O9927">
        <v>0.27313338307478346</v>
      </c>
      <c r="P9927">
        <v>0.24461403559147762</v>
      </c>
    </row>
    <row r="9928" spans="13:16">
      <c r="M9928">
        <v>0.2997934846457479</v>
      </c>
      <c r="N9928">
        <v>0.18298039068008784</v>
      </c>
      <c r="O9928">
        <v>0.25078068455550123</v>
      </c>
      <c r="P9928">
        <v>0.26644544011866295</v>
      </c>
    </row>
    <row r="9929" spans="13:16">
      <c r="M9929">
        <v>0.30474540228882163</v>
      </c>
      <c r="N9929">
        <v>0.17867344384863401</v>
      </c>
      <c r="O9929">
        <v>0.26740092042287722</v>
      </c>
      <c r="P9929">
        <v>0.24918023343966703</v>
      </c>
    </row>
    <row r="9930" spans="13:16">
      <c r="M9930">
        <v>0.28189604163181575</v>
      </c>
      <c r="N9930">
        <v>0.2061698166294158</v>
      </c>
      <c r="O9930">
        <v>0.24931830475759423</v>
      </c>
      <c r="P9930">
        <v>0.26261583698117419</v>
      </c>
    </row>
    <row r="9931" spans="13:16">
      <c r="M9931">
        <v>0.31049494052220422</v>
      </c>
      <c r="N9931">
        <v>0.18259095765611125</v>
      </c>
      <c r="O9931">
        <v>0.23986352748419959</v>
      </c>
      <c r="P9931">
        <v>0.26705057433748497</v>
      </c>
    </row>
    <row r="9932" spans="13:16">
      <c r="M9932">
        <v>0.27910319029722963</v>
      </c>
      <c r="N9932">
        <v>0.16875908677140411</v>
      </c>
      <c r="O9932">
        <v>0.30185971051282928</v>
      </c>
      <c r="P9932">
        <v>0.25027801241853692</v>
      </c>
    </row>
    <row r="9933" spans="13:16">
      <c r="M9933">
        <v>0.2808913850396087</v>
      </c>
      <c r="N9933">
        <v>0.18851452739489602</v>
      </c>
      <c r="O9933">
        <v>0.2517084452912503</v>
      </c>
      <c r="P9933">
        <v>0.27888564227424512</v>
      </c>
    </row>
    <row r="9934" spans="13:16">
      <c r="M9934">
        <v>0.27559733904393613</v>
      </c>
      <c r="N9934">
        <v>0.18405985903393174</v>
      </c>
      <c r="O9934">
        <v>0.29757673096269199</v>
      </c>
      <c r="P9934">
        <v>0.24276607095944011</v>
      </c>
    </row>
    <row r="9935" spans="13:16">
      <c r="M9935">
        <v>0.26125186521164884</v>
      </c>
      <c r="N9935">
        <v>0.21106301069804678</v>
      </c>
      <c r="O9935">
        <v>0.2581817234242077</v>
      </c>
      <c r="P9935">
        <v>0.26950340066609674</v>
      </c>
    </row>
    <row r="9936" spans="13:16">
      <c r="M9936">
        <v>0.30258970851979394</v>
      </c>
      <c r="N9936">
        <v>0.1836048750865597</v>
      </c>
      <c r="O9936">
        <v>0.25151432371996263</v>
      </c>
      <c r="P9936">
        <v>0.26229109267368367</v>
      </c>
    </row>
    <row r="9937" spans="13:16">
      <c r="M9937">
        <v>0.27592231543636847</v>
      </c>
      <c r="N9937">
        <v>0.16899330901765233</v>
      </c>
      <c r="O9937">
        <v>0.30527064598379744</v>
      </c>
      <c r="P9937">
        <v>0.2498137295621817</v>
      </c>
    </row>
    <row r="9938" spans="13:16">
      <c r="M9938">
        <v>0.30847359882893044</v>
      </c>
      <c r="N9938">
        <v>0.17650919481156763</v>
      </c>
      <c r="O9938">
        <v>0.2595343228488492</v>
      </c>
      <c r="P9938">
        <v>0.25548288351065279</v>
      </c>
    </row>
    <row r="9939" spans="13:16">
      <c r="M9939">
        <v>0.27892982653747012</v>
      </c>
      <c r="N9939">
        <v>0.18128117797364479</v>
      </c>
      <c r="O9939">
        <v>0.30085971862357885</v>
      </c>
      <c r="P9939">
        <v>0.23892927686530621</v>
      </c>
    </row>
    <row r="9940" spans="13:16">
      <c r="M9940">
        <v>0.3082629289285157</v>
      </c>
      <c r="N9940">
        <v>0.18393984002266309</v>
      </c>
      <c r="O9940">
        <v>0.23116784084675168</v>
      </c>
      <c r="P9940">
        <v>0.27662939020206945</v>
      </c>
    </row>
    <row r="9941" spans="13:16">
      <c r="M9941">
        <v>0.28430652502794723</v>
      </c>
      <c r="N9941">
        <v>0.19195457648984734</v>
      </c>
      <c r="O9941">
        <v>0.25909707523508696</v>
      </c>
      <c r="P9941">
        <v>0.26464182324711844</v>
      </c>
    </row>
    <row r="9942" spans="13:16">
      <c r="M9942">
        <v>0.26292216719151501</v>
      </c>
      <c r="N9942">
        <v>0.18054544110508339</v>
      </c>
      <c r="O9942">
        <v>0.28892787651100349</v>
      </c>
      <c r="P9942">
        <v>0.2676045151923982</v>
      </c>
    </row>
    <row r="9943" spans="13:16">
      <c r="M9943">
        <v>0.2909247888737338</v>
      </c>
      <c r="N9943">
        <v>0.17942032734131322</v>
      </c>
      <c r="O9943">
        <v>0.28001644694750022</v>
      </c>
      <c r="P9943">
        <v>0.24963843683745285</v>
      </c>
    </row>
    <row r="9944" spans="13:16">
      <c r="M9944">
        <v>0.30319483346439352</v>
      </c>
      <c r="N9944">
        <v>0.17516833136713686</v>
      </c>
      <c r="O9944">
        <v>0.26868302942854377</v>
      </c>
      <c r="P9944">
        <v>0.25295380573992593</v>
      </c>
    </row>
    <row r="9945" spans="13:16">
      <c r="M9945">
        <v>0.29569099092492984</v>
      </c>
      <c r="N9945">
        <v>0.19430462519533148</v>
      </c>
      <c r="O9945">
        <v>0.23768216386166416</v>
      </c>
      <c r="P9945">
        <v>0.27232222001807449</v>
      </c>
    </row>
    <row r="9946" spans="13:16">
      <c r="M9946">
        <v>0.29746267735404291</v>
      </c>
      <c r="N9946">
        <v>0.16226204305258027</v>
      </c>
      <c r="O9946">
        <v>0.30206264533975469</v>
      </c>
      <c r="P9946">
        <v>0.23821263425362216</v>
      </c>
    </row>
    <row r="9947" spans="13:16">
      <c r="M9947">
        <v>0.31206381818709589</v>
      </c>
      <c r="N9947">
        <v>0.18646630053068763</v>
      </c>
      <c r="O9947">
        <v>0.23808096922985938</v>
      </c>
      <c r="P9947">
        <v>0.26338891205235715</v>
      </c>
    </row>
    <row r="9948" spans="13:16">
      <c r="M9948">
        <v>0.28045121811356899</v>
      </c>
      <c r="N9948">
        <v>0.1870733957130192</v>
      </c>
      <c r="O9948">
        <v>0.27249719516998744</v>
      </c>
      <c r="P9948">
        <v>0.25997819100342434</v>
      </c>
    </row>
    <row r="9949" spans="13:16">
      <c r="M9949">
        <v>0.30477714051445221</v>
      </c>
      <c r="N9949">
        <v>0.1856837360670186</v>
      </c>
      <c r="O9949">
        <v>0.24536725737142881</v>
      </c>
      <c r="P9949">
        <v>0.26417186604710041</v>
      </c>
    </row>
    <row r="9950" spans="13:16">
      <c r="M9950">
        <v>0.27361148343635366</v>
      </c>
      <c r="N9950">
        <v>0.19981238445760441</v>
      </c>
      <c r="O9950">
        <v>0.25892446058782487</v>
      </c>
      <c r="P9950">
        <v>0.26765167151821695</v>
      </c>
    </row>
    <row r="9951" spans="13:16">
      <c r="M9951">
        <v>0.30314179291101423</v>
      </c>
      <c r="N9951">
        <v>0.18106791932020816</v>
      </c>
      <c r="O9951">
        <v>0.24823509909457411</v>
      </c>
      <c r="P9951">
        <v>0.26755518867420353</v>
      </c>
    </row>
    <row r="9952" spans="13:16">
      <c r="M9952">
        <v>0.27599099310660263</v>
      </c>
      <c r="N9952">
        <v>0.19633123124039534</v>
      </c>
      <c r="O9952">
        <v>0.25930805819741864</v>
      </c>
      <c r="P9952">
        <v>0.26836971745558341</v>
      </c>
    </row>
    <row r="9953" spans="13:16">
      <c r="M9953">
        <v>0.28330052377192461</v>
      </c>
      <c r="N9953">
        <v>0.2010998095187925</v>
      </c>
      <c r="O9953">
        <v>0.25039831120220091</v>
      </c>
      <c r="P9953">
        <v>0.26520135550708201</v>
      </c>
    </row>
    <row r="9954" spans="13:16">
      <c r="M9954">
        <v>0.28561408408664751</v>
      </c>
      <c r="N9954">
        <v>0.18251549947387541</v>
      </c>
      <c r="O9954">
        <v>0.25539557635906124</v>
      </c>
      <c r="P9954">
        <v>0.27647484008041595</v>
      </c>
    </row>
    <row r="9955" spans="13:16">
      <c r="M9955">
        <v>0.27089114814637555</v>
      </c>
      <c r="N9955">
        <v>0.17935697382270951</v>
      </c>
      <c r="O9955">
        <v>0.27600407768270868</v>
      </c>
      <c r="P9955">
        <v>0.27374780034820634</v>
      </c>
    </row>
    <row r="9956" spans="13:16">
      <c r="M9956">
        <v>0.30990493825735993</v>
      </c>
      <c r="N9956">
        <v>0.18954453046186723</v>
      </c>
      <c r="O9956">
        <v>0.23266709587448767</v>
      </c>
      <c r="P9956">
        <v>0.26788343540628523</v>
      </c>
    </row>
    <row r="9957" spans="13:16">
      <c r="M9957">
        <v>0.30279018304799443</v>
      </c>
      <c r="N9957">
        <v>0.19379891375102207</v>
      </c>
      <c r="O9957">
        <v>0.242037730827279</v>
      </c>
      <c r="P9957">
        <v>0.26137317237370461</v>
      </c>
    </row>
    <row r="9958" spans="13:16">
      <c r="M9958">
        <v>0.28464756514591005</v>
      </c>
      <c r="N9958">
        <v>0.20490599785769539</v>
      </c>
      <c r="O9958">
        <v>0.25273838518768843</v>
      </c>
      <c r="P9958">
        <v>0.25770805180870598</v>
      </c>
    </row>
    <row r="9959" spans="13:16">
      <c r="M9959">
        <v>0.30808184034214248</v>
      </c>
      <c r="N9959">
        <v>0.16194861298511223</v>
      </c>
      <c r="O9959">
        <v>0.28782226519050824</v>
      </c>
      <c r="P9959">
        <v>0.24214728148223691</v>
      </c>
    </row>
    <row r="9960" spans="13:16">
      <c r="M9960">
        <v>0.29374150255536502</v>
      </c>
      <c r="N9960">
        <v>0.17594085442041785</v>
      </c>
      <c r="O9960">
        <v>0.25759625473262487</v>
      </c>
      <c r="P9960">
        <v>0.27272138829159226</v>
      </c>
    </row>
    <row r="9961" spans="13:16">
      <c r="M9961">
        <v>0.3141065471088722</v>
      </c>
      <c r="N9961">
        <v>0.18648920149902215</v>
      </c>
      <c r="O9961">
        <v>0.23521490520445112</v>
      </c>
      <c r="P9961">
        <v>0.26418934618765455</v>
      </c>
    </row>
    <row r="9962" spans="13:16">
      <c r="M9962">
        <v>0.27102200728815751</v>
      </c>
      <c r="N9962">
        <v>0.1878622937450265</v>
      </c>
      <c r="O9962">
        <v>0.27582048771690726</v>
      </c>
      <c r="P9962">
        <v>0.26529521124990879</v>
      </c>
    </row>
    <row r="9963" spans="13:16">
      <c r="M9963">
        <v>0.32991342015343428</v>
      </c>
      <c r="N9963">
        <v>0.16525899493708715</v>
      </c>
      <c r="O9963">
        <v>0.25104789443907793</v>
      </c>
      <c r="P9963">
        <v>0.25377969047040061</v>
      </c>
    </row>
    <row r="9964" spans="13:16">
      <c r="M9964">
        <v>0.29213210747329299</v>
      </c>
      <c r="N9964">
        <v>0.19921203563668913</v>
      </c>
      <c r="O9964">
        <v>0.23360712413253568</v>
      </c>
      <c r="P9964">
        <v>0.27504873275748221</v>
      </c>
    </row>
    <row r="9965" spans="13:16">
      <c r="M9965">
        <v>0.2879019472227296</v>
      </c>
      <c r="N9965">
        <v>0.2006057669665233</v>
      </c>
      <c r="O9965">
        <v>0.22914907787846311</v>
      </c>
      <c r="P9965">
        <v>0.28234320793228396</v>
      </c>
    </row>
    <row r="9966" spans="13:16">
      <c r="M9966">
        <v>0.30235552828294476</v>
      </c>
      <c r="N9966">
        <v>0.158917316897496</v>
      </c>
      <c r="O9966">
        <v>0.29028775992103734</v>
      </c>
      <c r="P9966">
        <v>0.24843939489852196</v>
      </c>
    </row>
    <row r="9967" spans="13:16">
      <c r="M9967">
        <v>0.30152625326930765</v>
      </c>
      <c r="N9967">
        <v>0.19435901934526076</v>
      </c>
      <c r="O9967">
        <v>0.2333777944845116</v>
      </c>
      <c r="P9967">
        <v>0.27073693290091994</v>
      </c>
    </row>
    <row r="9968" spans="13:16">
      <c r="M9968">
        <v>0.28175801498414771</v>
      </c>
      <c r="N9968">
        <v>0.18179219107092937</v>
      </c>
      <c r="O9968">
        <v>0.28630262330254913</v>
      </c>
      <c r="P9968">
        <v>0.2501471706423738</v>
      </c>
    </row>
    <row r="9969" spans="13:16">
      <c r="M9969">
        <v>0.30538185886358554</v>
      </c>
      <c r="N9969">
        <v>0.16856751698270975</v>
      </c>
      <c r="O9969">
        <v>0.27028371120705219</v>
      </c>
      <c r="P9969">
        <v>0.25576691294665249</v>
      </c>
    </row>
    <row r="9970" spans="13:16">
      <c r="M9970">
        <v>0.27508238835632653</v>
      </c>
      <c r="N9970">
        <v>0.19103186603233827</v>
      </c>
      <c r="O9970">
        <v>0.26235391705913697</v>
      </c>
      <c r="P9970">
        <v>0.27153182855219832</v>
      </c>
    </row>
    <row r="9971" spans="13:16">
      <c r="M9971">
        <v>0.30741381628842818</v>
      </c>
      <c r="N9971">
        <v>0.18233244441591434</v>
      </c>
      <c r="O9971">
        <v>0.25461208133221358</v>
      </c>
      <c r="P9971">
        <v>0.25564165796344385</v>
      </c>
    </row>
    <row r="9972" spans="13:16">
      <c r="M9972">
        <v>0.3147546585839478</v>
      </c>
      <c r="N9972">
        <v>0.16109435194456559</v>
      </c>
      <c r="O9972">
        <v>0.27523855338695652</v>
      </c>
      <c r="P9972">
        <v>0.24891243608453004</v>
      </c>
    </row>
    <row r="9973" spans="13:16">
      <c r="M9973">
        <v>0.29489497426115113</v>
      </c>
      <c r="N9973">
        <v>0.17709894335887302</v>
      </c>
      <c r="O9973">
        <v>0.2684804512810553</v>
      </c>
      <c r="P9973">
        <v>0.25952563109892057</v>
      </c>
    </row>
    <row r="9974" spans="13:16">
      <c r="M9974">
        <v>0.2969464850706518</v>
      </c>
      <c r="N9974">
        <v>0.17676906345261587</v>
      </c>
      <c r="O9974">
        <v>0.2780087243675568</v>
      </c>
      <c r="P9974">
        <v>0.24827572710917559</v>
      </c>
    </row>
    <row r="9975" spans="13:16">
      <c r="M9975">
        <v>0.25713041401878428</v>
      </c>
      <c r="N9975">
        <v>0.18919548678234926</v>
      </c>
      <c r="O9975">
        <v>0.29587051232178296</v>
      </c>
      <c r="P9975">
        <v>0.25780358687708349</v>
      </c>
    </row>
    <row r="9976" spans="13:16">
      <c r="M9976">
        <v>0.28900499799185386</v>
      </c>
      <c r="N9976">
        <v>0.17924904950021189</v>
      </c>
      <c r="O9976">
        <v>0.27717934981786663</v>
      </c>
      <c r="P9976">
        <v>0.25456660269006776</v>
      </c>
    </row>
    <row r="9977" spans="13:16">
      <c r="M9977">
        <v>0.26933068338719618</v>
      </c>
      <c r="N9977">
        <v>0.18373612936330891</v>
      </c>
      <c r="O9977">
        <v>0.28803567724420942</v>
      </c>
      <c r="P9977">
        <v>0.25889751000528549</v>
      </c>
    </row>
    <row r="9978" spans="13:16">
      <c r="M9978">
        <v>0.28299573514783899</v>
      </c>
      <c r="N9978">
        <v>0.18262117717224688</v>
      </c>
      <c r="O9978">
        <v>0.24214026489808993</v>
      </c>
      <c r="P9978">
        <v>0.29224282278182417</v>
      </c>
    </row>
    <row r="9979" spans="13:16">
      <c r="M9979">
        <v>0.27656361753195158</v>
      </c>
      <c r="N9979">
        <v>0.18893448063484861</v>
      </c>
      <c r="O9979">
        <v>0.27087073678809298</v>
      </c>
      <c r="P9979">
        <v>0.26363116504510686</v>
      </c>
    </row>
    <row r="9980" spans="13:16">
      <c r="M9980">
        <v>0.3037888364162305</v>
      </c>
      <c r="N9980">
        <v>0.16545371172797604</v>
      </c>
      <c r="O9980">
        <v>0.28173864566243634</v>
      </c>
      <c r="P9980">
        <v>0.24901880619335712</v>
      </c>
    </row>
    <row r="9981" spans="13:16">
      <c r="M9981">
        <v>0.29569002226765323</v>
      </c>
      <c r="N9981">
        <v>0.18295142252251029</v>
      </c>
      <c r="O9981">
        <v>0.25444325808534141</v>
      </c>
      <c r="P9981">
        <v>0.26691529712449513</v>
      </c>
    </row>
    <row r="9982" spans="13:16">
      <c r="M9982">
        <v>0.2938367867207976</v>
      </c>
      <c r="N9982">
        <v>0.17298417206962585</v>
      </c>
      <c r="O9982">
        <v>0.26745686243257255</v>
      </c>
      <c r="P9982">
        <v>0.2657221787770041</v>
      </c>
    </row>
    <row r="9983" spans="13:16">
      <c r="M9983">
        <v>0.28165855983299976</v>
      </c>
      <c r="N9983">
        <v>0.17400477049731713</v>
      </c>
      <c r="O9983">
        <v>0.28125900645670249</v>
      </c>
      <c r="P9983">
        <v>0.26307766321298059</v>
      </c>
    </row>
    <row r="9984" spans="13:16">
      <c r="M9984">
        <v>0.29194879028290532</v>
      </c>
      <c r="N9984">
        <v>0.17119847769948157</v>
      </c>
      <c r="O9984">
        <v>0.27895612803148212</v>
      </c>
      <c r="P9984">
        <v>0.25789660398613101</v>
      </c>
    </row>
    <row r="9985" spans="13:16">
      <c r="M9985">
        <v>0.30755994012942717</v>
      </c>
      <c r="N9985">
        <v>0.1829192383795894</v>
      </c>
      <c r="O9985">
        <v>0.25042093895390249</v>
      </c>
      <c r="P9985">
        <v>0.25909988253708099</v>
      </c>
    </row>
    <row r="9986" spans="13:16">
      <c r="M9986">
        <v>0.27779367214776635</v>
      </c>
      <c r="N9986">
        <v>0.19389459246751231</v>
      </c>
      <c r="O9986">
        <v>0.26045537418446801</v>
      </c>
      <c r="P9986">
        <v>0.26785636120025347</v>
      </c>
    </row>
    <row r="9987" spans="13:16">
      <c r="M9987">
        <v>0.29492159380984739</v>
      </c>
      <c r="N9987">
        <v>0.17325247922227779</v>
      </c>
      <c r="O9987">
        <v>0.27831967252552192</v>
      </c>
      <c r="P9987">
        <v>0.25350625444235281</v>
      </c>
    </row>
    <row r="9988" spans="13:16">
      <c r="M9988">
        <v>0.27968657182665241</v>
      </c>
      <c r="N9988">
        <v>0.18887648116623115</v>
      </c>
      <c r="O9988">
        <v>0.24499828697644316</v>
      </c>
      <c r="P9988">
        <v>0.2864386600306732</v>
      </c>
    </row>
    <row r="9989" spans="13:16">
      <c r="M9989">
        <v>0.29862689887312815</v>
      </c>
      <c r="N9989">
        <v>0.17729012608070163</v>
      </c>
      <c r="O9989">
        <v>0.27094862239209028</v>
      </c>
      <c r="P9989">
        <v>0.25313435265407991</v>
      </c>
    </row>
    <row r="9990" spans="13:16">
      <c r="M9990">
        <v>0.28549969977202594</v>
      </c>
      <c r="N9990">
        <v>0.18359086533761265</v>
      </c>
      <c r="O9990">
        <v>0.27122589844649964</v>
      </c>
      <c r="P9990">
        <v>0.25968353644386166</v>
      </c>
    </row>
    <row r="9991" spans="13:16">
      <c r="M9991">
        <v>0.27624128126816744</v>
      </c>
      <c r="N9991">
        <v>0.18022434234883852</v>
      </c>
      <c r="O9991">
        <v>0.27930711156661714</v>
      </c>
      <c r="P9991">
        <v>0.26422726481637693</v>
      </c>
    </row>
    <row r="9992" spans="13:16">
      <c r="M9992">
        <v>0.28110200281294934</v>
      </c>
      <c r="N9992">
        <v>0.20859489804432021</v>
      </c>
      <c r="O9992">
        <v>0.24047459749000807</v>
      </c>
      <c r="P9992">
        <v>0.26982850165272232</v>
      </c>
    </row>
    <row r="9993" spans="13:16">
      <c r="M9993">
        <v>0.28316146993523927</v>
      </c>
      <c r="N9993">
        <v>0.18513483672962786</v>
      </c>
      <c r="O9993">
        <v>0.2745555514056276</v>
      </c>
      <c r="P9993">
        <v>0.25714814192950525</v>
      </c>
    </row>
    <row r="9994" spans="13:16">
      <c r="M9994">
        <v>0.28066953587608895</v>
      </c>
      <c r="N9994">
        <v>0.20200715214631604</v>
      </c>
      <c r="O9994">
        <v>0.23799378027287482</v>
      </c>
      <c r="P9994">
        <v>0.27932953170472025</v>
      </c>
    </row>
    <row r="9995" spans="13:16">
      <c r="M9995">
        <v>0.28442868791478471</v>
      </c>
      <c r="N9995">
        <v>0.18370950759741569</v>
      </c>
      <c r="O9995">
        <v>0.25637282151251845</v>
      </c>
      <c r="P9995">
        <v>0.27548898297528124</v>
      </c>
    </row>
    <row r="9996" spans="13:16">
      <c r="M9996">
        <v>0.27899914617599686</v>
      </c>
      <c r="N9996">
        <v>0.19901872504386425</v>
      </c>
      <c r="O9996">
        <v>0.2399795928860326</v>
      </c>
      <c r="P9996">
        <v>0.28200253589410623</v>
      </c>
    </row>
    <row r="9997" spans="13:16">
      <c r="M9997">
        <v>0.2824525979102806</v>
      </c>
      <c r="N9997">
        <v>0.19521085164213214</v>
      </c>
      <c r="O9997">
        <v>0.2582222245448525</v>
      </c>
      <c r="P9997">
        <v>0.2641143259027347</v>
      </c>
    </row>
    <row r="9998" spans="13:16">
      <c r="M9998">
        <v>0.2994234682572301</v>
      </c>
      <c r="N9998">
        <v>0.16559003008667225</v>
      </c>
      <c r="O9998">
        <v>0.28352253288995077</v>
      </c>
      <c r="P9998">
        <v>0.25146396876614685</v>
      </c>
    </row>
    <row r="9999" spans="13:16">
      <c r="M9999">
        <v>0.26696241970090895</v>
      </c>
      <c r="N9999">
        <v>0.18795456916541473</v>
      </c>
      <c r="O9999">
        <v>0.28443026155701351</v>
      </c>
      <c r="P9999">
        <v>0.26065274957666273</v>
      </c>
    </row>
    <row r="10000" spans="13:16">
      <c r="M10000">
        <v>0.26733320802782951</v>
      </c>
      <c r="N10000">
        <v>0.20143033133908972</v>
      </c>
      <c r="O10000">
        <v>0.27838828853168845</v>
      </c>
      <c r="P10000">
        <v>0.25284817210139232</v>
      </c>
    </row>
    <row r="10001" spans="13:16">
      <c r="M10001">
        <v>0.27718707387330216</v>
      </c>
      <c r="N10001">
        <v>0.17861493823287633</v>
      </c>
      <c r="O10001">
        <v>0.26956220923145419</v>
      </c>
      <c r="P10001">
        <v>0.27463577866236732</v>
      </c>
    </row>
    <row r="10002" spans="13:16">
      <c r="M10002">
        <v>0.28102967366309178</v>
      </c>
      <c r="N10002">
        <v>0.16804425630416797</v>
      </c>
      <c r="O10002">
        <v>0.29024448681955856</v>
      </c>
      <c r="P10002">
        <v>0.26068158321318163</v>
      </c>
    </row>
  </sheetData>
  <pageMargins left="0.75" right="0.75" top="1" bottom="1" header="0.5" footer="0.5"/>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AF992F-4FA5-400F-A2C4-BDBE01C549AC}">
  <sheetPr codeName="Sheet12"/>
  <dimension ref="A1:A862"/>
  <sheetViews>
    <sheetView workbookViewId="0">
      <selection activeCell="A5" sqref="A5"/>
    </sheetView>
  </sheetViews>
  <sheetFormatPr defaultRowHeight="15"/>
  <cols>
    <col min="1" max="1" width="113.140625" bestFit="1" customWidth="1"/>
  </cols>
  <sheetData>
    <row r="1" spans="1:1" ht="18.75">
      <c r="A1" s="14" t="s">
        <v>1260</v>
      </c>
    </row>
    <row r="3" spans="1:1">
      <c r="A3" t="s">
        <v>591</v>
      </c>
    </row>
    <row r="4" spans="1:1">
      <c r="A4" t="s">
        <v>592</v>
      </c>
    </row>
    <row r="5" spans="1:1">
      <c r="A5" t="s">
        <v>1285</v>
      </c>
    </row>
    <row r="6" spans="1:1">
      <c r="A6" t="s">
        <v>594</v>
      </c>
    </row>
    <row r="7" spans="1:1">
      <c r="A7" t="s">
        <v>595</v>
      </c>
    </row>
    <row r="8" spans="1:1">
      <c r="A8" t="s">
        <v>596</v>
      </c>
    </row>
    <row r="10" spans="1:1">
      <c r="A10" t="s">
        <v>600</v>
      </c>
    </row>
    <row r="12" spans="1:1">
      <c r="A12" t="s">
        <v>787</v>
      </c>
    </row>
    <row r="13" spans="1:1">
      <c r="A13" t="s">
        <v>788</v>
      </c>
    </row>
    <row r="14" spans="1:1">
      <c r="A14" t="s">
        <v>789</v>
      </c>
    </row>
    <row r="15" spans="1:1">
      <c r="A15" t="s">
        <v>790</v>
      </c>
    </row>
    <row r="16" spans="1:1">
      <c r="A16" t="s">
        <v>791</v>
      </c>
    </row>
    <row r="17" spans="1:1">
      <c r="A17" t="s">
        <v>792</v>
      </c>
    </row>
    <row r="19" spans="1:1">
      <c r="A19" t="s">
        <v>837</v>
      </c>
    </row>
    <row r="20" spans="1:1">
      <c r="A20" t="s">
        <v>920</v>
      </c>
    </row>
    <row r="21" spans="1:1">
      <c r="A21" t="s">
        <v>921</v>
      </c>
    </row>
    <row r="22" spans="1:1">
      <c r="A22" t="s">
        <v>837</v>
      </c>
    </row>
    <row r="24" spans="1:1">
      <c r="A24" t="s">
        <v>838</v>
      </c>
    </row>
    <row r="25" spans="1:1">
      <c r="A25" t="s">
        <v>701</v>
      </c>
    </row>
    <row r="26" spans="1:1">
      <c r="A26" t="s">
        <v>702</v>
      </c>
    </row>
    <row r="27" spans="1:1">
      <c r="A27" t="s">
        <v>727</v>
      </c>
    </row>
    <row r="28" spans="1:1">
      <c r="A28" t="s">
        <v>728</v>
      </c>
    </row>
    <row r="29" spans="1:1">
      <c r="A29" t="s">
        <v>729</v>
      </c>
    </row>
    <row r="31" spans="1:1">
      <c r="A31" t="s">
        <v>839</v>
      </c>
    </row>
    <row r="32" spans="1:1">
      <c r="A32" t="s">
        <v>840</v>
      </c>
    </row>
    <row r="33" spans="1:1">
      <c r="A33" t="s">
        <v>739</v>
      </c>
    </row>
    <row r="34" spans="1:1">
      <c r="A34" t="s">
        <v>841</v>
      </c>
    </row>
    <row r="35" spans="1:1">
      <c r="A35" t="s">
        <v>703</v>
      </c>
    </row>
    <row r="37" spans="1:1">
      <c r="A37" t="s">
        <v>704</v>
      </c>
    </row>
    <row r="38" spans="1:1">
      <c r="A38" t="s">
        <v>842</v>
      </c>
    </row>
    <row r="39" spans="1:1">
      <c r="A39" t="s">
        <v>704</v>
      </c>
    </row>
    <row r="40" spans="1:1">
      <c r="A40" t="s">
        <v>705</v>
      </c>
    </row>
    <row r="41" spans="1:1">
      <c r="A41" t="s">
        <v>618</v>
      </c>
    </row>
    <row r="42" spans="1:1">
      <c r="A42" t="s">
        <v>843</v>
      </c>
    </row>
    <row r="43" spans="1:1">
      <c r="A43" t="s">
        <v>844</v>
      </c>
    </row>
    <row r="44" spans="1:1">
      <c r="A44" t="s">
        <v>845</v>
      </c>
    </row>
    <row r="45" spans="1:1">
      <c r="A45" t="s">
        <v>608</v>
      </c>
    </row>
    <row r="46" spans="1:1">
      <c r="A46" t="s">
        <v>706</v>
      </c>
    </row>
    <row r="47" spans="1:1">
      <c r="A47" t="s">
        <v>608</v>
      </c>
    </row>
    <row r="48" spans="1:1">
      <c r="A48" t="s">
        <v>846</v>
      </c>
    </row>
    <row r="49" spans="1:1">
      <c r="A49" t="s">
        <v>740</v>
      </c>
    </row>
    <row r="50" spans="1:1">
      <c r="A50" t="s">
        <v>741</v>
      </c>
    </row>
    <row r="51" spans="1:1">
      <c r="A51" t="s">
        <v>847</v>
      </c>
    </row>
    <row r="52" spans="1:1">
      <c r="A52" t="s">
        <v>848</v>
      </c>
    </row>
    <row r="53" spans="1:1">
      <c r="A53" t="s">
        <v>849</v>
      </c>
    </row>
    <row r="54" spans="1:1">
      <c r="A54" t="s">
        <v>742</v>
      </c>
    </row>
    <row r="55" spans="1:1">
      <c r="A55" t="s">
        <v>608</v>
      </c>
    </row>
    <row r="56" spans="1:1">
      <c r="A56" t="s">
        <v>743</v>
      </c>
    </row>
    <row r="57" spans="1:1">
      <c r="A57" t="s">
        <v>744</v>
      </c>
    </row>
    <row r="58" spans="1:1">
      <c r="A58" t="s">
        <v>745</v>
      </c>
    </row>
    <row r="59" spans="1:1">
      <c r="A59" t="s">
        <v>730</v>
      </c>
    </row>
    <row r="60" spans="1:1">
      <c r="A60" t="s">
        <v>608</v>
      </c>
    </row>
    <row r="61" spans="1:1">
      <c r="A61" t="s">
        <v>722</v>
      </c>
    </row>
    <row r="62" spans="1:1">
      <c r="A62" t="s">
        <v>737</v>
      </c>
    </row>
    <row r="63" spans="1:1">
      <c r="A63" t="s">
        <v>608</v>
      </c>
    </row>
    <row r="64" spans="1:1">
      <c r="A64" t="s">
        <v>850</v>
      </c>
    </row>
    <row r="65" spans="1:1">
      <c r="A65" t="s">
        <v>851</v>
      </c>
    </row>
    <row r="66" spans="1:1">
      <c r="A66" t="s">
        <v>608</v>
      </c>
    </row>
    <row r="67" spans="1:1">
      <c r="A67" t="s">
        <v>852</v>
      </c>
    </row>
    <row r="68" spans="1:1">
      <c r="A68" t="s">
        <v>922</v>
      </c>
    </row>
    <row r="69" spans="1:1">
      <c r="A69" t="s">
        <v>608</v>
      </c>
    </row>
    <row r="70" spans="1:1">
      <c r="A70" t="s">
        <v>715</v>
      </c>
    </row>
    <row r="71" spans="1:1">
      <c r="A71" t="s">
        <v>608</v>
      </c>
    </row>
    <row r="72" spans="1:1">
      <c r="A72" t="s">
        <v>716</v>
      </c>
    </row>
    <row r="73" spans="1:1">
      <c r="A73" t="s">
        <v>720</v>
      </c>
    </row>
    <row r="74" spans="1:1">
      <c r="A74" t="s">
        <v>731</v>
      </c>
    </row>
    <row r="75" spans="1:1">
      <c r="A75" t="s">
        <v>714</v>
      </c>
    </row>
    <row r="76" spans="1:1">
      <c r="A76" t="s">
        <v>713</v>
      </c>
    </row>
    <row r="77" spans="1:1">
      <c r="A77" t="s">
        <v>616</v>
      </c>
    </row>
    <row r="79" spans="1:1">
      <c r="A79" t="s">
        <v>704</v>
      </c>
    </row>
    <row r="80" spans="1:1">
      <c r="A80" t="s">
        <v>923</v>
      </c>
    </row>
    <row r="81" spans="1:1">
      <c r="A81" t="s">
        <v>704</v>
      </c>
    </row>
    <row r="82" spans="1:1">
      <c r="A82" t="s">
        <v>732</v>
      </c>
    </row>
    <row r="83" spans="1:1">
      <c r="A83" t="s">
        <v>618</v>
      </c>
    </row>
    <row r="84" spans="1:1">
      <c r="A84" t="s">
        <v>843</v>
      </c>
    </row>
    <row r="85" spans="1:1">
      <c r="A85" t="s">
        <v>608</v>
      </c>
    </row>
    <row r="86" spans="1:1">
      <c r="A86" t="s">
        <v>722</v>
      </c>
    </row>
    <row r="87" spans="1:1">
      <c r="A87" t="s">
        <v>737</v>
      </c>
    </row>
    <row r="88" spans="1:1">
      <c r="A88" t="s">
        <v>608</v>
      </c>
    </row>
    <row r="89" spans="1:1">
      <c r="A89" t="s">
        <v>851</v>
      </c>
    </row>
    <row r="90" spans="1:1">
      <c r="A90" t="s">
        <v>924</v>
      </c>
    </row>
    <row r="91" spans="1:1">
      <c r="A91" t="s">
        <v>616</v>
      </c>
    </row>
    <row r="93" spans="1:1">
      <c r="A93" t="s">
        <v>704</v>
      </c>
    </row>
    <row r="94" spans="1:1">
      <c r="A94" t="s">
        <v>925</v>
      </c>
    </row>
    <row r="95" spans="1:1">
      <c r="A95" t="s">
        <v>704</v>
      </c>
    </row>
    <row r="96" spans="1:1">
      <c r="A96" t="s">
        <v>926</v>
      </c>
    </row>
    <row r="97" spans="1:1">
      <c r="A97" t="s">
        <v>618</v>
      </c>
    </row>
    <row r="98" spans="1:1">
      <c r="A98" t="s">
        <v>919</v>
      </c>
    </row>
    <row r="99" spans="1:1">
      <c r="A99" t="s">
        <v>622</v>
      </c>
    </row>
    <row r="100" spans="1:1">
      <c r="A100" t="s">
        <v>608</v>
      </c>
    </row>
    <row r="101" spans="1:1">
      <c r="A101" t="s">
        <v>722</v>
      </c>
    </row>
    <row r="102" spans="1:1">
      <c r="A102" t="s">
        <v>608</v>
      </c>
    </row>
    <row r="103" spans="1:1">
      <c r="A103" t="s">
        <v>927</v>
      </c>
    </row>
    <row r="104" spans="1:1">
      <c r="A104" t="s">
        <v>608</v>
      </c>
    </row>
    <row r="105" spans="1:1">
      <c r="A105" t="s">
        <v>901</v>
      </c>
    </row>
    <row r="106" spans="1:1">
      <c r="A106" t="s">
        <v>717</v>
      </c>
    </row>
    <row r="107" spans="1:1">
      <c r="A107" t="s">
        <v>608</v>
      </c>
    </row>
    <row r="108" spans="1:1">
      <c r="A108" t="s">
        <v>928</v>
      </c>
    </row>
    <row r="109" spans="1:1">
      <c r="A109" t="s">
        <v>929</v>
      </c>
    </row>
    <row r="110" spans="1:1">
      <c r="A110" t="s">
        <v>930</v>
      </c>
    </row>
    <row r="111" spans="1:1">
      <c r="A111" t="s">
        <v>931</v>
      </c>
    </row>
    <row r="112" spans="1:1">
      <c r="A112" t="s">
        <v>796</v>
      </c>
    </row>
    <row r="113" spans="1:1">
      <c r="A113" t="s">
        <v>932</v>
      </c>
    </row>
    <row r="114" spans="1:1">
      <c r="A114" t="s">
        <v>933</v>
      </c>
    </row>
    <row r="115" spans="1:1">
      <c r="A115" t="s">
        <v>934</v>
      </c>
    </row>
    <row r="116" spans="1:1">
      <c r="A116" t="s">
        <v>935</v>
      </c>
    </row>
    <row r="117" spans="1:1">
      <c r="A117" t="s">
        <v>647</v>
      </c>
    </row>
    <row r="118" spans="1:1">
      <c r="A118" t="s">
        <v>718</v>
      </c>
    </row>
    <row r="119" spans="1:1">
      <c r="A119" t="s">
        <v>649</v>
      </c>
    </row>
    <row r="120" spans="1:1">
      <c r="A120" t="s">
        <v>627</v>
      </c>
    </row>
    <row r="121" spans="1:1">
      <c r="A121" t="s">
        <v>608</v>
      </c>
    </row>
    <row r="122" spans="1:1">
      <c r="A122" t="s">
        <v>936</v>
      </c>
    </row>
    <row r="123" spans="1:1">
      <c r="A123" t="s">
        <v>616</v>
      </c>
    </row>
    <row r="125" spans="1:1">
      <c r="A125" t="s">
        <v>704</v>
      </c>
    </row>
    <row r="126" spans="1:1">
      <c r="A126" t="s">
        <v>937</v>
      </c>
    </row>
    <row r="127" spans="1:1">
      <c r="A127" t="s">
        <v>704</v>
      </c>
    </row>
    <row r="128" spans="1:1">
      <c r="A128" t="s">
        <v>938</v>
      </c>
    </row>
    <row r="129" spans="1:1">
      <c r="A129" t="s">
        <v>801</v>
      </c>
    </row>
    <row r="130" spans="1:1">
      <c r="A130" t="s">
        <v>853</v>
      </c>
    </row>
    <row r="131" spans="1:1">
      <c r="A131" t="s">
        <v>854</v>
      </c>
    </row>
    <row r="132" spans="1:1">
      <c r="A132" t="s">
        <v>939</v>
      </c>
    </row>
    <row r="133" spans="1:1">
      <c r="A133" t="s">
        <v>608</v>
      </c>
    </row>
    <row r="134" spans="1:1">
      <c r="A134" t="s">
        <v>707</v>
      </c>
    </row>
    <row r="135" spans="1:1">
      <c r="A135" t="s">
        <v>855</v>
      </c>
    </row>
    <row r="136" spans="1:1">
      <c r="A136" t="s">
        <v>940</v>
      </c>
    </row>
    <row r="137" spans="1:1">
      <c r="A137" t="s">
        <v>608</v>
      </c>
    </row>
    <row r="138" spans="1:1">
      <c r="A138" t="s">
        <v>856</v>
      </c>
    </row>
    <row r="139" spans="1:1">
      <c r="A139" t="s">
        <v>708</v>
      </c>
    </row>
    <row r="140" spans="1:1">
      <c r="A140" t="s">
        <v>709</v>
      </c>
    </row>
    <row r="141" spans="1:1">
      <c r="A141" t="s">
        <v>663</v>
      </c>
    </row>
    <row r="142" spans="1:1">
      <c r="A142" t="s">
        <v>608</v>
      </c>
    </row>
    <row r="143" spans="1:1">
      <c r="A143" t="s">
        <v>941</v>
      </c>
    </row>
    <row r="144" spans="1:1">
      <c r="A144" t="s">
        <v>942</v>
      </c>
    </row>
    <row r="145" spans="1:1">
      <c r="A145" t="s">
        <v>608</v>
      </c>
    </row>
    <row r="146" spans="1:1">
      <c r="A146" t="s">
        <v>857</v>
      </c>
    </row>
    <row r="147" spans="1:1">
      <c r="A147" t="s">
        <v>858</v>
      </c>
    </row>
    <row r="148" spans="1:1">
      <c r="A148" t="s">
        <v>746</v>
      </c>
    </row>
    <row r="149" spans="1:1">
      <c r="A149" t="s">
        <v>608</v>
      </c>
    </row>
    <row r="150" spans="1:1">
      <c r="A150" t="s">
        <v>747</v>
      </c>
    </row>
    <row r="151" spans="1:1">
      <c r="A151" t="s">
        <v>859</v>
      </c>
    </row>
    <row r="152" spans="1:1">
      <c r="A152" t="s">
        <v>710</v>
      </c>
    </row>
    <row r="153" spans="1:1">
      <c r="A153" t="s">
        <v>615</v>
      </c>
    </row>
    <row r="154" spans="1:1">
      <c r="A154" t="s">
        <v>608</v>
      </c>
    </row>
    <row r="155" spans="1:1">
      <c r="A155" t="s">
        <v>943</v>
      </c>
    </row>
    <row r="156" spans="1:1">
      <c r="A156" t="s">
        <v>944</v>
      </c>
    </row>
    <row r="157" spans="1:1">
      <c r="A157" t="s">
        <v>748</v>
      </c>
    </row>
    <row r="158" spans="1:1">
      <c r="A158" t="s">
        <v>608</v>
      </c>
    </row>
    <row r="159" spans="1:1">
      <c r="A159" t="s">
        <v>945</v>
      </c>
    </row>
    <row r="160" spans="1:1">
      <c r="A160" t="s">
        <v>946</v>
      </c>
    </row>
    <row r="161" spans="1:1">
      <c r="A161" t="s">
        <v>947</v>
      </c>
    </row>
    <row r="162" spans="1:1">
      <c r="A162" t="s">
        <v>948</v>
      </c>
    </row>
    <row r="163" spans="1:1">
      <c r="A163" t="s">
        <v>949</v>
      </c>
    </row>
    <row r="164" spans="1:1">
      <c r="A164" t="s">
        <v>627</v>
      </c>
    </row>
    <row r="165" spans="1:1">
      <c r="A165" t="s">
        <v>950</v>
      </c>
    </row>
    <row r="166" spans="1:1">
      <c r="A166" t="s">
        <v>608</v>
      </c>
    </row>
    <row r="167" spans="1:1">
      <c r="A167" t="s">
        <v>860</v>
      </c>
    </row>
    <row r="168" spans="1:1">
      <c r="A168" t="s">
        <v>733</v>
      </c>
    </row>
    <row r="169" spans="1:1">
      <c r="A169" t="s">
        <v>608</v>
      </c>
    </row>
    <row r="170" spans="1:1">
      <c r="A170" t="s">
        <v>861</v>
      </c>
    </row>
    <row r="171" spans="1:1">
      <c r="A171" t="s">
        <v>734</v>
      </c>
    </row>
    <row r="172" spans="1:1">
      <c r="A172" t="s">
        <v>951</v>
      </c>
    </row>
    <row r="173" spans="1:1">
      <c r="A173" t="s">
        <v>862</v>
      </c>
    </row>
    <row r="174" spans="1:1">
      <c r="A174" t="s">
        <v>952</v>
      </c>
    </row>
    <row r="175" spans="1:1">
      <c r="A175" t="s">
        <v>711</v>
      </c>
    </row>
    <row r="176" spans="1:1">
      <c r="A176" t="s">
        <v>726</v>
      </c>
    </row>
    <row r="177" spans="1:1">
      <c r="A177" t="s">
        <v>953</v>
      </c>
    </row>
    <row r="178" spans="1:1">
      <c r="A178" t="s">
        <v>793</v>
      </c>
    </row>
    <row r="179" spans="1:1">
      <c r="A179" t="s">
        <v>954</v>
      </c>
    </row>
    <row r="180" spans="1:1">
      <c r="A180" t="s">
        <v>955</v>
      </c>
    </row>
    <row r="181" spans="1:1">
      <c r="A181" t="s">
        <v>956</v>
      </c>
    </row>
    <row r="182" spans="1:1">
      <c r="A182" t="s">
        <v>957</v>
      </c>
    </row>
    <row r="183" spans="1:1">
      <c r="A183" t="s">
        <v>794</v>
      </c>
    </row>
    <row r="184" spans="1:1">
      <c r="A184" t="s">
        <v>797</v>
      </c>
    </row>
    <row r="185" spans="1:1">
      <c r="A185" t="s">
        <v>646</v>
      </c>
    </row>
    <row r="186" spans="1:1">
      <c r="A186" t="s">
        <v>647</v>
      </c>
    </row>
    <row r="187" spans="1:1">
      <c r="A187" t="s">
        <v>718</v>
      </c>
    </row>
    <row r="188" spans="1:1">
      <c r="A188" t="s">
        <v>649</v>
      </c>
    </row>
    <row r="189" spans="1:1">
      <c r="A189" t="s">
        <v>634</v>
      </c>
    </row>
    <row r="190" spans="1:1">
      <c r="A190" t="s">
        <v>958</v>
      </c>
    </row>
    <row r="191" spans="1:1">
      <c r="A191" t="s">
        <v>749</v>
      </c>
    </row>
    <row r="192" spans="1:1">
      <c r="A192" t="s">
        <v>863</v>
      </c>
    </row>
    <row r="193" spans="1:1">
      <c r="A193" t="s">
        <v>864</v>
      </c>
    </row>
    <row r="194" spans="1:1">
      <c r="A194" t="s">
        <v>726</v>
      </c>
    </row>
    <row r="195" spans="1:1">
      <c r="A195" t="s">
        <v>750</v>
      </c>
    </row>
    <row r="196" spans="1:1">
      <c r="A196" t="s">
        <v>865</v>
      </c>
    </row>
    <row r="197" spans="1:1">
      <c r="A197" t="s">
        <v>726</v>
      </c>
    </row>
    <row r="198" spans="1:1">
      <c r="A198" t="s">
        <v>959</v>
      </c>
    </row>
    <row r="199" spans="1:1">
      <c r="A199" t="s">
        <v>751</v>
      </c>
    </row>
    <row r="200" spans="1:1">
      <c r="A200" t="s">
        <v>866</v>
      </c>
    </row>
    <row r="201" spans="1:1">
      <c r="A201" t="s">
        <v>867</v>
      </c>
    </row>
    <row r="202" spans="1:1">
      <c r="A202" t="s">
        <v>868</v>
      </c>
    </row>
    <row r="203" spans="1:1">
      <c r="A203" t="s">
        <v>869</v>
      </c>
    </row>
    <row r="204" spans="1:1">
      <c r="A204" t="s">
        <v>870</v>
      </c>
    </row>
    <row r="205" spans="1:1">
      <c r="A205" t="s">
        <v>871</v>
      </c>
    </row>
    <row r="206" spans="1:1">
      <c r="A206" t="s">
        <v>647</v>
      </c>
    </row>
    <row r="207" spans="1:1">
      <c r="A207" t="s">
        <v>718</v>
      </c>
    </row>
    <row r="208" spans="1:1">
      <c r="A208" t="s">
        <v>726</v>
      </c>
    </row>
    <row r="209" spans="1:1">
      <c r="A209" t="s">
        <v>960</v>
      </c>
    </row>
    <row r="210" spans="1:1">
      <c r="A210" t="s">
        <v>872</v>
      </c>
    </row>
    <row r="211" spans="1:1">
      <c r="A211" t="s">
        <v>736</v>
      </c>
    </row>
    <row r="212" spans="1:1">
      <c r="A212" t="s">
        <v>634</v>
      </c>
    </row>
    <row r="213" spans="1:1">
      <c r="A213" t="s">
        <v>961</v>
      </c>
    </row>
    <row r="214" spans="1:1">
      <c r="A214" t="s">
        <v>752</v>
      </c>
    </row>
    <row r="215" spans="1:1">
      <c r="A215" t="s">
        <v>873</v>
      </c>
    </row>
    <row r="216" spans="1:1">
      <c r="A216" t="s">
        <v>634</v>
      </c>
    </row>
    <row r="217" spans="1:1">
      <c r="A217" t="s">
        <v>962</v>
      </c>
    </row>
    <row r="218" spans="1:1">
      <c r="A218" t="s">
        <v>753</v>
      </c>
    </row>
    <row r="219" spans="1:1">
      <c r="A219" t="s">
        <v>754</v>
      </c>
    </row>
    <row r="220" spans="1:1">
      <c r="A220" t="s">
        <v>755</v>
      </c>
    </row>
    <row r="221" spans="1:1">
      <c r="A221" t="s">
        <v>756</v>
      </c>
    </row>
    <row r="222" spans="1:1">
      <c r="A222" t="s">
        <v>627</v>
      </c>
    </row>
    <row r="223" spans="1:1">
      <c r="A223" t="s">
        <v>608</v>
      </c>
    </row>
    <row r="224" spans="1:1">
      <c r="A224" t="s">
        <v>963</v>
      </c>
    </row>
    <row r="225" spans="1:1">
      <c r="A225" t="s">
        <v>608</v>
      </c>
    </row>
    <row r="226" spans="1:1">
      <c r="A226" t="s">
        <v>964</v>
      </c>
    </row>
    <row r="227" spans="1:1">
      <c r="A227" t="s">
        <v>965</v>
      </c>
    </row>
    <row r="228" spans="1:1">
      <c r="A228" t="s">
        <v>966</v>
      </c>
    </row>
    <row r="229" spans="1:1">
      <c r="A229" t="s">
        <v>967</v>
      </c>
    </row>
    <row r="230" spans="1:1">
      <c r="A230" t="s">
        <v>968</v>
      </c>
    </row>
    <row r="231" spans="1:1">
      <c r="A231" t="s">
        <v>608</v>
      </c>
    </row>
    <row r="232" spans="1:1">
      <c r="A232" t="s">
        <v>969</v>
      </c>
    </row>
    <row r="233" spans="1:1">
      <c r="A233" t="s">
        <v>970</v>
      </c>
    </row>
    <row r="234" spans="1:1">
      <c r="A234" t="s">
        <v>971</v>
      </c>
    </row>
    <row r="235" spans="1:1">
      <c r="A235" t="s">
        <v>608</v>
      </c>
    </row>
    <row r="236" spans="1:1">
      <c r="A236" t="s">
        <v>764</v>
      </c>
    </row>
    <row r="237" spans="1:1">
      <c r="A237" t="s">
        <v>972</v>
      </c>
    </row>
    <row r="238" spans="1:1">
      <c r="A238" t="s">
        <v>634</v>
      </c>
    </row>
    <row r="239" spans="1:1">
      <c r="A239" t="s">
        <v>749</v>
      </c>
    </row>
    <row r="240" spans="1:1">
      <c r="A240" t="s">
        <v>973</v>
      </c>
    </row>
    <row r="241" spans="1:1">
      <c r="A241" t="s">
        <v>736</v>
      </c>
    </row>
    <row r="242" spans="1:1">
      <c r="A242" t="s">
        <v>634</v>
      </c>
    </row>
    <row r="243" spans="1:1">
      <c r="A243" t="s">
        <v>974</v>
      </c>
    </row>
    <row r="244" spans="1:1">
      <c r="A244" t="s">
        <v>752</v>
      </c>
    </row>
    <row r="245" spans="1:1">
      <c r="A245" t="s">
        <v>634</v>
      </c>
    </row>
    <row r="246" spans="1:1">
      <c r="A246" t="s">
        <v>975</v>
      </c>
    </row>
    <row r="247" spans="1:1">
      <c r="A247" t="s">
        <v>976</v>
      </c>
    </row>
    <row r="248" spans="1:1">
      <c r="A248" t="s">
        <v>977</v>
      </c>
    </row>
    <row r="249" spans="1:1">
      <c r="A249" t="s">
        <v>978</v>
      </c>
    </row>
    <row r="250" spans="1:1">
      <c r="A250" t="s">
        <v>979</v>
      </c>
    </row>
    <row r="251" spans="1:1">
      <c r="A251" t="s">
        <v>634</v>
      </c>
    </row>
    <row r="252" spans="1:1">
      <c r="A252" t="s">
        <v>749</v>
      </c>
    </row>
    <row r="253" spans="1:1">
      <c r="A253" t="s">
        <v>980</v>
      </c>
    </row>
    <row r="254" spans="1:1">
      <c r="A254" t="s">
        <v>981</v>
      </c>
    </row>
    <row r="255" spans="1:1">
      <c r="A255" t="s">
        <v>982</v>
      </c>
    </row>
    <row r="256" spans="1:1">
      <c r="A256" t="s">
        <v>983</v>
      </c>
    </row>
    <row r="257" spans="1:1">
      <c r="A257" t="s">
        <v>984</v>
      </c>
    </row>
    <row r="258" spans="1:1">
      <c r="A258" t="s">
        <v>718</v>
      </c>
    </row>
    <row r="259" spans="1:1">
      <c r="A259" t="s">
        <v>736</v>
      </c>
    </row>
    <row r="260" spans="1:1">
      <c r="A260" t="s">
        <v>634</v>
      </c>
    </row>
    <row r="261" spans="1:1">
      <c r="A261" t="s">
        <v>985</v>
      </c>
    </row>
    <row r="262" spans="1:1">
      <c r="A262" t="s">
        <v>986</v>
      </c>
    </row>
    <row r="263" spans="1:1">
      <c r="A263" t="s">
        <v>987</v>
      </c>
    </row>
    <row r="264" spans="1:1">
      <c r="A264" t="s">
        <v>649</v>
      </c>
    </row>
    <row r="265" spans="1:1">
      <c r="A265" t="s">
        <v>634</v>
      </c>
    </row>
    <row r="266" spans="1:1">
      <c r="A266" t="s">
        <v>988</v>
      </c>
    </row>
    <row r="267" spans="1:1">
      <c r="A267" t="s">
        <v>615</v>
      </c>
    </row>
    <row r="268" spans="1:1">
      <c r="A268" t="s">
        <v>608</v>
      </c>
    </row>
    <row r="269" spans="1:1">
      <c r="A269" t="s">
        <v>989</v>
      </c>
    </row>
    <row r="270" spans="1:1">
      <c r="A270" t="s">
        <v>990</v>
      </c>
    </row>
    <row r="271" spans="1:1">
      <c r="A271" t="s">
        <v>874</v>
      </c>
    </row>
    <row r="272" spans="1:1">
      <c r="A272" t="s">
        <v>991</v>
      </c>
    </row>
    <row r="273" spans="1:1">
      <c r="A273" t="s">
        <v>615</v>
      </c>
    </row>
    <row r="274" spans="1:1">
      <c r="A274" t="s">
        <v>608</v>
      </c>
    </row>
    <row r="275" spans="1:1">
      <c r="A275" t="s">
        <v>712</v>
      </c>
    </row>
    <row r="276" spans="1:1">
      <c r="A276" t="s">
        <v>992</v>
      </c>
    </row>
    <row r="277" spans="1:1">
      <c r="A277" t="s">
        <v>713</v>
      </c>
    </row>
    <row r="278" spans="1:1">
      <c r="A278" t="s">
        <v>714</v>
      </c>
    </row>
    <row r="279" spans="1:1">
      <c r="A279" t="s">
        <v>667</v>
      </c>
    </row>
    <row r="280" spans="1:1">
      <c r="A280" t="s">
        <v>731</v>
      </c>
    </row>
    <row r="281" spans="1:1">
      <c r="A281" t="s">
        <v>608</v>
      </c>
    </row>
    <row r="282" spans="1:1">
      <c r="A282" t="s">
        <v>875</v>
      </c>
    </row>
    <row r="283" spans="1:1">
      <c r="A283" t="s">
        <v>757</v>
      </c>
    </row>
    <row r="284" spans="1:1">
      <c r="A284" t="s">
        <v>608</v>
      </c>
    </row>
    <row r="285" spans="1:1">
      <c r="A285" t="s">
        <v>876</v>
      </c>
    </row>
    <row r="286" spans="1:1">
      <c r="A286" t="s">
        <v>993</v>
      </c>
    </row>
    <row r="287" spans="1:1">
      <c r="A287" t="s">
        <v>877</v>
      </c>
    </row>
    <row r="288" spans="1:1">
      <c r="A288" t="s">
        <v>878</v>
      </c>
    </row>
    <row r="289" spans="1:1">
      <c r="A289" t="s">
        <v>795</v>
      </c>
    </row>
    <row r="290" spans="1:1">
      <c r="A290" t="s">
        <v>634</v>
      </c>
    </row>
    <row r="291" spans="1:1">
      <c r="A291" t="s">
        <v>879</v>
      </c>
    </row>
    <row r="292" spans="1:1">
      <c r="A292" t="s">
        <v>994</v>
      </c>
    </row>
    <row r="293" spans="1:1">
      <c r="A293" t="s">
        <v>738</v>
      </c>
    </row>
    <row r="294" spans="1:1">
      <c r="A294" t="s">
        <v>995</v>
      </c>
    </row>
    <row r="295" spans="1:1">
      <c r="A295" t="s">
        <v>649</v>
      </c>
    </row>
    <row r="296" spans="1:1">
      <c r="A296" t="s">
        <v>634</v>
      </c>
    </row>
    <row r="297" spans="1:1">
      <c r="A297" t="s">
        <v>880</v>
      </c>
    </row>
    <row r="298" spans="1:1">
      <c r="A298" t="s">
        <v>996</v>
      </c>
    </row>
    <row r="299" spans="1:1">
      <c r="A299" t="s">
        <v>997</v>
      </c>
    </row>
    <row r="300" spans="1:1">
      <c r="A300" t="s">
        <v>881</v>
      </c>
    </row>
    <row r="301" spans="1:1">
      <c r="A301" t="s">
        <v>634</v>
      </c>
    </row>
    <row r="302" spans="1:1">
      <c r="A302" t="s">
        <v>998</v>
      </c>
    </row>
    <row r="303" spans="1:1">
      <c r="A303" t="s">
        <v>615</v>
      </c>
    </row>
    <row r="304" spans="1:1">
      <c r="A304" t="s">
        <v>616</v>
      </c>
    </row>
    <row r="306" spans="1:1">
      <c r="A306" t="s">
        <v>704</v>
      </c>
    </row>
    <row r="307" spans="1:1">
      <c r="A307" t="s">
        <v>999</v>
      </c>
    </row>
    <row r="308" spans="1:1">
      <c r="A308" t="s">
        <v>704</v>
      </c>
    </row>
    <row r="309" spans="1:1">
      <c r="A309" t="s">
        <v>1000</v>
      </c>
    </row>
    <row r="310" spans="1:1">
      <c r="A310" t="s">
        <v>801</v>
      </c>
    </row>
    <row r="311" spans="1:1">
      <c r="A311" t="s">
        <v>882</v>
      </c>
    </row>
    <row r="312" spans="1:1">
      <c r="A312" t="s">
        <v>608</v>
      </c>
    </row>
    <row r="313" spans="1:1">
      <c r="A313" t="s">
        <v>1001</v>
      </c>
    </row>
    <row r="314" spans="1:1">
      <c r="A314" t="s">
        <v>608</v>
      </c>
    </row>
    <row r="315" spans="1:1">
      <c r="A315" t="s">
        <v>804</v>
      </c>
    </row>
    <row r="316" spans="1:1">
      <c r="A316" t="s">
        <v>1002</v>
      </c>
    </row>
    <row r="317" spans="1:1">
      <c r="A317" t="s">
        <v>883</v>
      </c>
    </row>
    <row r="318" spans="1:1">
      <c r="A318" t="s">
        <v>634</v>
      </c>
    </row>
    <row r="319" spans="1:1">
      <c r="A319" t="s">
        <v>1003</v>
      </c>
    </row>
    <row r="320" spans="1:1">
      <c r="A320" t="s">
        <v>1004</v>
      </c>
    </row>
    <row r="321" spans="1:1">
      <c r="A321" t="s">
        <v>884</v>
      </c>
    </row>
    <row r="322" spans="1:1">
      <c r="A322" t="s">
        <v>885</v>
      </c>
    </row>
    <row r="323" spans="1:1">
      <c r="A323" t="s">
        <v>886</v>
      </c>
    </row>
    <row r="324" spans="1:1">
      <c r="A324" t="s">
        <v>887</v>
      </c>
    </row>
    <row r="325" spans="1:1">
      <c r="A325" t="s">
        <v>634</v>
      </c>
    </row>
    <row r="326" spans="1:1">
      <c r="A326" t="s">
        <v>1005</v>
      </c>
    </row>
    <row r="327" spans="1:1">
      <c r="A327" t="s">
        <v>888</v>
      </c>
    </row>
    <row r="328" spans="1:1">
      <c r="A328" t="s">
        <v>802</v>
      </c>
    </row>
    <row r="329" spans="1:1">
      <c r="A329" t="s">
        <v>1006</v>
      </c>
    </row>
    <row r="330" spans="1:1">
      <c r="A330" t="s">
        <v>1007</v>
      </c>
    </row>
    <row r="331" spans="1:1">
      <c r="A331" t="s">
        <v>1008</v>
      </c>
    </row>
    <row r="332" spans="1:1">
      <c r="A332" t="s">
        <v>1009</v>
      </c>
    </row>
    <row r="333" spans="1:1">
      <c r="A333" t="s">
        <v>803</v>
      </c>
    </row>
    <row r="334" spans="1:1">
      <c r="A334" t="s">
        <v>634</v>
      </c>
    </row>
    <row r="335" spans="1:1">
      <c r="A335" t="s">
        <v>1010</v>
      </c>
    </row>
    <row r="336" spans="1:1">
      <c r="A336" t="s">
        <v>1011</v>
      </c>
    </row>
    <row r="337" spans="1:1">
      <c r="A337" t="s">
        <v>805</v>
      </c>
    </row>
    <row r="338" spans="1:1">
      <c r="A338" t="s">
        <v>806</v>
      </c>
    </row>
    <row r="339" spans="1:1">
      <c r="A339" t="s">
        <v>807</v>
      </c>
    </row>
    <row r="340" spans="1:1">
      <c r="A340" t="s">
        <v>634</v>
      </c>
    </row>
    <row r="341" spans="1:1">
      <c r="A341" t="s">
        <v>1012</v>
      </c>
    </row>
    <row r="342" spans="1:1">
      <c r="A342" t="s">
        <v>1013</v>
      </c>
    </row>
    <row r="343" spans="1:1">
      <c r="A343" t="s">
        <v>1014</v>
      </c>
    </row>
    <row r="344" spans="1:1">
      <c r="A344" t="s">
        <v>1015</v>
      </c>
    </row>
    <row r="345" spans="1:1">
      <c r="A345" t="s">
        <v>634</v>
      </c>
    </row>
    <row r="346" spans="1:1">
      <c r="A346" t="s">
        <v>1016</v>
      </c>
    </row>
    <row r="347" spans="1:1">
      <c r="A347" t="s">
        <v>634</v>
      </c>
    </row>
    <row r="348" spans="1:1">
      <c r="A348" t="s">
        <v>889</v>
      </c>
    </row>
    <row r="349" spans="1:1">
      <c r="A349" t="s">
        <v>808</v>
      </c>
    </row>
    <row r="350" spans="1:1">
      <c r="A350" t="s">
        <v>809</v>
      </c>
    </row>
    <row r="351" spans="1:1">
      <c r="A351" t="s">
        <v>810</v>
      </c>
    </row>
    <row r="352" spans="1:1">
      <c r="A352" t="s">
        <v>811</v>
      </c>
    </row>
    <row r="353" spans="1:1">
      <c r="A353" t="s">
        <v>634</v>
      </c>
    </row>
    <row r="354" spans="1:1">
      <c r="A354" t="s">
        <v>1017</v>
      </c>
    </row>
    <row r="355" spans="1:1">
      <c r="A355" t="s">
        <v>735</v>
      </c>
    </row>
    <row r="356" spans="1:1">
      <c r="A356" t="s">
        <v>890</v>
      </c>
    </row>
    <row r="357" spans="1:1">
      <c r="A357" t="s">
        <v>891</v>
      </c>
    </row>
    <row r="358" spans="1:1">
      <c r="A358" t="s">
        <v>726</v>
      </c>
    </row>
    <row r="359" spans="1:1">
      <c r="A359" t="s">
        <v>892</v>
      </c>
    </row>
    <row r="360" spans="1:1">
      <c r="A360" t="s">
        <v>893</v>
      </c>
    </row>
    <row r="361" spans="1:1">
      <c r="A361" t="s">
        <v>894</v>
      </c>
    </row>
    <row r="362" spans="1:1">
      <c r="A362" t="s">
        <v>895</v>
      </c>
    </row>
    <row r="363" spans="1:1">
      <c r="A363" t="s">
        <v>1018</v>
      </c>
    </row>
    <row r="364" spans="1:1">
      <c r="A364" t="s">
        <v>1019</v>
      </c>
    </row>
    <row r="365" spans="1:1">
      <c r="A365" t="s">
        <v>1020</v>
      </c>
    </row>
    <row r="366" spans="1:1">
      <c r="A366" t="s">
        <v>1021</v>
      </c>
    </row>
    <row r="367" spans="1:1">
      <c r="A367" t="s">
        <v>1022</v>
      </c>
    </row>
    <row r="368" spans="1:1">
      <c r="A368" t="s">
        <v>736</v>
      </c>
    </row>
    <row r="369" spans="1:1">
      <c r="A369" t="s">
        <v>634</v>
      </c>
    </row>
    <row r="370" spans="1:1">
      <c r="A370" t="s">
        <v>896</v>
      </c>
    </row>
    <row r="371" spans="1:1">
      <c r="A371" t="s">
        <v>897</v>
      </c>
    </row>
    <row r="372" spans="1:1">
      <c r="A372" t="s">
        <v>634</v>
      </c>
    </row>
    <row r="373" spans="1:1">
      <c r="A373" t="s">
        <v>899</v>
      </c>
    </row>
    <row r="374" spans="1:1">
      <c r="A374" t="s">
        <v>812</v>
      </c>
    </row>
    <row r="375" spans="1:1">
      <c r="A375" t="s">
        <v>813</v>
      </c>
    </row>
    <row r="376" spans="1:1">
      <c r="A376" t="s">
        <v>814</v>
      </c>
    </row>
    <row r="377" spans="1:1">
      <c r="A377" t="s">
        <v>634</v>
      </c>
    </row>
    <row r="378" spans="1:1">
      <c r="A378" t="s">
        <v>1023</v>
      </c>
    </row>
    <row r="379" spans="1:1">
      <c r="A379" t="s">
        <v>1024</v>
      </c>
    </row>
    <row r="380" spans="1:1">
      <c r="A380" t="s">
        <v>1025</v>
      </c>
    </row>
    <row r="381" spans="1:1">
      <c r="A381" t="s">
        <v>634</v>
      </c>
    </row>
    <row r="382" spans="1:1">
      <c r="A382" t="s">
        <v>1026</v>
      </c>
    </row>
    <row r="383" spans="1:1">
      <c r="A383" t="s">
        <v>1027</v>
      </c>
    </row>
    <row r="384" spans="1:1">
      <c r="A384" t="s">
        <v>1028</v>
      </c>
    </row>
    <row r="385" spans="1:1">
      <c r="A385" t="s">
        <v>1029</v>
      </c>
    </row>
    <row r="386" spans="1:1">
      <c r="A386" t="s">
        <v>803</v>
      </c>
    </row>
    <row r="387" spans="1:1">
      <c r="A387" t="s">
        <v>634</v>
      </c>
    </row>
    <row r="388" spans="1:1">
      <c r="A388" t="s">
        <v>815</v>
      </c>
    </row>
    <row r="389" spans="1:1">
      <c r="A389" t="s">
        <v>898</v>
      </c>
    </row>
    <row r="390" spans="1:1">
      <c r="A390" t="s">
        <v>816</v>
      </c>
    </row>
    <row r="391" spans="1:1">
      <c r="A391" t="s">
        <v>608</v>
      </c>
    </row>
    <row r="392" spans="1:1">
      <c r="A392" t="s">
        <v>715</v>
      </c>
    </row>
    <row r="393" spans="1:1">
      <c r="A393" t="s">
        <v>608</v>
      </c>
    </row>
    <row r="394" spans="1:1">
      <c r="A394" t="s">
        <v>1030</v>
      </c>
    </row>
    <row r="395" spans="1:1">
      <c r="A395" t="s">
        <v>1031</v>
      </c>
    </row>
    <row r="396" spans="1:1">
      <c r="A396" t="s">
        <v>616</v>
      </c>
    </row>
    <row r="398" spans="1:1">
      <c r="A398" t="s">
        <v>704</v>
      </c>
    </row>
    <row r="399" spans="1:1">
      <c r="A399" t="s">
        <v>1032</v>
      </c>
    </row>
    <row r="400" spans="1:1">
      <c r="A400" t="s">
        <v>704</v>
      </c>
    </row>
    <row r="401" spans="1:1">
      <c r="A401" t="s">
        <v>758</v>
      </c>
    </row>
    <row r="402" spans="1:1">
      <c r="A402" t="s">
        <v>900</v>
      </c>
    </row>
    <row r="403" spans="1:1">
      <c r="A403" t="s">
        <v>901</v>
      </c>
    </row>
    <row r="404" spans="1:1">
      <c r="A404" t="s">
        <v>608</v>
      </c>
    </row>
    <row r="405" spans="1:1">
      <c r="A405" t="s">
        <v>717</v>
      </c>
    </row>
    <row r="406" spans="1:1">
      <c r="A406" t="s">
        <v>902</v>
      </c>
    </row>
    <row r="407" spans="1:1">
      <c r="A407" t="s">
        <v>903</v>
      </c>
    </row>
    <row r="408" spans="1:1">
      <c r="A408" t="s">
        <v>904</v>
      </c>
    </row>
    <row r="409" spans="1:1">
      <c r="A409" t="s">
        <v>905</v>
      </c>
    </row>
    <row r="410" spans="1:1">
      <c r="A410" t="s">
        <v>906</v>
      </c>
    </row>
    <row r="411" spans="1:1">
      <c r="A411" t="s">
        <v>907</v>
      </c>
    </row>
    <row r="412" spans="1:1">
      <c r="A412" t="s">
        <v>908</v>
      </c>
    </row>
    <row r="413" spans="1:1">
      <c r="A413" t="s">
        <v>647</v>
      </c>
    </row>
    <row r="414" spans="1:1">
      <c r="A414" t="s">
        <v>718</v>
      </c>
    </row>
    <row r="415" spans="1:1">
      <c r="A415" t="s">
        <v>649</v>
      </c>
    </row>
    <row r="416" spans="1:1">
      <c r="A416" t="s">
        <v>719</v>
      </c>
    </row>
    <row r="417" spans="1:1">
      <c r="A417" t="s">
        <v>608</v>
      </c>
    </row>
    <row r="418" spans="1:1">
      <c r="A418" t="s">
        <v>759</v>
      </c>
    </row>
    <row r="419" spans="1:1">
      <c r="A419" t="s">
        <v>909</v>
      </c>
    </row>
    <row r="420" spans="1:1">
      <c r="A420" t="s">
        <v>608</v>
      </c>
    </row>
    <row r="421" spans="1:1">
      <c r="A421" t="s">
        <v>760</v>
      </c>
    </row>
    <row r="422" spans="1:1">
      <c r="A422" t="s">
        <v>717</v>
      </c>
    </row>
    <row r="423" spans="1:1">
      <c r="A423" t="s">
        <v>608</v>
      </c>
    </row>
    <row r="424" spans="1:1">
      <c r="A424" t="s">
        <v>902</v>
      </c>
    </row>
    <row r="425" spans="1:1">
      <c r="A425" t="s">
        <v>903</v>
      </c>
    </row>
    <row r="426" spans="1:1">
      <c r="A426" t="s">
        <v>904</v>
      </c>
    </row>
    <row r="427" spans="1:1">
      <c r="A427" t="s">
        <v>905</v>
      </c>
    </row>
    <row r="428" spans="1:1">
      <c r="A428" t="s">
        <v>906</v>
      </c>
    </row>
    <row r="429" spans="1:1">
      <c r="A429" t="s">
        <v>907</v>
      </c>
    </row>
    <row r="430" spans="1:1">
      <c r="A430" t="s">
        <v>910</v>
      </c>
    </row>
    <row r="431" spans="1:1">
      <c r="A431" t="s">
        <v>911</v>
      </c>
    </row>
    <row r="432" spans="1:1">
      <c r="A432" t="s">
        <v>912</v>
      </c>
    </row>
    <row r="433" spans="1:1">
      <c r="A433" t="s">
        <v>913</v>
      </c>
    </row>
    <row r="434" spans="1:1">
      <c r="A434" t="s">
        <v>914</v>
      </c>
    </row>
    <row r="435" spans="1:1">
      <c r="A435" t="s">
        <v>915</v>
      </c>
    </row>
    <row r="436" spans="1:1">
      <c r="A436" t="s">
        <v>908</v>
      </c>
    </row>
    <row r="437" spans="1:1">
      <c r="A437" t="s">
        <v>647</v>
      </c>
    </row>
    <row r="438" spans="1:1">
      <c r="A438" t="s">
        <v>718</v>
      </c>
    </row>
    <row r="439" spans="1:1">
      <c r="A439" t="s">
        <v>649</v>
      </c>
    </row>
    <row r="440" spans="1:1">
      <c r="A440" t="s">
        <v>719</v>
      </c>
    </row>
    <row r="441" spans="1:1">
      <c r="A441" t="s">
        <v>616</v>
      </c>
    </row>
    <row r="443" spans="1:1">
      <c r="A443" t="s">
        <v>704</v>
      </c>
    </row>
    <row r="444" spans="1:1">
      <c r="A444" t="s">
        <v>1033</v>
      </c>
    </row>
    <row r="445" spans="1:1">
      <c r="A445" t="s">
        <v>704</v>
      </c>
    </row>
    <row r="446" spans="1:1">
      <c r="A446" t="s">
        <v>761</v>
      </c>
    </row>
    <row r="447" spans="1:1">
      <c r="A447" t="s">
        <v>622</v>
      </c>
    </row>
    <row r="448" spans="1:1">
      <c r="A448" t="s">
        <v>608</v>
      </c>
    </row>
    <row r="449" spans="1:1">
      <c r="A449" t="s">
        <v>916</v>
      </c>
    </row>
    <row r="450" spans="1:1">
      <c r="A450" t="s">
        <v>608</v>
      </c>
    </row>
    <row r="451" spans="1:1">
      <c r="A451" t="s">
        <v>762</v>
      </c>
    </row>
    <row r="452" spans="1:1">
      <c r="A452" t="s">
        <v>917</v>
      </c>
    </row>
    <row r="453" spans="1:1">
      <c r="A453" t="s">
        <v>1034</v>
      </c>
    </row>
    <row r="454" spans="1:1">
      <c r="A454" t="s">
        <v>627</v>
      </c>
    </row>
    <row r="455" spans="1:1">
      <c r="A455" t="s">
        <v>616</v>
      </c>
    </row>
    <row r="457" spans="1:1">
      <c r="A457" t="s">
        <v>704</v>
      </c>
    </row>
    <row r="458" spans="1:1">
      <c r="A458" t="s">
        <v>918</v>
      </c>
    </row>
    <row r="459" spans="1:1">
      <c r="A459" t="s">
        <v>704</v>
      </c>
    </row>
    <row r="460" spans="1:1">
      <c r="A460" t="s">
        <v>763</v>
      </c>
    </row>
    <row r="461" spans="1:1">
      <c r="A461" t="s">
        <v>618</v>
      </c>
    </row>
    <row r="462" spans="1:1">
      <c r="A462" t="s">
        <v>919</v>
      </c>
    </row>
    <row r="463" spans="1:1">
      <c r="A463" t="s">
        <v>608</v>
      </c>
    </row>
    <row r="464" spans="1:1">
      <c r="A464" t="s">
        <v>722</v>
      </c>
    </row>
    <row r="465" spans="1:1">
      <c r="A465" t="s">
        <v>608</v>
      </c>
    </row>
    <row r="466" spans="1:1">
      <c r="A466" t="s">
        <v>746</v>
      </c>
    </row>
    <row r="467" spans="1:1">
      <c r="A467" t="s">
        <v>608</v>
      </c>
    </row>
    <row r="468" spans="1:1">
      <c r="A468" t="s">
        <v>1035</v>
      </c>
    </row>
    <row r="469" spans="1:1">
      <c r="A469" t="s">
        <v>1036</v>
      </c>
    </row>
    <row r="470" spans="1:1">
      <c r="A470" t="s">
        <v>1037</v>
      </c>
    </row>
    <row r="471" spans="1:1">
      <c r="A471" t="s">
        <v>1038</v>
      </c>
    </row>
    <row r="472" spans="1:1">
      <c r="A472" t="s">
        <v>1039</v>
      </c>
    </row>
    <row r="473" spans="1:1">
      <c r="A473" t="s">
        <v>1040</v>
      </c>
    </row>
    <row r="474" spans="1:1">
      <c r="A474" t="s">
        <v>608</v>
      </c>
    </row>
    <row r="475" spans="1:1">
      <c r="A475" t="s">
        <v>1041</v>
      </c>
    </row>
    <row r="476" spans="1:1">
      <c r="A476" t="s">
        <v>1042</v>
      </c>
    </row>
    <row r="477" spans="1:1">
      <c r="A477" t="s">
        <v>1043</v>
      </c>
    </row>
    <row r="478" spans="1:1">
      <c r="A478" t="s">
        <v>1044</v>
      </c>
    </row>
    <row r="479" spans="1:1">
      <c r="A479" t="s">
        <v>608</v>
      </c>
    </row>
    <row r="480" spans="1:1">
      <c r="A480" t="s">
        <v>724</v>
      </c>
    </row>
    <row r="481" spans="1:1">
      <c r="A481" t="s">
        <v>616</v>
      </c>
    </row>
    <row r="483" spans="1:1">
      <c r="A483" t="s">
        <v>704</v>
      </c>
    </row>
    <row r="484" spans="1:1">
      <c r="A484" t="s">
        <v>798</v>
      </c>
    </row>
    <row r="485" spans="1:1">
      <c r="A485" t="s">
        <v>704</v>
      </c>
    </row>
    <row r="487" spans="1:1">
      <c r="A487" t="s">
        <v>721</v>
      </c>
    </row>
    <row r="488" spans="1:1">
      <c r="A488" t="s">
        <v>618</v>
      </c>
    </row>
    <row r="489" spans="1:1">
      <c r="A489" t="s">
        <v>817</v>
      </c>
    </row>
    <row r="490" spans="1:1">
      <c r="A490" t="s">
        <v>818</v>
      </c>
    </row>
    <row r="491" spans="1:1">
      <c r="A491" t="s">
        <v>819</v>
      </c>
    </row>
    <row r="492" spans="1:1">
      <c r="A492" t="s">
        <v>799</v>
      </c>
    </row>
    <row r="494" spans="1:1">
      <c r="A494" t="s">
        <v>722</v>
      </c>
    </row>
    <row r="496" spans="1:1">
      <c r="A496" t="s">
        <v>1050</v>
      </c>
    </row>
    <row r="497" spans="1:1">
      <c r="A497" t="s">
        <v>820</v>
      </c>
    </row>
    <row r="498" spans="1:1">
      <c r="A498" t="s">
        <v>821</v>
      </c>
    </row>
    <row r="499" spans="1:1">
      <c r="A499" t="s">
        <v>822</v>
      </c>
    </row>
    <row r="500" spans="1:1">
      <c r="A500" t="s">
        <v>823</v>
      </c>
    </row>
    <row r="501" spans="1:1">
      <c r="A501" t="s">
        <v>718</v>
      </c>
    </row>
    <row r="502" spans="1:1">
      <c r="A502" t="s">
        <v>649</v>
      </c>
    </row>
    <row r="503" spans="1:1">
      <c r="A503" t="s">
        <v>719</v>
      </c>
    </row>
    <row r="505" spans="1:1">
      <c r="A505" t="s">
        <v>824</v>
      </c>
    </row>
    <row r="506" spans="1:1">
      <c r="A506" t="s">
        <v>825</v>
      </c>
    </row>
    <row r="508" spans="1:1">
      <c r="A508" t="s">
        <v>826</v>
      </c>
    </row>
    <row r="509" spans="1:1">
      <c r="A509" t="s">
        <v>827</v>
      </c>
    </row>
    <row r="510" spans="1:1">
      <c r="A510" t="s">
        <v>828</v>
      </c>
    </row>
    <row r="511" spans="1:1">
      <c r="A511" t="s">
        <v>829</v>
      </c>
    </row>
    <row r="512" spans="1:1">
      <c r="A512" t="s">
        <v>830</v>
      </c>
    </row>
    <row r="513" spans="1:1">
      <c r="A513" t="s">
        <v>831</v>
      </c>
    </row>
    <row r="514" spans="1:1">
      <c r="A514" t="s">
        <v>832</v>
      </c>
    </row>
    <row r="515" spans="1:1">
      <c r="A515" t="s">
        <v>649</v>
      </c>
    </row>
    <row r="516" spans="1:1">
      <c r="A516" t="s">
        <v>833</v>
      </c>
    </row>
    <row r="517" spans="1:1">
      <c r="A517" t="s">
        <v>834</v>
      </c>
    </row>
    <row r="518" spans="1:1">
      <c r="A518" t="s">
        <v>627</v>
      </c>
    </row>
    <row r="520" spans="1:1">
      <c r="A520" t="s">
        <v>835</v>
      </c>
    </row>
    <row r="521" spans="1:1">
      <c r="A521" t="s">
        <v>836</v>
      </c>
    </row>
    <row r="522" spans="1:1">
      <c r="A522" t="s">
        <v>615</v>
      </c>
    </row>
    <row r="524" spans="1:1">
      <c r="A524" t="s">
        <v>800</v>
      </c>
    </row>
    <row r="525" spans="1:1">
      <c r="A525" t="s">
        <v>723</v>
      </c>
    </row>
    <row r="526" spans="1:1">
      <c r="A526" t="s">
        <v>616</v>
      </c>
    </row>
    <row r="528" spans="1:1">
      <c r="A528" t="s">
        <v>600</v>
      </c>
    </row>
    <row r="530" spans="1:1">
      <c r="A530" t="s">
        <v>837</v>
      </c>
    </row>
    <row r="531" spans="1:1">
      <c r="A531" t="s">
        <v>1187</v>
      </c>
    </row>
    <row r="532" spans="1:1">
      <c r="A532" t="s">
        <v>1188</v>
      </c>
    </row>
    <row r="533" spans="1:1">
      <c r="A533" t="s">
        <v>837</v>
      </c>
    </row>
    <row r="535" spans="1:1">
      <c r="A535" t="s">
        <v>704</v>
      </c>
    </row>
    <row r="536" spans="1:1">
      <c r="A536" t="s">
        <v>1051</v>
      </c>
    </row>
    <row r="537" spans="1:1">
      <c r="A537" t="s">
        <v>704</v>
      </c>
    </row>
    <row r="538" spans="1:1">
      <c r="A538" t="s">
        <v>1052</v>
      </c>
    </row>
    <row r="539" spans="1:1">
      <c r="A539" t="s">
        <v>618</v>
      </c>
    </row>
    <row r="540" spans="1:1">
      <c r="A540" t="s">
        <v>1053</v>
      </c>
    </row>
    <row r="541" spans="1:1">
      <c r="A541" t="s">
        <v>1189</v>
      </c>
    </row>
    <row r="542" spans="1:1">
      <c r="A542" t="s">
        <v>608</v>
      </c>
    </row>
    <row r="543" spans="1:1">
      <c r="A543" t="s">
        <v>706</v>
      </c>
    </row>
    <row r="544" spans="1:1">
      <c r="A544" t="s">
        <v>608</v>
      </c>
    </row>
    <row r="545" spans="1:1">
      <c r="A545" t="s">
        <v>1054</v>
      </c>
    </row>
    <row r="546" spans="1:1">
      <c r="A546" t="s">
        <v>608</v>
      </c>
    </row>
    <row r="547" spans="1:1">
      <c r="A547" t="s">
        <v>1190</v>
      </c>
    </row>
    <row r="548" spans="1:1">
      <c r="A548" t="s">
        <v>1191</v>
      </c>
    </row>
    <row r="549" spans="1:1">
      <c r="A549" t="s">
        <v>608</v>
      </c>
    </row>
    <row r="550" spans="1:1">
      <c r="A550" t="s">
        <v>1192</v>
      </c>
    </row>
    <row r="551" spans="1:1">
      <c r="A551" t="s">
        <v>1110</v>
      </c>
    </row>
    <row r="552" spans="1:1">
      <c r="A552" t="s">
        <v>608</v>
      </c>
    </row>
    <row r="553" spans="1:1">
      <c r="A553" t="s">
        <v>1111</v>
      </c>
    </row>
    <row r="554" spans="1:1">
      <c r="A554" t="s">
        <v>1112</v>
      </c>
    </row>
    <row r="555" spans="1:1">
      <c r="A555" t="s">
        <v>1113</v>
      </c>
    </row>
    <row r="556" spans="1:1">
      <c r="A556" t="s">
        <v>1193</v>
      </c>
    </row>
    <row r="557" spans="1:1">
      <c r="A557" t="s">
        <v>1055</v>
      </c>
    </row>
    <row r="558" spans="1:1">
      <c r="A558" t="s">
        <v>615</v>
      </c>
    </row>
    <row r="559" spans="1:1">
      <c r="A559" t="s">
        <v>608</v>
      </c>
    </row>
    <row r="560" spans="1:1">
      <c r="A560" t="s">
        <v>708</v>
      </c>
    </row>
    <row r="561" spans="1:1">
      <c r="A561" t="s">
        <v>1194</v>
      </c>
    </row>
    <row r="562" spans="1:1">
      <c r="A562" t="s">
        <v>608</v>
      </c>
    </row>
    <row r="563" spans="1:1">
      <c r="A563" t="s">
        <v>1086</v>
      </c>
    </row>
    <row r="564" spans="1:1">
      <c r="A564" t="s">
        <v>1056</v>
      </c>
    </row>
    <row r="565" spans="1:1">
      <c r="A565" t="s">
        <v>608</v>
      </c>
    </row>
    <row r="566" spans="1:1">
      <c r="A566" t="s">
        <v>1126</v>
      </c>
    </row>
    <row r="567" spans="1:1">
      <c r="A567" t="s">
        <v>1127</v>
      </c>
    </row>
    <row r="568" spans="1:1">
      <c r="A568" t="s">
        <v>1195</v>
      </c>
    </row>
    <row r="569" spans="1:1">
      <c r="A569" t="s">
        <v>608</v>
      </c>
    </row>
    <row r="570" spans="1:1">
      <c r="A570" t="s">
        <v>1128</v>
      </c>
    </row>
    <row r="571" spans="1:1">
      <c r="A571" t="s">
        <v>1196</v>
      </c>
    </row>
    <row r="572" spans="1:1">
      <c r="A572" t="s">
        <v>608</v>
      </c>
    </row>
    <row r="573" spans="1:1">
      <c r="A573" t="s">
        <v>1129</v>
      </c>
    </row>
    <row r="574" spans="1:1">
      <c r="A574" t="s">
        <v>1197</v>
      </c>
    </row>
    <row r="575" spans="1:1">
      <c r="A575" t="s">
        <v>608</v>
      </c>
    </row>
    <row r="576" spans="1:1">
      <c r="A576" t="s">
        <v>1130</v>
      </c>
    </row>
    <row r="577" spans="1:1">
      <c r="A577" t="s">
        <v>1198</v>
      </c>
    </row>
    <row r="578" spans="1:1">
      <c r="A578" t="s">
        <v>608</v>
      </c>
    </row>
    <row r="579" spans="1:1">
      <c r="A579" t="s">
        <v>713</v>
      </c>
    </row>
    <row r="580" spans="1:1">
      <c r="A580" t="s">
        <v>731</v>
      </c>
    </row>
    <row r="581" spans="1:1">
      <c r="A581" t="s">
        <v>608</v>
      </c>
    </row>
    <row r="582" spans="1:1">
      <c r="A582" t="s">
        <v>1199</v>
      </c>
    </row>
    <row r="583" spans="1:1">
      <c r="A583" t="s">
        <v>1200</v>
      </c>
    </row>
    <row r="584" spans="1:1">
      <c r="A584" t="s">
        <v>1201</v>
      </c>
    </row>
    <row r="585" spans="1:1">
      <c r="A585" t="s">
        <v>1087</v>
      </c>
    </row>
    <row r="586" spans="1:1">
      <c r="A586" t="s">
        <v>615</v>
      </c>
    </row>
    <row r="587" spans="1:1">
      <c r="A587" t="s">
        <v>608</v>
      </c>
    </row>
    <row r="588" spans="1:1">
      <c r="A588" t="s">
        <v>1202</v>
      </c>
    </row>
    <row r="589" spans="1:1">
      <c r="A589" t="s">
        <v>1203</v>
      </c>
    </row>
    <row r="590" spans="1:1">
      <c r="A590" t="s">
        <v>1204</v>
      </c>
    </row>
    <row r="591" spans="1:1">
      <c r="A591" t="s">
        <v>1205</v>
      </c>
    </row>
    <row r="592" spans="1:1">
      <c r="A592" t="s">
        <v>1206</v>
      </c>
    </row>
    <row r="593" spans="1:1">
      <c r="A593" t="s">
        <v>608</v>
      </c>
    </row>
    <row r="594" spans="1:1">
      <c r="A594" t="s">
        <v>715</v>
      </c>
    </row>
    <row r="595" spans="1:1">
      <c r="A595" t="s">
        <v>608</v>
      </c>
    </row>
    <row r="596" spans="1:1">
      <c r="A596" t="s">
        <v>716</v>
      </c>
    </row>
    <row r="597" spans="1:1">
      <c r="A597" t="s">
        <v>713</v>
      </c>
    </row>
    <row r="598" spans="1:1">
      <c r="A598" t="s">
        <v>731</v>
      </c>
    </row>
    <row r="599" spans="1:1">
      <c r="A599" t="s">
        <v>1207</v>
      </c>
    </row>
    <row r="600" spans="1:1">
      <c r="A600" t="s">
        <v>616</v>
      </c>
    </row>
    <row r="602" spans="1:1">
      <c r="A602" t="s">
        <v>704</v>
      </c>
    </row>
    <row r="603" spans="1:1">
      <c r="A603" t="s">
        <v>1063</v>
      </c>
    </row>
    <row r="604" spans="1:1">
      <c r="A604" t="s">
        <v>704</v>
      </c>
    </row>
    <row r="605" spans="1:1">
      <c r="A605" t="s">
        <v>1208</v>
      </c>
    </row>
    <row r="606" spans="1:1">
      <c r="A606" t="s">
        <v>1209</v>
      </c>
    </row>
    <row r="607" spans="1:1">
      <c r="A607" t="s">
        <v>1210</v>
      </c>
    </row>
    <row r="608" spans="1:1">
      <c r="A608" t="s">
        <v>1211</v>
      </c>
    </row>
    <row r="609" spans="1:1">
      <c r="A609" t="s">
        <v>608</v>
      </c>
    </row>
    <row r="610" spans="1:1">
      <c r="A610" t="s">
        <v>1064</v>
      </c>
    </row>
    <row r="611" spans="1:1">
      <c r="A611" t="s">
        <v>1101</v>
      </c>
    </row>
    <row r="612" spans="1:1">
      <c r="A612" t="s">
        <v>622</v>
      </c>
    </row>
    <row r="613" spans="1:1">
      <c r="A613" t="s">
        <v>1131</v>
      </c>
    </row>
    <row r="614" spans="1:1">
      <c r="A614" t="s">
        <v>608</v>
      </c>
    </row>
    <row r="615" spans="1:1">
      <c r="A615" t="s">
        <v>1212</v>
      </c>
    </row>
    <row r="616" spans="1:1">
      <c r="A616" t="s">
        <v>1132</v>
      </c>
    </row>
    <row r="617" spans="1:1">
      <c r="A617" t="s">
        <v>1133</v>
      </c>
    </row>
    <row r="618" spans="1:1">
      <c r="A618" t="s">
        <v>1134</v>
      </c>
    </row>
    <row r="619" spans="1:1">
      <c r="A619" t="s">
        <v>1135</v>
      </c>
    </row>
    <row r="620" spans="1:1">
      <c r="A620" t="s">
        <v>1136</v>
      </c>
    </row>
    <row r="621" spans="1:1">
      <c r="A621" t="s">
        <v>1074</v>
      </c>
    </row>
    <row r="622" spans="1:1">
      <c r="A622" t="s">
        <v>608</v>
      </c>
    </row>
    <row r="623" spans="1:1">
      <c r="A623" t="s">
        <v>1137</v>
      </c>
    </row>
    <row r="624" spans="1:1">
      <c r="A624" t="s">
        <v>1213</v>
      </c>
    </row>
    <row r="625" spans="1:1">
      <c r="A625" t="s">
        <v>608</v>
      </c>
    </row>
    <row r="626" spans="1:1">
      <c r="A626" t="s">
        <v>1109</v>
      </c>
    </row>
    <row r="627" spans="1:1">
      <c r="A627" t="s">
        <v>1076</v>
      </c>
    </row>
    <row r="628" spans="1:1">
      <c r="A628" t="s">
        <v>608</v>
      </c>
    </row>
    <row r="629" spans="1:1">
      <c r="A629" t="s">
        <v>1102</v>
      </c>
    </row>
    <row r="630" spans="1:1">
      <c r="A630" t="s">
        <v>1103</v>
      </c>
    </row>
    <row r="631" spans="1:1">
      <c r="A631" t="s">
        <v>1104</v>
      </c>
    </row>
    <row r="632" spans="1:1">
      <c r="A632" t="s">
        <v>1114</v>
      </c>
    </row>
    <row r="633" spans="1:1">
      <c r="A633" t="s">
        <v>1115</v>
      </c>
    </row>
    <row r="634" spans="1:1">
      <c r="A634" t="s">
        <v>608</v>
      </c>
    </row>
    <row r="635" spans="1:1">
      <c r="A635" t="s">
        <v>1105</v>
      </c>
    </row>
    <row r="636" spans="1:1">
      <c r="A636" t="s">
        <v>608</v>
      </c>
    </row>
    <row r="637" spans="1:1">
      <c r="A637" t="s">
        <v>1138</v>
      </c>
    </row>
    <row r="638" spans="1:1">
      <c r="A638" t="s">
        <v>1116</v>
      </c>
    </row>
    <row r="639" spans="1:1">
      <c r="A639" t="s">
        <v>608</v>
      </c>
    </row>
    <row r="640" spans="1:1">
      <c r="A640" t="s">
        <v>1139</v>
      </c>
    </row>
    <row r="641" spans="1:1">
      <c r="A641" t="s">
        <v>1140</v>
      </c>
    </row>
    <row r="642" spans="1:1">
      <c r="A642" t="s">
        <v>608</v>
      </c>
    </row>
    <row r="643" spans="1:1">
      <c r="A643" t="s">
        <v>1214</v>
      </c>
    </row>
    <row r="644" spans="1:1">
      <c r="A644" t="s">
        <v>1141</v>
      </c>
    </row>
    <row r="645" spans="1:1">
      <c r="A645" t="s">
        <v>608</v>
      </c>
    </row>
    <row r="646" spans="1:1">
      <c r="A646" t="s">
        <v>1065</v>
      </c>
    </row>
    <row r="647" spans="1:1">
      <c r="A647" t="s">
        <v>1066</v>
      </c>
    </row>
    <row r="648" spans="1:1">
      <c r="A648" t="s">
        <v>1142</v>
      </c>
    </row>
    <row r="649" spans="1:1">
      <c r="A649" t="s">
        <v>1106</v>
      </c>
    </row>
    <row r="650" spans="1:1">
      <c r="A650" t="s">
        <v>1067</v>
      </c>
    </row>
    <row r="651" spans="1:1">
      <c r="A651" t="s">
        <v>608</v>
      </c>
    </row>
    <row r="652" spans="1:1">
      <c r="A652" t="s">
        <v>1215</v>
      </c>
    </row>
    <row r="653" spans="1:1">
      <c r="A653" t="s">
        <v>1068</v>
      </c>
    </row>
    <row r="654" spans="1:1">
      <c r="A654" t="s">
        <v>1069</v>
      </c>
    </row>
    <row r="655" spans="1:1">
      <c r="A655" t="s">
        <v>1070</v>
      </c>
    </row>
    <row r="656" spans="1:1">
      <c r="A656" t="s">
        <v>1119</v>
      </c>
    </row>
    <row r="657" spans="1:1">
      <c r="A657" t="s">
        <v>1216</v>
      </c>
    </row>
    <row r="658" spans="1:1">
      <c r="A658" t="s">
        <v>1071</v>
      </c>
    </row>
    <row r="659" spans="1:1">
      <c r="A659" t="s">
        <v>1143</v>
      </c>
    </row>
    <row r="660" spans="1:1">
      <c r="A660" t="s">
        <v>816</v>
      </c>
    </row>
    <row r="661" spans="1:1">
      <c r="A661" t="s">
        <v>608</v>
      </c>
    </row>
    <row r="662" spans="1:1">
      <c r="A662" t="s">
        <v>1217</v>
      </c>
    </row>
    <row r="663" spans="1:1">
      <c r="A663" t="s">
        <v>1072</v>
      </c>
    </row>
    <row r="664" spans="1:1">
      <c r="A664" t="s">
        <v>1069</v>
      </c>
    </row>
    <row r="665" spans="1:1">
      <c r="A665" t="s">
        <v>1073</v>
      </c>
    </row>
    <row r="666" spans="1:1">
      <c r="A666" t="s">
        <v>1119</v>
      </c>
    </row>
    <row r="667" spans="1:1">
      <c r="A667" t="s">
        <v>1218</v>
      </c>
    </row>
    <row r="668" spans="1:1">
      <c r="A668" t="s">
        <v>1143</v>
      </c>
    </row>
    <row r="669" spans="1:1">
      <c r="A669" t="s">
        <v>816</v>
      </c>
    </row>
    <row r="670" spans="1:1">
      <c r="A670" t="s">
        <v>608</v>
      </c>
    </row>
    <row r="671" spans="1:1">
      <c r="A671" t="s">
        <v>1219</v>
      </c>
    </row>
    <row r="672" spans="1:1">
      <c r="A672" t="s">
        <v>1144</v>
      </c>
    </row>
    <row r="673" spans="1:1">
      <c r="A673" t="s">
        <v>1145</v>
      </c>
    </row>
    <row r="674" spans="1:1">
      <c r="A674" t="s">
        <v>1146</v>
      </c>
    </row>
    <row r="675" spans="1:1">
      <c r="A675" t="s">
        <v>608</v>
      </c>
    </row>
    <row r="676" spans="1:1">
      <c r="A676" t="s">
        <v>1220</v>
      </c>
    </row>
    <row r="677" spans="1:1">
      <c r="A677" t="s">
        <v>1147</v>
      </c>
    </row>
    <row r="678" spans="1:1">
      <c r="A678" t="s">
        <v>608</v>
      </c>
    </row>
    <row r="679" spans="1:1">
      <c r="A679" t="s">
        <v>1117</v>
      </c>
    </row>
    <row r="680" spans="1:1">
      <c r="A680" t="s">
        <v>1118</v>
      </c>
    </row>
    <row r="681" spans="1:1">
      <c r="A681" t="s">
        <v>608</v>
      </c>
    </row>
    <row r="682" spans="1:1">
      <c r="A682" t="s">
        <v>1221</v>
      </c>
    </row>
    <row r="683" spans="1:1">
      <c r="A683" t="s">
        <v>1148</v>
      </c>
    </row>
    <row r="684" spans="1:1">
      <c r="A684" t="s">
        <v>1149</v>
      </c>
    </row>
    <row r="685" spans="1:1">
      <c r="A685" t="s">
        <v>1150</v>
      </c>
    </row>
    <row r="686" spans="1:1">
      <c r="A686" t="s">
        <v>608</v>
      </c>
    </row>
    <row r="687" spans="1:1">
      <c r="A687" t="s">
        <v>1077</v>
      </c>
    </row>
    <row r="688" spans="1:1">
      <c r="A688" t="s">
        <v>616</v>
      </c>
    </row>
    <row r="690" spans="1:1">
      <c r="A690" t="s">
        <v>704</v>
      </c>
    </row>
    <row r="691" spans="1:1">
      <c r="A691" t="s">
        <v>1222</v>
      </c>
    </row>
    <row r="692" spans="1:1">
      <c r="A692" t="s">
        <v>704</v>
      </c>
    </row>
    <row r="693" spans="1:1">
      <c r="A693" t="s">
        <v>1223</v>
      </c>
    </row>
    <row r="694" spans="1:1">
      <c r="A694" t="s">
        <v>1224</v>
      </c>
    </row>
    <row r="695" spans="1:1">
      <c r="A695" t="s">
        <v>608</v>
      </c>
    </row>
    <row r="696" spans="1:1">
      <c r="A696" t="s">
        <v>801</v>
      </c>
    </row>
    <row r="697" spans="1:1">
      <c r="A697" t="s">
        <v>1090</v>
      </c>
    </row>
    <row r="698" spans="1:1">
      <c r="A698" t="s">
        <v>1091</v>
      </c>
    </row>
    <row r="699" spans="1:1">
      <c r="A699" t="s">
        <v>1089</v>
      </c>
    </row>
    <row r="700" spans="1:1">
      <c r="A700" t="s">
        <v>1088</v>
      </c>
    </row>
    <row r="701" spans="1:1">
      <c r="A701" t="s">
        <v>1151</v>
      </c>
    </row>
    <row r="702" spans="1:1">
      <c r="A702" t="s">
        <v>1152</v>
      </c>
    </row>
    <row r="703" spans="1:1">
      <c r="A703" t="s">
        <v>608</v>
      </c>
    </row>
    <row r="704" spans="1:1">
      <c r="A704" t="s">
        <v>1092</v>
      </c>
    </row>
    <row r="705" spans="1:1">
      <c r="A705" t="s">
        <v>1153</v>
      </c>
    </row>
    <row r="706" spans="1:1">
      <c r="A706" t="s">
        <v>608</v>
      </c>
    </row>
    <row r="707" spans="1:1">
      <c r="A707" t="s">
        <v>1078</v>
      </c>
    </row>
    <row r="708" spans="1:1">
      <c r="A708" t="s">
        <v>1154</v>
      </c>
    </row>
    <row r="709" spans="1:1">
      <c r="A709" t="s">
        <v>608</v>
      </c>
    </row>
    <row r="710" spans="1:1">
      <c r="A710" t="s">
        <v>1120</v>
      </c>
    </row>
    <row r="711" spans="1:1">
      <c r="A711" t="s">
        <v>1155</v>
      </c>
    </row>
    <row r="712" spans="1:1">
      <c r="A712" t="s">
        <v>1156</v>
      </c>
    </row>
    <row r="713" spans="1:1">
      <c r="A713" t="s">
        <v>608</v>
      </c>
    </row>
    <row r="714" spans="1:1">
      <c r="A714" t="s">
        <v>1121</v>
      </c>
    </row>
    <row r="715" spans="1:1">
      <c r="A715" t="s">
        <v>1157</v>
      </c>
    </row>
    <row r="716" spans="1:1">
      <c r="A716" t="s">
        <v>1158</v>
      </c>
    </row>
    <row r="717" spans="1:1">
      <c r="A717" t="s">
        <v>1225</v>
      </c>
    </row>
    <row r="718" spans="1:1">
      <c r="A718" t="s">
        <v>1159</v>
      </c>
    </row>
    <row r="719" spans="1:1">
      <c r="A719" t="s">
        <v>1160</v>
      </c>
    </row>
    <row r="720" spans="1:1">
      <c r="A720" t="s">
        <v>718</v>
      </c>
    </row>
    <row r="721" spans="1:1">
      <c r="A721" t="s">
        <v>649</v>
      </c>
    </row>
    <row r="722" spans="1:1">
      <c r="A722" t="s">
        <v>627</v>
      </c>
    </row>
    <row r="723" spans="1:1">
      <c r="A723" t="s">
        <v>608</v>
      </c>
    </row>
    <row r="724" spans="1:1">
      <c r="A724" t="s">
        <v>1226</v>
      </c>
    </row>
    <row r="725" spans="1:1">
      <c r="A725" t="s">
        <v>1161</v>
      </c>
    </row>
    <row r="726" spans="1:1">
      <c r="A726" t="s">
        <v>1055</v>
      </c>
    </row>
    <row r="727" spans="1:1">
      <c r="A727" t="s">
        <v>615</v>
      </c>
    </row>
    <row r="728" spans="1:1">
      <c r="A728" t="s">
        <v>608</v>
      </c>
    </row>
    <row r="729" spans="1:1">
      <c r="A729" t="s">
        <v>1162</v>
      </c>
    </row>
    <row r="730" spans="1:1">
      <c r="A730" t="s">
        <v>1093</v>
      </c>
    </row>
    <row r="731" spans="1:1">
      <c r="A731" t="s">
        <v>608</v>
      </c>
    </row>
    <row r="732" spans="1:1">
      <c r="A732" t="s">
        <v>1163</v>
      </c>
    </row>
    <row r="733" spans="1:1">
      <c r="A733" t="s">
        <v>1121</v>
      </c>
    </row>
    <row r="734" spans="1:1">
      <c r="A734" t="s">
        <v>1157</v>
      </c>
    </row>
    <row r="735" spans="1:1">
      <c r="A735" t="s">
        <v>1158</v>
      </c>
    </row>
    <row r="736" spans="1:1">
      <c r="A736" t="s">
        <v>1164</v>
      </c>
    </row>
    <row r="737" spans="1:1">
      <c r="A737" t="s">
        <v>1165</v>
      </c>
    </row>
    <row r="738" spans="1:1">
      <c r="A738" t="s">
        <v>1166</v>
      </c>
    </row>
    <row r="739" spans="1:1">
      <c r="A739" t="s">
        <v>1167</v>
      </c>
    </row>
    <row r="740" spans="1:1">
      <c r="A740" t="s">
        <v>1168</v>
      </c>
    </row>
    <row r="741" spans="1:1">
      <c r="A741" t="s">
        <v>718</v>
      </c>
    </row>
    <row r="742" spans="1:1">
      <c r="A742" t="s">
        <v>649</v>
      </c>
    </row>
    <row r="743" spans="1:1">
      <c r="A743" t="s">
        <v>627</v>
      </c>
    </row>
    <row r="744" spans="1:1">
      <c r="A744" t="s">
        <v>608</v>
      </c>
    </row>
    <row r="745" spans="1:1">
      <c r="A745" t="s">
        <v>1169</v>
      </c>
    </row>
    <row r="746" spans="1:1">
      <c r="A746" t="s">
        <v>1170</v>
      </c>
    </row>
    <row r="747" spans="1:1">
      <c r="A747" t="s">
        <v>1171</v>
      </c>
    </row>
    <row r="748" spans="1:1">
      <c r="A748" t="s">
        <v>1227</v>
      </c>
    </row>
    <row r="749" spans="1:1">
      <c r="A749" t="s">
        <v>608</v>
      </c>
    </row>
    <row r="750" spans="1:1">
      <c r="A750" t="s">
        <v>1172</v>
      </c>
    </row>
    <row r="751" spans="1:1">
      <c r="A751" t="s">
        <v>1173</v>
      </c>
    </row>
    <row r="752" spans="1:1">
      <c r="A752" t="s">
        <v>1094</v>
      </c>
    </row>
    <row r="753" spans="1:1">
      <c r="A753" t="s">
        <v>1174</v>
      </c>
    </row>
    <row r="754" spans="1:1">
      <c r="A754" t="s">
        <v>1175</v>
      </c>
    </row>
    <row r="755" spans="1:1">
      <c r="A755" t="s">
        <v>1176</v>
      </c>
    </row>
    <row r="756" spans="1:1">
      <c r="A756" t="s">
        <v>1079</v>
      </c>
    </row>
    <row r="757" spans="1:1">
      <c r="A757" t="s">
        <v>608</v>
      </c>
    </row>
    <row r="758" spans="1:1">
      <c r="A758" t="s">
        <v>1107</v>
      </c>
    </row>
    <row r="759" spans="1:1">
      <c r="A759" t="s">
        <v>1177</v>
      </c>
    </row>
    <row r="760" spans="1:1">
      <c r="A760" t="s">
        <v>616</v>
      </c>
    </row>
    <row r="762" spans="1:1">
      <c r="A762" t="s">
        <v>704</v>
      </c>
    </row>
    <row r="763" spans="1:1">
      <c r="A763" t="s">
        <v>1057</v>
      </c>
    </row>
    <row r="764" spans="1:1">
      <c r="A764" t="s">
        <v>704</v>
      </c>
    </row>
    <row r="765" spans="1:1">
      <c r="A765" t="s">
        <v>1058</v>
      </c>
    </row>
    <row r="766" spans="1:1">
      <c r="A766" t="s">
        <v>1059</v>
      </c>
    </row>
    <row r="767" spans="1:1">
      <c r="A767" t="s">
        <v>1060</v>
      </c>
    </row>
    <row r="768" spans="1:1">
      <c r="A768" t="s">
        <v>1061</v>
      </c>
    </row>
    <row r="769" spans="1:1">
      <c r="A769" t="s">
        <v>1122</v>
      </c>
    </row>
    <row r="770" spans="1:1">
      <c r="A770" t="s">
        <v>1178</v>
      </c>
    </row>
    <row r="771" spans="1:1">
      <c r="A771" t="s">
        <v>1123</v>
      </c>
    </row>
    <row r="772" spans="1:1">
      <c r="A772" t="s">
        <v>1179</v>
      </c>
    </row>
    <row r="773" spans="1:1">
      <c r="A773" t="s">
        <v>718</v>
      </c>
    </row>
    <row r="774" spans="1:1">
      <c r="A774" t="s">
        <v>649</v>
      </c>
    </row>
    <row r="775" spans="1:1">
      <c r="A775" t="s">
        <v>1062</v>
      </c>
    </row>
    <row r="776" spans="1:1">
      <c r="A776" t="s">
        <v>616</v>
      </c>
    </row>
    <row r="778" spans="1:1">
      <c r="A778" t="s">
        <v>704</v>
      </c>
    </row>
    <row r="779" spans="1:1">
      <c r="A779" t="s">
        <v>1228</v>
      </c>
    </row>
    <row r="780" spans="1:1">
      <c r="A780" t="s">
        <v>704</v>
      </c>
    </row>
    <row r="781" spans="1:1">
      <c r="A781" t="s">
        <v>1180</v>
      </c>
    </row>
    <row r="782" spans="1:1">
      <c r="A782" t="s">
        <v>618</v>
      </c>
    </row>
    <row r="783" spans="1:1">
      <c r="A783" t="s">
        <v>919</v>
      </c>
    </row>
    <row r="784" spans="1:1">
      <c r="A784" t="s">
        <v>622</v>
      </c>
    </row>
    <row r="785" spans="1:1">
      <c r="A785" t="s">
        <v>1053</v>
      </c>
    </row>
    <row r="786" spans="1:1">
      <c r="A786" t="s">
        <v>1181</v>
      </c>
    </row>
    <row r="787" spans="1:1">
      <c r="A787" t="s">
        <v>608</v>
      </c>
    </row>
    <row r="788" spans="1:1">
      <c r="A788" t="s">
        <v>1054</v>
      </c>
    </row>
    <row r="789" spans="1:1">
      <c r="A789" t="s">
        <v>608</v>
      </c>
    </row>
    <row r="790" spans="1:1">
      <c r="A790" t="s">
        <v>1108</v>
      </c>
    </row>
    <row r="791" spans="1:1">
      <c r="A791" t="s">
        <v>1112</v>
      </c>
    </row>
    <row r="792" spans="1:1">
      <c r="A792" t="s">
        <v>608</v>
      </c>
    </row>
    <row r="793" spans="1:1">
      <c r="A793" t="s">
        <v>1113</v>
      </c>
    </row>
    <row r="794" spans="1:1">
      <c r="A794" t="s">
        <v>1229</v>
      </c>
    </row>
    <row r="795" spans="1:1">
      <c r="A795" t="s">
        <v>1055</v>
      </c>
    </row>
    <row r="796" spans="1:1">
      <c r="A796" t="s">
        <v>615</v>
      </c>
    </row>
    <row r="797" spans="1:1">
      <c r="A797" t="s">
        <v>608</v>
      </c>
    </row>
    <row r="798" spans="1:1">
      <c r="A798" t="s">
        <v>1230</v>
      </c>
    </row>
    <row r="799" spans="1:1">
      <c r="A799" t="s">
        <v>608</v>
      </c>
    </row>
    <row r="800" spans="1:1">
      <c r="A800" t="s">
        <v>1124</v>
      </c>
    </row>
    <row r="801" spans="1:1">
      <c r="A801" t="s">
        <v>1182</v>
      </c>
    </row>
    <row r="802" spans="1:1">
      <c r="A802" t="s">
        <v>1075</v>
      </c>
    </row>
    <row r="803" spans="1:1">
      <c r="A803" t="s">
        <v>1183</v>
      </c>
    </row>
    <row r="804" spans="1:1">
      <c r="A804" t="s">
        <v>1184</v>
      </c>
    </row>
    <row r="805" spans="1:1">
      <c r="A805" t="s">
        <v>1185</v>
      </c>
    </row>
    <row r="806" spans="1:1">
      <c r="A806" t="s">
        <v>988</v>
      </c>
    </row>
    <row r="807" spans="1:1">
      <c r="A807" t="s">
        <v>634</v>
      </c>
    </row>
    <row r="808" spans="1:1">
      <c r="A808" t="s">
        <v>1125</v>
      </c>
    </row>
    <row r="809" spans="1:1">
      <c r="A809" t="s">
        <v>1231</v>
      </c>
    </row>
    <row r="810" spans="1:1">
      <c r="A810" t="s">
        <v>1232</v>
      </c>
    </row>
    <row r="811" spans="1:1">
      <c r="A811" t="s">
        <v>1233</v>
      </c>
    </row>
    <row r="812" spans="1:1">
      <c r="A812" t="s">
        <v>1234</v>
      </c>
    </row>
    <row r="813" spans="1:1">
      <c r="A813" t="s">
        <v>1095</v>
      </c>
    </row>
    <row r="814" spans="1:1">
      <c r="A814" t="s">
        <v>634</v>
      </c>
    </row>
    <row r="815" spans="1:1">
      <c r="A815" t="s">
        <v>1186</v>
      </c>
    </row>
    <row r="816" spans="1:1">
      <c r="A816" t="s">
        <v>1235</v>
      </c>
    </row>
    <row r="817" spans="1:1">
      <c r="A817" t="s">
        <v>1236</v>
      </c>
    </row>
    <row r="818" spans="1:1">
      <c r="A818" t="s">
        <v>627</v>
      </c>
    </row>
    <row r="819" spans="1:1">
      <c r="A819" t="s">
        <v>608</v>
      </c>
    </row>
    <row r="820" spans="1:1">
      <c r="A820" t="s">
        <v>1237</v>
      </c>
    </row>
    <row r="821" spans="1:1">
      <c r="A821" t="s">
        <v>608</v>
      </c>
    </row>
    <row r="822" spans="1:1">
      <c r="A822" t="s">
        <v>1238</v>
      </c>
    </row>
    <row r="823" spans="1:1">
      <c r="A823" t="s">
        <v>616</v>
      </c>
    </row>
    <row r="825" spans="1:1">
      <c r="A825" t="s">
        <v>704</v>
      </c>
    </row>
    <row r="826" spans="1:1">
      <c r="A826" t="s">
        <v>1239</v>
      </c>
    </row>
    <row r="827" spans="1:1">
      <c r="A827" t="s">
        <v>704</v>
      </c>
    </row>
    <row r="828" spans="1:1">
      <c r="A828" t="s">
        <v>1080</v>
      </c>
    </row>
    <row r="829" spans="1:1">
      <c r="A829" t="s">
        <v>618</v>
      </c>
    </row>
    <row r="830" spans="1:1">
      <c r="A830" t="s">
        <v>1081</v>
      </c>
    </row>
    <row r="831" spans="1:1">
      <c r="A831" t="s">
        <v>901</v>
      </c>
    </row>
    <row r="832" spans="1:1">
      <c r="A832" t="s">
        <v>608</v>
      </c>
    </row>
    <row r="833" spans="1:1">
      <c r="A833" t="s">
        <v>1054</v>
      </c>
    </row>
    <row r="834" spans="1:1">
      <c r="A834" t="s">
        <v>608</v>
      </c>
    </row>
    <row r="835" spans="1:1">
      <c r="A835" t="s">
        <v>717</v>
      </c>
    </row>
    <row r="836" spans="1:1">
      <c r="A836" t="s">
        <v>1082</v>
      </c>
    </row>
    <row r="837" spans="1:1">
      <c r="A837" t="s">
        <v>1083</v>
      </c>
    </row>
    <row r="838" spans="1:1">
      <c r="A838" t="s">
        <v>1085</v>
      </c>
    </row>
    <row r="839" spans="1:1">
      <c r="A839" t="s">
        <v>1084</v>
      </c>
    </row>
    <row r="840" spans="1:1">
      <c r="A840" t="s">
        <v>608</v>
      </c>
    </row>
    <row r="841" spans="1:1">
      <c r="A841" t="s">
        <v>1240</v>
      </c>
    </row>
    <row r="842" spans="1:1">
      <c r="A842" t="s">
        <v>1241</v>
      </c>
    </row>
    <row r="843" spans="1:1">
      <c r="A843" t="s">
        <v>1242</v>
      </c>
    </row>
    <row r="844" spans="1:1">
      <c r="A844" t="s">
        <v>1243</v>
      </c>
    </row>
    <row r="845" spans="1:1">
      <c r="A845" t="s">
        <v>615</v>
      </c>
    </row>
    <row r="846" spans="1:1">
      <c r="A846" t="s">
        <v>616</v>
      </c>
    </row>
    <row r="848" spans="1:1">
      <c r="A848" t="s">
        <v>704</v>
      </c>
    </row>
    <row r="849" spans="1:1">
      <c r="A849" t="s">
        <v>1244</v>
      </c>
    </row>
    <row r="850" spans="1:1">
      <c r="A850" t="s">
        <v>704</v>
      </c>
    </row>
    <row r="851" spans="1:1">
      <c r="A851" t="s">
        <v>1245</v>
      </c>
    </row>
    <row r="852" spans="1:1">
      <c r="A852" t="s">
        <v>618</v>
      </c>
    </row>
    <row r="853" spans="1:1">
      <c r="A853" t="s">
        <v>1054</v>
      </c>
    </row>
    <row r="854" spans="1:1">
      <c r="A854" t="s">
        <v>608</v>
      </c>
    </row>
    <row r="855" spans="1:1">
      <c r="A855" t="s">
        <v>1246</v>
      </c>
    </row>
    <row r="856" spans="1:1">
      <c r="A856" t="s">
        <v>608</v>
      </c>
    </row>
    <row r="857" spans="1:1">
      <c r="A857" t="s">
        <v>1096</v>
      </c>
    </row>
    <row r="858" spans="1:1">
      <c r="A858" t="s">
        <v>1247</v>
      </c>
    </row>
    <row r="859" spans="1:1">
      <c r="A859" t="s">
        <v>1242</v>
      </c>
    </row>
    <row r="860" spans="1:1">
      <c r="A860" t="s">
        <v>1248</v>
      </c>
    </row>
    <row r="861" spans="1:1">
      <c r="A861" t="s">
        <v>615</v>
      </c>
    </row>
    <row r="862" spans="1:1">
      <c r="A862" t="s">
        <v>616</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pageSetUpPr fitToPage="1"/>
  </sheetPr>
  <dimension ref="B2:O114"/>
  <sheetViews>
    <sheetView topLeftCell="A69" zoomScale="75" zoomScaleNormal="75" workbookViewId="0">
      <selection activeCell="D78" sqref="D78"/>
    </sheetView>
  </sheetViews>
  <sheetFormatPr defaultRowHeight="15"/>
  <cols>
    <col min="1" max="1" width="3" customWidth="1"/>
    <col min="2" max="2" width="26.5703125" style="105" bestFit="1" customWidth="1"/>
    <col min="3" max="3" width="32.7109375" style="105" bestFit="1" customWidth="1"/>
    <col min="4" max="4" width="26.5703125" style="105" bestFit="1" customWidth="1"/>
    <col min="5" max="5" width="16.5703125" style="105" bestFit="1" customWidth="1"/>
    <col min="6" max="6" width="34.85546875" style="105" bestFit="1" customWidth="1"/>
    <col min="7" max="7" width="40" style="105" customWidth="1"/>
    <col min="8" max="8" width="35" customWidth="1"/>
    <col min="9" max="13" width="15" customWidth="1"/>
  </cols>
  <sheetData>
    <row r="2" spans="2:15" ht="18.75">
      <c r="B2" s="141" t="s">
        <v>453</v>
      </c>
      <c r="C2" s="140"/>
      <c r="D2" s="140"/>
      <c r="E2" s="140"/>
      <c r="F2" s="140"/>
      <c r="G2" s="140"/>
      <c r="H2" s="140"/>
      <c r="I2" s="140"/>
      <c r="J2" s="140"/>
      <c r="K2" s="140"/>
      <c r="L2" s="140"/>
      <c r="M2" s="140"/>
      <c r="N2" s="140"/>
      <c r="O2" s="140"/>
    </row>
    <row r="5" spans="2:15" ht="15.75">
      <c r="B5" s="142" t="s">
        <v>454</v>
      </c>
      <c r="C5" s="140"/>
      <c r="D5" s="140"/>
      <c r="E5" s="140"/>
      <c r="F5" s="140"/>
      <c r="G5" s="140"/>
      <c r="H5" s="140"/>
    </row>
    <row r="7" spans="2:15">
      <c r="B7" s="139" t="s">
        <v>455</v>
      </c>
      <c r="C7" s="140"/>
      <c r="D7" s="140"/>
      <c r="E7" s="140"/>
      <c r="F7" s="140"/>
      <c r="G7" s="140"/>
      <c r="H7" s="140"/>
    </row>
    <row r="8" spans="2:15">
      <c r="B8" s="100" t="s">
        <v>456</v>
      </c>
      <c r="C8" s="100" t="s">
        <v>457</v>
      </c>
      <c r="D8" s="100" t="s">
        <v>458</v>
      </c>
      <c r="E8" s="100" t="s">
        <v>459</v>
      </c>
      <c r="F8" s="100" t="s">
        <v>460</v>
      </c>
      <c r="G8" s="100" t="s">
        <v>461</v>
      </c>
    </row>
    <row r="9" spans="2:15" ht="60" customHeight="1">
      <c r="B9" s="103" t="s">
        <v>462</v>
      </c>
      <c r="C9" s="103" t="s">
        <v>463</v>
      </c>
      <c r="D9" s="112">
        <f>'Modelo Variables V8'!K45*0.4+'Modelo Variables V8'!L28*0.3+'Modelo Variables V8'!K49*0.3</f>
        <v>0.44940384615384621</v>
      </c>
      <c r="E9" s="109">
        <f>D9/SUM(D$9:D$13)</f>
        <v>0.32868705492465683</v>
      </c>
      <c r="F9" s="104" t="s">
        <v>464</v>
      </c>
      <c r="G9" s="104" t="s">
        <v>465</v>
      </c>
    </row>
    <row r="10" spans="2:15" ht="60" customHeight="1">
      <c r="B10" s="103" t="s">
        <v>466</v>
      </c>
      <c r="C10" s="103" t="s">
        <v>467</v>
      </c>
      <c r="D10" s="112">
        <f>'Modelo Variables V8'!K42*0.4+'Modelo Variables V8'!K27*0.3+'Modelo Variables V8'!L32*0.3</f>
        <v>0.43454545454545457</v>
      </c>
      <c r="E10" s="109">
        <f>D10/SUM(D$9:D$13)</f>
        <v>0.31781985603333357</v>
      </c>
      <c r="F10" s="104" t="s">
        <v>468</v>
      </c>
      <c r="G10" s="104" t="s">
        <v>469</v>
      </c>
    </row>
    <row r="11" spans="2:15" ht="60" customHeight="1">
      <c r="B11" s="103" t="s">
        <v>470</v>
      </c>
      <c r="C11" s="103" t="s">
        <v>471</v>
      </c>
      <c r="D11" s="112">
        <f>MIN(D10,D9)*'Modelo Variables V8'!K43</f>
        <v>0.15259230769230769</v>
      </c>
      <c r="E11" s="109">
        <f>D11/SUM(D$9:D$13)</f>
        <v>0.11160366483016675</v>
      </c>
      <c r="F11" s="104" t="s">
        <v>472</v>
      </c>
      <c r="G11" s="104" t="s">
        <v>473</v>
      </c>
    </row>
    <row r="12" spans="2:15" ht="60" customHeight="1">
      <c r="B12" s="103" t="s">
        <v>474</v>
      </c>
      <c r="C12" s="103" t="s">
        <v>475</v>
      </c>
      <c r="D12" s="112">
        <f>'Modelo Variables V8'!L28*0.3*(1-MAX(D10,D9))</f>
        <v>3.3035769230769237E-2</v>
      </c>
      <c r="E12" s="109">
        <f>D12/SUM(D$9:D$13)</f>
        <v>2.4161853060587574E-2</v>
      </c>
      <c r="F12" s="104" t="s">
        <v>476</v>
      </c>
      <c r="G12" s="104" t="s">
        <v>477</v>
      </c>
    </row>
    <row r="13" spans="2:15" ht="60" customHeight="1">
      <c r="B13" s="103" t="s">
        <v>478</v>
      </c>
      <c r="C13" s="103" t="s">
        <v>479</v>
      </c>
      <c r="D13" s="112">
        <f>MAX(0.01, 1-'Modelo Variables V8'!K43*2)</f>
        <v>0.2976923076923077</v>
      </c>
      <c r="E13" s="109">
        <f>D13/SUM(D$9:D$13)</f>
        <v>0.21772757115125538</v>
      </c>
      <c r="F13" s="104" t="s">
        <v>480</v>
      </c>
      <c r="G13" s="104" t="s">
        <v>481</v>
      </c>
    </row>
    <row r="16" spans="2:15">
      <c r="B16" s="139" t="s">
        <v>482</v>
      </c>
      <c r="C16" s="140"/>
      <c r="D16" s="140"/>
      <c r="E16" s="140"/>
      <c r="F16" s="140"/>
      <c r="G16" s="140"/>
      <c r="H16" s="140"/>
    </row>
    <row r="17" spans="2:8">
      <c r="B17" s="100" t="s">
        <v>456</v>
      </c>
      <c r="C17" s="100" t="s">
        <v>457</v>
      </c>
      <c r="D17" s="100" t="s">
        <v>458</v>
      </c>
      <c r="E17" s="100" t="s">
        <v>459</v>
      </c>
      <c r="F17" s="100" t="s">
        <v>460</v>
      </c>
      <c r="G17" s="100" t="s">
        <v>461</v>
      </c>
    </row>
    <row r="18" spans="2:8" ht="60" customHeight="1">
      <c r="B18" s="103" t="s">
        <v>483</v>
      </c>
      <c r="C18" s="103" t="s">
        <v>484</v>
      </c>
      <c r="D18" s="112">
        <f>'Modelo Variables V8'!K14*'Modelo Variables V8'!L29*'Modelo Variables V8'!K36</f>
        <v>6.0800000000000028E-2</v>
      </c>
      <c r="E18" s="109">
        <f>D18/SUM(D$18:D$21)</f>
        <v>5.5470818868312975E-2</v>
      </c>
      <c r="F18" s="104" t="s">
        <v>485</v>
      </c>
      <c r="G18" s="104" t="s">
        <v>486</v>
      </c>
    </row>
    <row r="19" spans="2:8" ht="60" customHeight="1">
      <c r="B19" s="103" t="s">
        <v>487</v>
      </c>
      <c r="C19" s="103" t="s">
        <v>488</v>
      </c>
      <c r="D19" s="112">
        <f>0.45</f>
        <v>0.45</v>
      </c>
      <c r="E19" s="109">
        <f>D19/SUM(D$18:D$21)</f>
        <v>0.41055704754507943</v>
      </c>
      <c r="F19" s="104" t="s">
        <v>489</v>
      </c>
      <c r="G19" s="104" t="s">
        <v>490</v>
      </c>
    </row>
    <row r="20" spans="2:8" ht="60" customHeight="1">
      <c r="B20" s="103" t="s">
        <v>491</v>
      </c>
      <c r="C20" s="103" t="s">
        <v>492</v>
      </c>
      <c r="D20" s="112">
        <f>'Modelo Variables V8'!K36*0.6+'Modelo Variables V8'!L14*0.4</f>
        <v>0.36820512820512824</v>
      </c>
      <c r="E20" s="109">
        <f>D20/SUM(D$18:D$21)</f>
        <v>0.33593157850412197</v>
      </c>
      <c r="F20" s="104" t="s">
        <v>493</v>
      </c>
      <c r="G20" s="104" t="s">
        <v>494</v>
      </c>
    </row>
    <row r="21" spans="2:8" ht="60" customHeight="1">
      <c r="B21" s="103" t="s">
        <v>495</v>
      </c>
      <c r="C21" s="103" t="s">
        <v>496</v>
      </c>
      <c r="D21" s="112">
        <f>'Modelo Variables V8'!L14*'Modelo Variables V8'!K29*'Modelo Variables V8'!K28</f>
        <v>0.21706666666666663</v>
      </c>
      <c r="E21" s="109">
        <f>D21/SUM(D$18:D$21)</f>
        <v>0.19804055508248566</v>
      </c>
      <c r="F21" s="104" t="s">
        <v>497</v>
      </c>
      <c r="G21" s="104" t="s">
        <v>498</v>
      </c>
    </row>
    <row r="24" spans="2:8">
      <c r="B24" s="139" t="s">
        <v>499</v>
      </c>
      <c r="C24" s="140"/>
      <c r="D24" s="140"/>
      <c r="E24" s="140"/>
      <c r="F24" s="140"/>
      <c r="G24" s="140"/>
      <c r="H24" s="140"/>
    </row>
    <row r="25" spans="2:8">
      <c r="B25" s="100" t="s">
        <v>456</v>
      </c>
      <c r="C25" s="100" t="s">
        <v>457</v>
      </c>
      <c r="D25" s="100" t="s">
        <v>458</v>
      </c>
      <c r="E25" s="100" t="s">
        <v>459</v>
      </c>
      <c r="F25" s="100" t="s">
        <v>460</v>
      </c>
      <c r="G25" s="100" t="s">
        <v>461</v>
      </c>
    </row>
    <row r="26" spans="2:8" ht="60" customHeight="1">
      <c r="B26" s="103" t="s">
        <v>500</v>
      </c>
      <c r="C26" s="103" t="s">
        <v>501</v>
      </c>
      <c r="D26" s="112">
        <f>'Modelo Variables V8'!K27*'Modelo Variables V8'!K31*'Modelo Variables V8'!L32</f>
        <v>8.9090909090909123E-2</v>
      </c>
      <c r="E26" s="109">
        <f>D26/SUM(D$26:D$29)</f>
        <v>0.11396439597216232</v>
      </c>
      <c r="F26" s="104" t="s">
        <v>502</v>
      </c>
      <c r="G26" s="104" t="s">
        <v>503</v>
      </c>
    </row>
    <row r="27" spans="2:8" ht="60" customHeight="1">
      <c r="B27" s="103" t="s">
        <v>504</v>
      </c>
      <c r="C27" s="103" t="s">
        <v>505</v>
      </c>
      <c r="D27" s="112">
        <f>0.4</f>
        <v>0.4</v>
      </c>
      <c r="E27" s="109">
        <f>D27/SUM(D$26:D$29)</f>
        <v>0.51167687987501431</v>
      </c>
      <c r="F27" s="104" t="s">
        <v>506</v>
      </c>
      <c r="G27" s="104" t="s">
        <v>507</v>
      </c>
    </row>
    <row r="28" spans="2:8" ht="60" customHeight="1">
      <c r="B28" s="103" t="s">
        <v>508</v>
      </c>
      <c r="C28" s="103" t="s">
        <v>509</v>
      </c>
      <c r="D28" s="112">
        <f>'Modelo Variables V8'!K32*'Modelo Variables V8'!K30*ABS('Modelo Variables V8'!K24)</f>
        <v>0.2648746666666667</v>
      </c>
      <c r="E28" s="109">
        <f>D28/SUM(D$26:D$29)</f>
        <v>0.3388256074948362</v>
      </c>
      <c r="F28" s="104" t="s">
        <v>510</v>
      </c>
      <c r="G28" s="104" t="s">
        <v>511</v>
      </c>
    </row>
    <row r="29" spans="2:8" ht="60" customHeight="1">
      <c r="B29" s="103" t="s">
        <v>512</v>
      </c>
      <c r="C29" s="103" t="s">
        <v>513</v>
      </c>
      <c r="D29" s="112">
        <f>MAX(0.01, ('Modelo Variables V8'!K32-0.7)^2)</f>
        <v>2.7777777777777804E-2</v>
      </c>
      <c r="E29" s="109">
        <f>D29/SUM(D$26:D$29)</f>
        <v>3.553311665798714E-2</v>
      </c>
      <c r="F29" s="104" t="s">
        <v>514</v>
      </c>
      <c r="G29" s="104" t="s">
        <v>515</v>
      </c>
    </row>
    <row r="32" spans="2:8">
      <c r="B32" s="139" t="s">
        <v>516</v>
      </c>
      <c r="C32" s="140"/>
      <c r="D32" s="140"/>
      <c r="E32" s="140"/>
      <c r="F32" s="140"/>
      <c r="G32" s="140"/>
      <c r="H32" s="140"/>
    </row>
    <row r="33" spans="2:8">
      <c r="B33" s="100" t="s">
        <v>456</v>
      </c>
      <c r="C33" s="100" t="s">
        <v>457</v>
      </c>
      <c r="D33" s="100" t="s">
        <v>458</v>
      </c>
      <c r="E33" s="100" t="s">
        <v>459</v>
      </c>
      <c r="F33" s="100" t="s">
        <v>460</v>
      </c>
      <c r="G33" s="100" t="s">
        <v>461</v>
      </c>
    </row>
    <row r="34" spans="2:8" ht="60" customHeight="1">
      <c r="B34" s="103" t="s">
        <v>517</v>
      </c>
      <c r="C34" s="103" t="s">
        <v>518</v>
      </c>
      <c r="D34" s="112">
        <f>0.55</f>
        <v>0.55000000000000004</v>
      </c>
      <c r="E34" s="109">
        <f>D34/SUM(D$34:D$36)</f>
        <v>0.48339843750000006</v>
      </c>
      <c r="F34" s="104" t="s">
        <v>519</v>
      </c>
      <c r="G34" s="104" t="s">
        <v>520</v>
      </c>
    </row>
    <row r="35" spans="2:8" ht="60" customHeight="1">
      <c r="B35" s="103" t="s">
        <v>521</v>
      </c>
      <c r="C35" s="103" t="s">
        <v>522</v>
      </c>
      <c r="D35" s="112">
        <f>'Modelo Variables V8'!K41*'Modelo Variables V8'!L50</f>
        <v>0.57777777777777783</v>
      </c>
      <c r="E35" s="109">
        <f>D35/SUM(D$34:D$36)</f>
        <v>0.5078125</v>
      </c>
      <c r="F35" s="104" t="s">
        <v>523</v>
      </c>
      <c r="G35" s="104" t="s">
        <v>524</v>
      </c>
    </row>
    <row r="36" spans="2:8" ht="60" customHeight="1">
      <c r="B36" s="103" t="s">
        <v>525</v>
      </c>
      <c r="C36" s="103" t="s">
        <v>526</v>
      </c>
      <c r="D36" s="112">
        <f>MAX(0.01, ('Modelo Variables V8'!K40-0.8)^2)</f>
        <v>0.01</v>
      </c>
      <c r="E36" s="109">
        <f>D36/SUM(D$34:D$36)</f>
        <v>8.7890625E-3</v>
      </c>
      <c r="F36" s="104" t="s">
        <v>527</v>
      </c>
      <c r="G36" s="104" t="s">
        <v>528</v>
      </c>
    </row>
    <row r="39" spans="2:8">
      <c r="B39" s="139" t="s">
        <v>529</v>
      </c>
      <c r="C39" s="140"/>
      <c r="D39" s="140"/>
      <c r="E39" s="140"/>
      <c r="F39" s="140"/>
      <c r="G39" s="140"/>
      <c r="H39" s="140"/>
    </row>
    <row r="40" spans="2:8">
      <c r="B40" s="100" t="s">
        <v>456</v>
      </c>
      <c r="C40" s="100" t="s">
        <v>457</v>
      </c>
      <c r="D40" s="100" t="s">
        <v>458</v>
      </c>
      <c r="E40" s="100" t="s">
        <v>459</v>
      </c>
      <c r="F40" s="100" t="s">
        <v>460</v>
      </c>
      <c r="G40" s="100" t="s">
        <v>461</v>
      </c>
    </row>
    <row r="41" spans="2:8" ht="60" customHeight="1">
      <c r="B41" s="103" t="s">
        <v>530</v>
      </c>
      <c r="C41" s="103" t="s">
        <v>531</v>
      </c>
      <c r="D41" s="112">
        <f>'Modelo Variables V8'!K28*'Modelo Variables V8'!K23*'Modelo Variables V8'!L14</f>
        <v>6.7466666666666673E-3</v>
      </c>
      <c r="E41" s="109">
        <f>D41/SUM(D$41:D$44)</f>
        <v>5.4640088115240929E-3</v>
      </c>
      <c r="F41" s="104" t="s">
        <v>532</v>
      </c>
      <c r="G41" s="104" t="s">
        <v>533</v>
      </c>
    </row>
    <row r="42" spans="2:8" ht="60" customHeight="1">
      <c r="B42" s="103" t="s">
        <v>534</v>
      </c>
      <c r="C42" s="103" t="s">
        <v>535</v>
      </c>
      <c r="D42" s="112">
        <f>MAX(0.01, 1-ABS(('Modelo Variables V8'!L14+'Modelo Variables V8'!L15)/2-0.5))</f>
        <v>0.98333333333333328</v>
      </c>
      <c r="E42" s="109">
        <f>D42/SUM(D$41:D$44)</f>
        <v>0.79638468349782965</v>
      </c>
      <c r="F42" s="104" t="s">
        <v>536</v>
      </c>
      <c r="G42" s="104" t="s">
        <v>537</v>
      </c>
    </row>
    <row r="43" spans="2:8" ht="60" customHeight="1">
      <c r="B43" s="103" t="s">
        <v>538</v>
      </c>
      <c r="C43" s="103" t="s">
        <v>539</v>
      </c>
      <c r="D43" s="112">
        <f>MAX(0.01, 'Modelo Variables V8'!K14+'Modelo Variables V8'!L28-1)</f>
        <v>0.01</v>
      </c>
      <c r="E43" s="109">
        <f>D43/SUM(D$41:D$44)</f>
        <v>8.0988272898084371E-3</v>
      </c>
      <c r="F43" s="104" t="s">
        <v>540</v>
      </c>
      <c r="G43" s="104" t="s">
        <v>541</v>
      </c>
    </row>
    <row r="44" spans="2:8" ht="60" customHeight="1">
      <c r="B44" s="103" t="s">
        <v>542</v>
      </c>
      <c r="C44" s="103" t="s">
        <v>543</v>
      </c>
      <c r="D44" s="112">
        <f>'Modelo Variables V8'!K28^2*'Modelo Variables V8'!L14</f>
        <v>0.23466666666666666</v>
      </c>
      <c r="E44" s="109">
        <f>D44/SUM(D$41:D$44)</f>
        <v>0.190052480400838</v>
      </c>
      <c r="F44" s="104" t="s">
        <v>544</v>
      </c>
      <c r="G44" s="104" t="s">
        <v>545</v>
      </c>
    </row>
    <row r="47" spans="2:8" ht="15.75">
      <c r="B47" s="142" t="s">
        <v>546</v>
      </c>
      <c r="C47" s="140"/>
      <c r="D47" s="140"/>
      <c r="E47" s="140"/>
      <c r="F47" s="140"/>
      <c r="G47" s="140"/>
      <c r="H47" s="140"/>
    </row>
    <row r="49" spans="2:7">
      <c r="B49" s="100" t="s">
        <v>456</v>
      </c>
      <c r="C49" s="100" t="s">
        <v>547</v>
      </c>
      <c r="D49" s="100" t="s">
        <v>548</v>
      </c>
      <c r="E49" s="100" t="s">
        <v>549</v>
      </c>
      <c r="F49" s="100" t="s">
        <v>550</v>
      </c>
      <c r="G49" s="100" t="s">
        <v>551</v>
      </c>
    </row>
    <row r="50" spans="2:7" ht="30" customHeight="1">
      <c r="B50" s="103" t="s">
        <v>462</v>
      </c>
      <c r="C50" s="109">
        <v>0.125</v>
      </c>
      <c r="D50" s="109">
        <v>0.45833333333333343</v>
      </c>
      <c r="E50" s="109">
        <v>0.14583333333333329</v>
      </c>
      <c r="F50" s="109">
        <v>0.27083333333333343</v>
      </c>
      <c r="G50" s="104" t="s">
        <v>552</v>
      </c>
    </row>
    <row r="51" spans="2:7" ht="30" customHeight="1">
      <c r="B51" s="103" t="s">
        <v>466</v>
      </c>
      <c r="C51" s="109">
        <v>0.42499999999999999</v>
      </c>
      <c r="D51" s="109">
        <v>7.4999999999999997E-2</v>
      </c>
      <c r="E51" s="109">
        <v>0.3</v>
      </c>
      <c r="F51" s="109">
        <v>0.2</v>
      </c>
      <c r="G51" s="104" t="s">
        <v>553</v>
      </c>
    </row>
    <row r="52" spans="2:7" ht="30" customHeight="1">
      <c r="B52" s="103" t="s">
        <v>470</v>
      </c>
      <c r="C52" s="109">
        <v>0.2142857142857143</v>
      </c>
      <c r="D52" s="109">
        <v>0.16666666666666671</v>
      </c>
      <c r="E52" s="109">
        <v>0.38095238095238088</v>
      </c>
      <c r="F52" s="109">
        <v>0.23809523809523811</v>
      </c>
      <c r="G52" s="104" t="s">
        <v>554</v>
      </c>
    </row>
    <row r="53" spans="2:7" ht="30" customHeight="1">
      <c r="B53" s="103" t="s">
        <v>474</v>
      </c>
      <c r="C53" s="109">
        <v>0.16279069767441859</v>
      </c>
      <c r="D53" s="109">
        <v>0.32558139534883718</v>
      </c>
      <c r="E53" s="109">
        <v>0.1162790697674419</v>
      </c>
      <c r="F53" s="109">
        <v>0.39534883720930231</v>
      </c>
      <c r="G53" s="104" t="s">
        <v>555</v>
      </c>
    </row>
    <row r="54" spans="2:7" ht="30" customHeight="1">
      <c r="B54" s="103" t="s">
        <v>478</v>
      </c>
      <c r="C54" s="109">
        <v>0.34285714285714292</v>
      </c>
      <c r="D54" s="109">
        <v>0.25714285714285717</v>
      </c>
      <c r="E54" s="109">
        <v>0.2857142857142857</v>
      </c>
      <c r="F54" s="109">
        <v>0.1142857142857143</v>
      </c>
      <c r="G54" s="104" t="s">
        <v>556</v>
      </c>
    </row>
    <row r="55" spans="2:7" ht="30" customHeight="1">
      <c r="B55" s="103" t="s">
        <v>483</v>
      </c>
      <c r="C55" s="109">
        <v>9.0909090909090912E-2</v>
      </c>
      <c r="D55" s="109">
        <v>0.56818181818181812</v>
      </c>
      <c r="E55" s="109">
        <v>0.1136363636363636</v>
      </c>
      <c r="F55" s="109">
        <v>0.22727272727272729</v>
      </c>
      <c r="G55" s="104" t="s">
        <v>557</v>
      </c>
    </row>
    <row r="56" spans="2:7" ht="30" customHeight="1">
      <c r="B56" s="103" t="s">
        <v>487</v>
      </c>
      <c r="C56" s="109">
        <v>0.25</v>
      </c>
      <c r="D56" s="109">
        <v>0.25</v>
      </c>
      <c r="E56" s="109">
        <v>0.25</v>
      </c>
      <c r="F56" s="109">
        <v>0.25</v>
      </c>
      <c r="G56" s="104" t="s">
        <v>558</v>
      </c>
    </row>
    <row r="57" spans="2:7" ht="30" customHeight="1">
      <c r="B57" s="103" t="s">
        <v>491</v>
      </c>
      <c r="C57" s="109">
        <v>0.3</v>
      </c>
      <c r="D57" s="109">
        <v>0.2</v>
      </c>
      <c r="E57" s="109">
        <v>0.27500000000000002</v>
      </c>
      <c r="F57" s="109">
        <v>0.22500000000000001</v>
      </c>
      <c r="G57" s="104" t="s">
        <v>559</v>
      </c>
    </row>
    <row r="58" spans="2:7" ht="30" customHeight="1">
      <c r="B58" s="103" t="s">
        <v>495</v>
      </c>
      <c r="C58" s="109">
        <v>0.35714285714285721</v>
      </c>
      <c r="D58" s="109">
        <v>4.7619047619047623E-2</v>
      </c>
      <c r="E58" s="109">
        <v>0.42857142857142849</v>
      </c>
      <c r="F58" s="109">
        <v>0.16666666666666671</v>
      </c>
      <c r="G58" s="104" t="s">
        <v>560</v>
      </c>
    </row>
    <row r="59" spans="2:7" ht="30" customHeight="1">
      <c r="B59" s="103" t="s">
        <v>500</v>
      </c>
      <c r="C59" s="109">
        <v>0.42105263157894729</v>
      </c>
      <c r="D59" s="109">
        <v>0.10526315789473679</v>
      </c>
      <c r="E59" s="109">
        <v>0.2105263157894737</v>
      </c>
      <c r="F59" s="109">
        <v>0.26315789473684209</v>
      </c>
      <c r="G59" s="104" t="s">
        <v>561</v>
      </c>
    </row>
    <row r="60" spans="2:7" ht="30" customHeight="1">
      <c r="B60" s="103" t="s">
        <v>504</v>
      </c>
      <c r="C60" s="109">
        <v>0.28205128205128199</v>
      </c>
      <c r="D60" s="109">
        <v>0.23076923076923081</v>
      </c>
      <c r="E60" s="109">
        <v>0.25641025641025639</v>
      </c>
      <c r="F60" s="109">
        <v>0.23076923076923081</v>
      </c>
      <c r="G60" s="104" t="s">
        <v>562</v>
      </c>
    </row>
    <row r="61" spans="2:7" ht="30" customHeight="1">
      <c r="B61" s="103" t="s">
        <v>508</v>
      </c>
      <c r="C61" s="109">
        <v>0.13636363636363641</v>
      </c>
      <c r="D61" s="109">
        <v>0.36363636363636359</v>
      </c>
      <c r="E61" s="109">
        <v>0.31818181818181812</v>
      </c>
      <c r="F61" s="109">
        <v>0.1818181818181818</v>
      </c>
      <c r="G61" s="104" t="s">
        <v>563</v>
      </c>
    </row>
    <row r="62" spans="2:7" ht="30" customHeight="1">
      <c r="B62" s="103" t="s">
        <v>512</v>
      </c>
      <c r="C62" s="109">
        <v>6.5217391304347824E-2</v>
      </c>
      <c r="D62" s="109">
        <v>0.39130434782608697</v>
      </c>
      <c r="E62" s="109">
        <v>0.43478260869565222</v>
      </c>
      <c r="F62" s="109">
        <v>0.1086956521739131</v>
      </c>
      <c r="G62" s="104" t="s">
        <v>564</v>
      </c>
    </row>
    <row r="63" spans="2:7" ht="30" customHeight="1">
      <c r="B63" s="103" t="s">
        <v>517</v>
      </c>
      <c r="C63" s="109">
        <v>0.26829268292682917</v>
      </c>
      <c r="D63" s="109">
        <v>0.1951219512195122</v>
      </c>
      <c r="E63" s="109">
        <v>0.31707317073170732</v>
      </c>
      <c r="F63" s="109">
        <v>0.21951219512195119</v>
      </c>
      <c r="G63" s="104" t="s">
        <v>565</v>
      </c>
    </row>
    <row r="64" spans="2:7" ht="30" customHeight="1">
      <c r="B64" s="103" t="s">
        <v>521</v>
      </c>
      <c r="C64" s="109">
        <v>0.29268292682926828</v>
      </c>
      <c r="D64" s="109">
        <v>0.12195121951219511</v>
      </c>
      <c r="E64" s="109">
        <v>0.41463414634146339</v>
      </c>
      <c r="F64" s="109">
        <v>0.17073170731707321</v>
      </c>
      <c r="G64" s="104" t="s">
        <v>566</v>
      </c>
    </row>
    <row r="65" spans="2:7" ht="30" customHeight="1">
      <c r="B65" s="103" t="s">
        <v>525</v>
      </c>
      <c r="C65" s="109">
        <v>0.30232558139534887</v>
      </c>
      <c r="D65" s="109">
        <v>4.651162790697675E-2</v>
      </c>
      <c r="E65" s="109">
        <v>0.58139534883720934</v>
      </c>
      <c r="F65" s="109">
        <v>6.9767441860465115E-2</v>
      </c>
      <c r="G65" s="104" t="s">
        <v>567</v>
      </c>
    </row>
    <row r="66" spans="2:7" ht="30" customHeight="1">
      <c r="B66" s="103" t="s">
        <v>530</v>
      </c>
      <c r="C66" s="109">
        <v>0.35</v>
      </c>
      <c r="D66" s="109">
        <v>7.4999999999999997E-2</v>
      </c>
      <c r="E66" s="109">
        <v>0.375</v>
      </c>
      <c r="F66" s="109">
        <v>0.2</v>
      </c>
      <c r="G66" s="104" t="s">
        <v>568</v>
      </c>
    </row>
    <row r="67" spans="2:7" ht="30" customHeight="1">
      <c r="B67" s="103" t="s">
        <v>534</v>
      </c>
      <c r="C67" s="109">
        <v>0.23076923076923081</v>
      </c>
      <c r="D67" s="109">
        <v>0.28205128205128199</v>
      </c>
      <c r="E67" s="109">
        <v>0.23076923076923081</v>
      </c>
      <c r="F67" s="109">
        <v>0.25641025641025639</v>
      </c>
      <c r="G67" s="104" t="s">
        <v>569</v>
      </c>
    </row>
    <row r="68" spans="2:7" ht="30" customHeight="1">
      <c r="B68" s="103" t="s">
        <v>538</v>
      </c>
      <c r="C68" s="109">
        <v>8.8888888888888892E-2</v>
      </c>
      <c r="D68" s="109">
        <v>0.51111111111111107</v>
      </c>
      <c r="E68" s="109">
        <v>0.1333333333333333</v>
      </c>
      <c r="F68" s="109">
        <v>0.26666666666666672</v>
      </c>
      <c r="G68" s="104" t="s">
        <v>570</v>
      </c>
    </row>
    <row r="69" spans="2:7" ht="30" customHeight="1">
      <c r="B69" s="103" t="s">
        <v>542</v>
      </c>
      <c r="C69" s="109">
        <v>0.32500000000000001</v>
      </c>
      <c r="D69" s="109">
        <v>0.05</v>
      </c>
      <c r="E69" s="109">
        <v>0.47499999999999998</v>
      </c>
      <c r="F69" s="109">
        <v>0.15</v>
      </c>
      <c r="G69" s="104" t="s">
        <v>571</v>
      </c>
    </row>
    <row r="72" spans="2:7" ht="15.75">
      <c r="B72" s="137" t="s">
        <v>572</v>
      </c>
      <c r="C72" s="138"/>
      <c r="D72" s="138"/>
      <c r="E72" s="138"/>
      <c r="F72" s="138"/>
    </row>
    <row r="74" spans="2:7">
      <c r="B74" s="106" t="s">
        <v>573</v>
      </c>
      <c r="C74" s="105" t="s">
        <v>574</v>
      </c>
      <c r="D74" s="107" t="s">
        <v>575</v>
      </c>
    </row>
    <row r="75" spans="2:7">
      <c r="B75" s="106" t="s">
        <v>576</v>
      </c>
      <c r="C75" s="105" t="s">
        <v>577</v>
      </c>
      <c r="D75" s="107" t="s">
        <v>575</v>
      </c>
    </row>
    <row r="76" spans="2:7">
      <c r="B76" s="106" t="s">
        <v>578</v>
      </c>
      <c r="C76" s="105" t="s">
        <v>579</v>
      </c>
      <c r="D76" s="107" t="s">
        <v>575</v>
      </c>
    </row>
    <row r="77" spans="2:7">
      <c r="B77" s="106" t="s">
        <v>580</v>
      </c>
      <c r="C77" s="105" t="s">
        <v>581</v>
      </c>
      <c r="D77" s="107" t="s">
        <v>575</v>
      </c>
    </row>
    <row r="78" spans="2:7">
      <c r="B78" s="106" t="s">
        <v>582</v>
      </c>
      <c r="C78" s="105" t="s">
        <v>583</v>
      </c>
      <c r="D78" s="107" t="s">
        <v>575</v>
      </c>
    </row>
    <row r="81" spans="2:7" ht="15.75">
      <c r="B81" s="137" t="s">
        <v>584</v>
      </c>
      <c r="C81" s="138"/>
      <c r="D81" s="138"/>
      <c r="E81" s="138"/>
      <c r="F81" s="138"/>
      <c r="G81" s="138"/>
    </row>
    <row r="83" spans="2:7">
      <c r="B83" s="100" t="s">
        <v>49</v>
      </c>
      <c r="C83" s="100" t="s">
        <v>585</v>
      </c>
      <c r="D83" s="100" t="s">
        <v>586</v>
      </c>
      <c r="E83" s="100" t="s">
        <v>587</v>
      </c>
      <c r="F83" s="100" t="s">
        <v>588</v>
      </c>
    </row>
    <row r="84" spans="2:7">
      <c r="B84" s="108" t="s">
        <v>59</v>
      </c>
      <c r="C84" s="109">
        <f>'Modelo Variables V8'!K65</f>
        <v>0.27955960907591187</v>
      </c>
      <c r="D84" s="109">
        <v>0.27955960907591187</v>
      </c>
      <c r="E84" s="109">
        <f>D84-C84</f>
        <v>0</v>
      </c>
      <c r="F84" s="109">
        <f>IF(C84=0, 0, (D84-C84)/C84)</f>
        <v>0</v>
      </c>
    </row>
    <row r="85" spans="2:7">
      <c r="B85" s="108" t="s">
        <v>60</v>
      </c>
      <c r="C85" s="109">
        <f>'Modelo Variables V8'!K66</f>
        <v>0.18713941235066781</v>
      </c>
      <c r="D85" s="109">
        <v>0.18713941235066781</v>
      </c>
      <c r="E85" s="109">
        <f>D85-C85</f>
        <v>0</v>
      </c>
      <c r="F85" s="109">
        <f>IF(C85=0, 0, (D85-C85)/C85)</f>
        <v>0</v>
      </c>
    </row>
    <row r="86" spans="2:7">
      <c r="B86" s="108" t="s">
        <v>61</v>
      </c>
      <c r="C86" s="109">
        <f>'Modelo Variables V8'!K67</f>
        <v>0.27342825729106157</v>
      </c>
      <c r="D86" s="109">
        <v>0.27342825729106157</v>
      </c>
      <c r="E86" s="109">
        <f>D86-C86</f>
        <v>0</v>
      </c>
      <c r="F86" s="109">
        <f>IF(C86=0, 0, (D86-C86)/C86)</f>
        <v>0</v>
      </c>
    </row>
    <row r="87" spans="2:7">
      <c r="B87" s="108" t="s">
        <v>62</v>
      </c>
      <c r="C87" s="109">
        <f>'Modelo Variables V8'!K68</f>
        <v>0.25987272128235872</v>
      </c>
      <c r="D87" s="109">
        <v>0.25987272128235872</v>
      </c>
      <c r="E87" s="109">
        <f>D87-C87</f>
        <v>0</v>
      </c>
      <c r="F87" s="109">
        <f>IF(C87=0, 0, (D87-C87)/C87)</f>
        <v>0</v>
      </c>
    </row>
    <row r="90" spans="2:7" ht="15.75">
      <c r="B90" s="137" t="s">
        <v>589</v>
      </c>
      <c r="C90" s="138"/>
      <c r="D90" s="138"/>
      <c r="E90" s="138"/>
      <c r="F90" s="138"/>
      <c r="G90" s="138"/>
    </row>
    <row r="113" spans="2:7">
      <c r="B113" s="101" t="s">
        <v>669</v>
      </c>
      <c r="C113" t="s">
        <v>670</v>
      </c>
      <c r="D113" s="110"/>
      <c r="E113" s="110"/>
      <c r="F113" s="111"/>
      <c r="G113" s="58"/>
    </row>
    <row r="114" spans="2:7">
      <c r="B114"/>
      <c r="C114" t="s">
        <v>671</v>
      </c>
    </row>
  </sheetData>
  <mergeCells count="11">
    <mergeCell ref="B81:G81"/>
    <mergeCell ref="B32:H32"/>
    <mergeCell ref="B90:G90"/>
    <mergeCell ref="B72:F72"/>
    <mergeCell ref="B2:O2"/>
    <mergeCell ref="B39:H39"/>
    <mergeCell ref="B24:H24"/>
    <mergeCell ref="B16:H16"/>
    <mergeCell ref="B47:H47"/>
    <mergeCell ref="B7:H7"/>
    <mergeCell ref="B5:H5"/>
  </mergeCells>
  <dataValidations count="5">
    <dataValidation type="list" errorTitle="Entrada no válida" error="Seleccione una opción válida" promptTitle="Variable 1" prompt="Seleccione un outcome para Carrera IA" sqref="D74" xr:uid="{00000000-0002-0000-0900-000000000000}">
      <formula1>"USA_AGI,China_AGI,Desarrollo_simultaneo,Consorcio_global,Nadie_pre2030,No Contemplado"</formula1>
    </dataValidation>
    <dataValidation type="list" errorTitle="Entrada no válida" error="Seleccione una opción válida" promptTitle="Variable 2" prompt="Seleccione un outcome para Cohesión Occidental" sqref="D75" xr:uid="{00000000-0002-0000-0900-000001000000}">
      <formula1>"Integracion_profunda,Cooperacion_pragmatica,Europa_independiente,Fragmentacion_hostil,No Contemplado"</formula1>
    </dataValidation>
    <dataValidation type="list" errorTitle="Entrada no válida" error="Seleccione una opción válida" promptTitle="Variable 3" prompt="Seleccione un outcome para Estabilidad China" sqref="D76" xr:uid="{00000000-0002-0000-0900-000002000000}">
      <formula1>"Crecimiento_sostenido,Estancamiento_japon,Crisis_financiera,Colapso_autoritario,No Contemplado"</formula1>
    </dataValidation>
    <dataValidation type="list" errorTitle="Entrada no válida" error="Seleccione una opción válida" promptTitle="Variable 4" prompt="Seleccione un outcome para Crisis Climática" sqref="D77" xr:uid="{00000000-0002-0000-0900-000003000000}">
      <formula1>"Mas_20C_2035,Mas_25C_2040,Mas_30C_2050,No Contemplado"</formula1>
    </dataValidation>
    <dataValidation type="list" errorTitle="Entrada no válida" error="Seleccione una opción válida" promptTitle="Variable 5" prompt="Seleccione un outcome para Liderazgo USA" sqref="D78" xr:uid="{00000000-0002-0000-0900-000004000000}">
      <formula1>"Trumpismo_20,Tecnocrata_competente,Visionario_transformacional,Fragmentacion_politica,No Contemplado"</formula1>
    </dataValidation>
  </dataValidations>
  <pageMargins left="0.75" right="0.75" top="1" bottom="1" header="0.5" footer="0.5"/>
  <pageSetup scale="39" fitToHeight="0" orientation="landscape"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A114"/>
  <sheetViews>
    <sheetView workbookViewId="0">
      <selection sqref="A1:XFD9"/>
    </sheetView>
  </sheetViews>
  <sheetFormatPr defaultRowHeight="15"/>
  <cols>
    <col min="1" max="1" width="100" customWidth="1"/>
  </cols>
  <sheetData>
    <row r="1" spans="1:1" ht="18.75">
      <c r="A1" s="102" t="s">
        <v>590</v>
      </c>
    </row>
    <row r="3" spans="1:1">
      <c r="A3" t="s">
        <v>591</v>
      </c>
    </row>
    <row r="4" spans="1:1">
      <c r="A4" t="s">
        <v>592</v>
      </c>
    </row>
    <row r="5" spans="1:1">
      <c r="A5" t="s">
        <v>593</v>
      </c>
    </row>
    <row r="6" spans="1:1">
      <c r="A6" t="s">
        <v>594</v>
      </c>
    </row>
    <row r="7" spans="1:1">
      <c r="A7" t="s">
        <v>595</v>
      </c>
    </row>
    <row r="8" spans="1:1">
      <c r="A8" t="s">
        <v>596</v>
      </c>
    </row>
    <row r="10" spans="1:1">
      <c r="A10" t="s">
        <v>597</v>
      </c>
    </row>
    <row r="11" spans="1:1">
      <c r="A11" t="s">
        <v>598</v>
      </c>
    </row>
    <row r="12" spans="1:1">
      <c r="A12" t="s">
        <v>599</v>
      </c>
    </row>
    <row r="13" spans="1:1">
      <c r="A13" t="s">
        <v>597</v>
      </c>
    </row>
    <row r="15" spans="1:1">
      <c r="A15" t="s">
        <v>600</v>
      </c>
    </row>
    <row r="17" spans="1:1">
      <c r="A17" t="s">
        <v>601</v>
      </c>
    </row>
    <row r="18" spans="1:1">
      <c r="A18" t="s">
        <v>602</v>
      </c>
    </row>
    <row r="19" spans="1:1">
      <c r="A19" t="s">
        <v>603</v>
      </c>
    </row>
    <row r="20" spans="1:1">
      <c r="A20" t="s">
        <v>604</v>
      </c>
    </row>
    <row r="22" spans="1:1">
      <c r="A22" t="s">
        <v>605</v>
      </c>
    </row>
    <row r="23" spans="1:1">
      <c r="A23" t="s">
        <v>606</v>
      </c>
    </row>
    <row r="24" spans="1:1">
      <c r="A24" t="s">
        <v>607</v>
      </c>
    </row>
    <row r="25" spans="1:1">
      <c r="A25" t="s">
        <v>608</v>
      </c>
    </row>
    <row r="26" spans="1:1">
      <c r="A26" t="s">
        <v>609</v>
      </c>
    </row>
    <row r="27" spans="1:1">
      <c r="A27" t="s">
        <v>610</v>
      </c>
    </row>
    <row r="28" spans="1:1">
      <c r="A28" t="s">
        <v>611</v>
      </c>
    </row>
    <row r="29" spans="1:1">
      <c r="A29" t="s">
        <v>612</v>
      </c>
    </row>
    <row r="30" spans="1:1">
      <c r="A30" t="s">
        <v>613</v>
      </c>
    </row>
    <row r="31" spans="1:1">
      <c r="A31" t="s">
        <v>614</v>
      </c>
    </row>
    <row r="32" spans="1:1">
      <c r="A32" t="s">
        <v>615</v>
      </c>
    </row>
    <row r="33" spans="1:1">
      <c r="A33" t="s">
        <v>616</v>
      </c>
    </row>
    <row r="35" spans="1:1">
      <c r="A35" t="s">
        <v>617</v>
      </c>
    </row>
    <row r="36" spans="1:1">
      <c r="A36" t="s">
        <v>618</v>
      </c>
    </row>
    <row r="37" spans="1:1">
      <c r="A37" t="s">
        <v>619</v>
      </c>
    </row>
    <row r="38" spans="1:1">
      <c r="A38" t="s">
        <v>608</v>
      </c>
    </row>
    <row r="39" spans="1:1">
      <c r="A39" t="s">
        <v>620</v>
      </c>
    </row>
    <row r="40" spans="1:1">
      <c r="A40" t="s">
        <v>621</v>
      </c>
    </row>
    <row r="41" spans="1:1">
      <c r="A41" t="s">
        <v>622</v>
      </c>
    </row>
    <row r="42" spans="1:1">
      <c r="A42" t="s">
        <v>608</v>
      </c>
    </row>
    <row r="43" spans="1:1">
      <c r="A43" t="s">
        <v>623</v>
      </c>
    </row>
    <row r="44" spans="1:1">
      <c r="A44" t="s">
        <v>624</v>
      </c>
    </row>
    <row r="45" spans="1:1">
      <c r="A45" t="s">
        <v>625</v>
      </c>
    </row>
    <row r="46" spans="1:1">
      <c r="A46" t="s">
        <v>626</v>
      </c>
    </row>
    <row r="47" spans="1:1">
      <c r="A47" t="s">
        <v>627</v>
      </c>
    </row>
    <row r="48" spans="1:1">
      <c r="A48" t="s">
        <v>608</v>
      </c>
    </row>
    <row r="49" spans="1:1">
      <c r="A49" t="s">
        <v>628</v>
      </c>
    </row>
    <row r="50" spans="1:1">
      <c r="A50" t="s">
        <v>629</v>
      </c>
    </row>
    <row r="51" spans="1:1">
      <c r="A51" t="s">
        <v>630</v>
      </c>
    </row>
    <row r="52" spans="1:1">
      <c r="A52" t="s">
        <v>631</v>
      </c>
    </row>
    <row r="53" spans="1:1">
      <c r="A53" t="s">
        <v>608</v>
      </c>
    </row>
    <row r="54" spans="1:1">
      <c r="A54" t="s">
        <v>632</v>
      </c>
    </row>
    <row r="55" spans="1:1">
      <c r="A55" t="s">
        <v>633</v>
      </c>
    </row>
    <row r="56" spans="1:1">
      <c r="A56" t="s">
        <v>634</v>
      </c>
    </row>
    <row r="57" spans="1:1">
      <c r="A57" t="s">
        <v>635</v>
      </c>
    </row>
    <row r="58" spans="1:1">
      <c r="A58" t="s">
        <v>636</v>
      </c>
    </row>
    <row r="59" spans="1:1">
      <c r="A59" t="s">
        <v>637</v>
      </c>
    </row>
    <row r="60" spans="1:1">
      <c r="A60" t="s">
        <v>638</v>
      </c>
    </row>
    <row r="61" spans="1:1">
      <c r="A61" t="s">
        <v>639</v>
      </c>
    </row>
    <row r="62" spans="1:1">
      <c r="A62" t="s">
        <v>640</v>
      </c>
    </row>
    <row r="63" spans="1:1">
      <c r="A63" t="s">
        <v>641</v>
      </c>
    </row>
    <row r="64" spans="1:1">
      <c r="A64" t="s">
        <v>642</v>
      </c>
    </row>
    <row r="65" spans="1:1">
      <c r="A65" t="s">
        <v>643</v>
      </c>
    </row>
    <row r="66" spans="1:1">
      <c r="A66" t="s">
        <v>644</v>
      </c>
    </row>
    <row r="67" spans="1:1">
      <c r="A67" t="s">
        <v>645</v>
      </c>
    </row>
    <row r="68" spans="1:1">
      <c r="A68" t="s">
        <v>646</v>
      </c>
    </row>
    <row r="69" spans="1:1">
      <c r="A69" t="s">
        <v>647</v>
      </c>
    </row>
    <row r="70" spans="1:1">
      <c r="A70" t="s">
        <v>648</v>
      </c>
    </row>
    <row r="71" spans="1:1">
      <c r="A71" t="s">
        <v>649</v>
      </c>
    </row>
    <row r="72" spans="1:1">
      <c r="A72" t="s">
        <v>650</v>
      </c>
    </row>
    <row r="73" spans="1:1">
      <c r="A73" t="s">
        <v>608</v>
      </c>
    </row>
    <row r="74" spans="1:1">
      <c r="A74" t="s">
        <v>651</v>
      </c>
    </row>
    <row r="75" spans="1:1">
      <c r="A75" t="s">
        <v>624</v>
      </c>
    </row>
    <row r="76" spans="1:1">
      <c r="A76" t="s">
        <v>652</v>
      </c>
    </row>
    <row r="77" spans="1:1">
      <c r="A77" t="s">
        <v>627</v>
      </c>
    </row>
    <row r="78" spans="1:1">
      <c r="A78" t="s">
        <v>616</v>
      </c>
    </row>
    <row r="80" spans="1:1">
      <c r="A80" t="s">
        <v>653</v>
      </c>
    </row>
    <row r="81" spans="1:1">
      <c r="A81" t="s">
        <v>622</v>
      </c>
    </row>
    <row r="82" spans="1:1">
      <c r="A82" t="s">
        <v>654</v>
      </c>
    </row>
    <row r="83" spans="1:1">
      <c r="A83" t="s">
        <v>655</v>
      </c>
    </row>
    <row r="84" spans="1:1">
      <c r="A84" t="s">
        <v>608</v>
      </c>
    </row>
    <row r="85" spans="1:1">
      <c r="A85" t="s">
        <v>656</v>
      </c>
    </row>
    <row r="86" spans="1:1">
      <c r="A86" t="s">
        <v>624</v>
      </c>
    </row>
    <row r="87" spans="1:1">
      <c r="A87" t="s">
        <v>657</v>
      </c>
    </row>
    <row r="88" spans="1:1">
      <c r="A88" t="s">
        <v>627</v>
      </c>
    </row>
    <row r="89" spans="1:1">
      <c r="A89" t="s">
        <v>608</v>
      </c>
    </row>
    <row r="90" spans="1:1">
      <c r="A90" t="s">
        <v>658</v>
      </c>
    </row>
    <row r="91" spans="1:1">
      <c r="A91" t="s">
        <v>608</v>
      </c>
    </row>
    <row r="92" spans="1:1">
      <c r="A92" t="s">
        <v>624</v>
      </c>
    </row>
    <row r="93" spans="1:1">
      <c r="A93" t="s">
        <v>659</v>
      </c>
    </row>
    <row r="94" spans="1:1">
      <c r="A94" t="s">
        <v>627</v>
      </c>
    </row>
    <row r="95" spans="1:1">
      <c r="A95" t="s">
        <v>608</v>
      </c>
    </row>
    <row r="96" spans="1:1">
      <c r="A96" t="s">
        <v>624</v>
      </c>
    </row>
    <row r="97" spans="1:1">
      <c r="A97" t="s">
        <v>660</v>
      </c>
    </row>
    <row r="98" spans="1:1">
      <c r="A98" t="s">
        <v>627</v>
      </c>
    </row>
    <row r="99" spans="1:1">
      <c r="A99" t="s">
        <v>616</v>
      </c>
    </row>
    <row r="101" spans="1:1">
      <c r="A101" t="s">
        <v>661</v>
      </c>
    </row>
    <row r="102" spans="1:1">
      <c r="A102" t="s">
        <v>618</v>
      </c>
    </row>
    <row r="103" spans="1:1">
      <c r="A103" t="s">
        <v>662</v>
      </c>
    </row>
    <row r="104" spans="1:1">
      <c r="A104" t="s">
        <v>663</v>
      </c>
    </row>
    <row r="105" spans="1:1">
      <c r="A105" t="s">
        <v>608</v>
      </c>
    </row>
    <row r="106" spans="1:1">
      <c r="A106" t="s">
        <v>622</v>
      </c>
    </row>
    <row r="107" spans="1:1">
      <c r="A107" t="s">
        <v>664</v>
      </c>
    </row>
    <row r="108" spans="1:1">
      <c r="A108" t="s">
        <v>665</v>
      </c>
    </row>
    <row r="109" spans="1:1">
      <c r="A109" t="s">
        <v>627</v>
      </c>
    </row>
    <row r="110" spans="1:1">
      <c r="A110" t="s">
        <v>608</v>
      </c>
    </row>
    <row r="111" spans="1:1">
      <c r="A111" t="s">
        <v>666</v>
      </c>
    </row>
    <row r="112" spans="1:1">
      <c r="A112" t="s">
        <v>667</v>
      </c>
    </row>
    <row r="113" spans="1:1">
      <c r="A113" t="s">
        <v>668</v>
      </c>
    </row>
    <row r="114" spans="1:1">
      <c r="A114" t="s">
        <v>616</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Readme</vt:lpstr>
      <vt:lpstr>Modelo Variables V8</vt:lpstr>
      <vt:lpstr>Variables F1</vt:lpstr>
      <vt:lpstr>Variables F2</vt:lpstr>
      <vt:lpstr>Variables F3</vt:lpstr>
      <vt:lpstr>Variables F4</vt:lpstr>
      <vt:lpstr>Variables F5</vt:lpstr>
      <vt:lpstr>Fórmulas</vt:lpstr>
      <vt:lpstr>Monte_Carlo_Analysis</vt:lpstr>
      <vt:lpstr>Monte_Carlo_VBA</vt:lpstr>
      <vt:lpstr>Ajustes Bayesianos</vt:lpstr>
      <vt:lpstr>Código VBA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Manuel Marquez</cp:lastModifiedBy>
  <cp:revision>0</cp:revision>
  <cp:lastPrinted>2025-09-19T10:04:02Z</cp:lastPrinted>
  <dcterms:created xsi:type="dcterms:W3CDTF">2025-09-15T15:17:12Z</dcterms:created>
  <dcterms:modified xsi:type="dcterms:W3CDTF">2025-09-23T13:36:30Z</dcterms:modified>
  <dc:language>en-US</dc:language>
</cp:coreProperties>
</file>